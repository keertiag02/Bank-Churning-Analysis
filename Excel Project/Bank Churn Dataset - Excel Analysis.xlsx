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keert\OneDrive\Data Analysis\Projects\Bank Churning Analysis\"/>
    </mc:Choice>
  </mc:AlternateContent>
  <xr:revisionPtr revIDLastSave="0" documentId="13_ncr:1_{4C09369E-8777-47FF-9518-D95DA71C25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Age vs CS" sheetId="18" r:id="rId2"/>
    <sheet name="Gender Geography Age" sheetId="2" r:id="rId3"/>
    <sheet name="Active Cr.Card Products" sheetId="3" r:id="rId4"/>
    <sheet name="Tenure Cr. Score" sheetId="4" r:id="rId5"/>
    <sheet name="RA" sheetId="6" r:id="rId6"/>
    <sheet name="RA2" sheetId="7" r:id="rId7"/>
    <sheet name="RA3" sheetId="8" r:id="rId8"/>
    <sheet name="Final RA" sheetId="9" r:id="rId9"/>
    <sheet name="Test" sheetId="10" r:id="rId10"/>
    <sheet name="Test2" sheetId="11" r:id="rId11"/>
    <sheet name="Test3" sheetId="12" r:id="rId12"/>
    <sheet name="Test4" sheetId="15" r:id="rId13"/>
  </sheets>
  <definedNames>
    <definedName name="_xlnm._FilterDatabase" localSheetId="9" hidden="1">Test!$H$1:$I$500</definedName>
    <definedName name="_xlnm._FilterDatabase" localSheetId="10" hidden="1">Test2!$D$2:$F$4</definedName>
  </definedNames>
  <calcPr calcId="191029"/>
  <pivotCaches>
    <pivotCache cacheId="0" r:id="rId14"/>
    <pivotCache cacheId="1" r:id="rId15"/>
    <pivotCache cacheId="2" r:id="rId16"/>
    <pivotCache cacheId="3" r:id="rId17"/>
    <pivotCache cacheId="4" r:id="rId1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9" l="1"/>
  <c r="H23" i="9"/>
  <c r="F23" i="9"/>
  <c r="P2" i="1" a="1"/>
  <c r="P2" i="1" s="1"/>
  <c r="H2" i="18"/>
  <c r="H3" i="18"/>
  <c r="H4" i="18"/>
  <c r="H5" i="18"/>
  <c r="H6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8" i="18"/>
  <c r="H39" i="18"/>
  <c r="H40" i="18"/>
  <c r="H41" i="18"/>
  <c r="H42" i="18"/>
  <c r="H43" i="18"/>
  <c r="H44" i="18"/>
  <c r="H45" i="18"/>
  <c r="H46" i="18"/>
  <c r="H47" i="18"/>
  <c r="H48" i="18"/>
  <c r="H49" i="18"/>
  <c r="H50" i="18"/>
  <c r="H51" i="18"/>
  <c r="H52" i="18"/>
  <c r="H53" i="18"/>
  <c r="H54" i="18"/>
  <c r="H55" i="18"/>
  <c r="H56" i="18"/>
  <c r="H57" i="18"/>
  <c r="H58" i="18"/>
  <c r="H59" i="18"/>
  <c r="H60" i="18"/>
  <c r="H61" i="18"/>
  <c r="H62" i="18"/>
  <c r="H63" i="18"/>
  <c r="H64" i="18"/>
  <c r="H65" i="18"/>
  <c r="H66" i="18"/>
  <c r="H67" i="18"/>
  <c r="H68" i="18"/>
  <c r="H69" i="18"/>
  <c r="H70" i="18"/>
  <c r="H71" i="18"/>
  <c r="H72" i="18"/>
  <c r="H73" i="18"/>
  <c r="H74" i="18"/>
  <c r="H75" i="18"/>
  <c r="H76" i="18"/>
  <c r="H77" i="18"/>
  <c r="H78" i="18"/>
  <c r="H79" i="18"/>
  <c r="H80" i="18"/>
  <c r="H81" i="18"/>
  <c r="H82" i="18"/>
  <c r="H83" i="18"/>
  <c r="H84" i="18"/>
  <c r="H85" i="18"/>
  <c r="H86" i="18"/>
  <c r="H87" i="18"/>
  <c r="H88" i="18"/>
  <c r="H89" i="18"/>
  <c r="H90" i="18"/>
  <c r="H91" i="18"/>
  <c r="H92" i="18"/>
  <c r="H93" i="18"/>
  <c r="H94" i="18"/>
  <c r="H95" i="18"/>
  <c r="H96" i="18"/>
  <c r="H97" i="18"/>
  <c r="H98" i="18"/>
  <c r="H99" i="18"/>
  <c r="H100" i="18"/>
  <c r="H101" i="18"/>
  <c r="H102" i="18"/>
  <c r="H103" i="18"/>
  <c r="H104" i="18"/>
  <c r="H105" i="18"/>
  <c r="H106" i="18"/>
  <c r="H107" i="18"/>
  <c r="H108" i="18"/>
  <c r="H109" i="18"/>
  <c r="H110" i="18"/>
  <c r="H111" i="18"/>
  <c r="H112" i="18"/>
  <c r="H113" i="18"/>
  <c r="H114" i="18"/>
  <c r="H115" i="18"/>
  <c r="H116" i="18"/>
  <c r="H117" i="18"/>
  <c r="H118" i="18"/>
  <c r="H119" i="18"/>
  <c r="H120" i="18"/>
  <c r="H121" i="18"/>
  <c r="H122" i="18"/>
  <c r="H123" i="18"/>
  <c r="H124" i="18"/>
  <c r="H125" i="18"/>
  <c r="H126" i="18"/>
  <c r="H127" i="18"/>
  <c r="H128" i="18"/>
  <c r="H129" i="18"/>
  <c r="H130" i="18"/>
  <c r="H131" i="18"/>
  <c r="H132" i="18"/>
  <c r="H133" i="18"/>
  <c r="H134" i="18"/>
  <c r="H135" i="18"/>
  <c r="H136" i="18"/>
  <c r="H137" i="18"/>
  <c r="H138" i="18"/>
  <c r="H139" i="18"/>
  <c r="H140" i="18"/>
  <c r="H141" i="18"/>
  <c r="H142" i="18"/>
  <c r="H143" i="18"/>
  <c r="H144" i="18"/>
  <c r="H145" i="18"/>
  <c r="H146" i="18"/>
  <c r="H147" i="18"/>
  <c r="H148" i="18"/>
  <c r="H149" i="18"/>
  <c r="H150" i="18"/>
  <c r="H151" i="18"/>
  <c r="H152" i="18"/>
  <c r="H153" i="18"/>
  <c r="H154" i="18"/>
  <c r="H155" i="18"/>
  <c r="H156" i="18"/>
  <c r="H157" i="18"/>
  <c r="H158" i="18"/>
  <c r="H159" i="18"/>
  <c r="H160" i="18"/>
  <c r="H161" i="18"/>
  <c r="H162" i="18"/>
  <c r="H163" i="18"/>
  <c r="H164" i="18"/>
  <c r="H165" i="18"/>
  <c r="H166" i="18"/>
  <c r="H167" i="18"/>
  <c r="H168" i="18"/>
  <c r="H169" i="18"/>
  <c r="H170" i="18"/>
  <c r="H171" i="18"/>
  <c r="H172" i="18"/>
  <c r="H173" i="18"/>
  <c r="H174" i="18"/>
  <c r="H175" i="18"/>
  <c r="H176" i="18"/>
  <c r="H177" i="18"/>
  <c r="H178" i="18"/>
  <c r="H179" i="18"/>
  <c r="H180" i="18"/>
  <c r="H181" i="18"/>
  <c r="H182" i="18"/>
  <c r="H183" i="18"/>
  <c r="H184" i="18"/>
  <c r="H185" i="18"/>
  <c r="H186" i="18"/>
  <c r="H187" i="18"/>
  <c r="H188" i="18"/>
  <c r="H189" i="18"/>
  <c r="H190" i="18"/>
  <c r="H191" i="18"/>
  <c r="H192" i="18"/>
  <c r="H193" i="18"/>
  <c r="H194" i="18"/>
  <c r="H195" i="18"/>
  <c r="H196" i="18"/>
  <c r="H197" i="18"/>
  <c r="H198" i="18"/>
  <c r="H199" i="18"/>
  <c r="H200" i="18"/>
  <c r="H201" i="18"/>
  <c r="H202" i="18"/>
  <c r="H203" i="18"/>
  <c r="H204" i="18"/>
  <c r="H205" i="18"/>
  <c r="H206" i="18"/>
  <c r="H207" i="18"/>
  <c r="H208" i="18"/>
  <c r="H209" i="18"/>
  <c r="H210" i="18"/>
  <c r="H211" i="18"/>
  <c r="H212" i="18"/>
  <c r="H213" i="18"/>
  <c r="H214" i="18"/>
  <c r="H215" i="18"/>
  <c r="H216" i="18"/>
  <c r="H217" i="18"/>
  <c r="H218" i="18"/>
  <c r="H219" i="18"/>
  <c r="H220" i="18"/>
  <c r="H221" i="18"/>
  <c r="H222" i="18"/>
  <c r="H223" i="18"/>
  <c r="H224" i="18"/>
  <c r="H225" i="18"/>
  <c r="H226" i="18"/>
  <c r="H227" i="18"/>
  <c r="H228" i="18"/>
  <c r="H229" i="18"/>
  <c r="H230" i="18"/>
  <c r="H231" i="18"/>
  <c r="H232" i="18"/>
  <c r="H233" i="18"/>
  <c r="H234" i="18"/>
  <c r="H235" i="18"/>
  <c r="H236" i="18"/>
  <c r="H237" i="18"/>
  <c r="H238" i="18"/>
  <c r="H239" i="18"/>
  <c r="H240" i="18"/>
  <c r="H241" i="18"/>
  <c r="H242" i="18"/>
  <c r="H243" i="18"/>
  <c r="H244" i="18"/>
  <c r="H245" i="18"/>
  <c r="H246" i="18"/>
  <c r="H247" i="18"/>
  <c r="H248" i="18"/>
  <c r="H249" i="18"/>
  <c r="H250" i="18"/>
  <c r="H251" i="18"/>
  <c r="H252" i="18"/>
  <c r="H253" i="18"/>
  <c r="H254" i="18"/>
  <c r="H255" i="18"/>
  <c r="H256" i="18"/>
  <c r="H257" i="18"/>
  <c r="H258" i="18"/>
  <c r="H259" i="18"/>
  <c r="H260" i="18"/>
  <c r="H261" i="18"/>
  <c r="H262" i="18"/>
  <c r="H263" i="18"/>
  <c r="H264" i="18"/>
  <c r="H265" i="18"/>
  <c r="H266" i="18"/>
  <c r="H267" i="18"/>
  <c r="H268" i="18"/>
  <c r="H269" i="18"/>
  <c r="H270" i="18"/>
  <c r="H271" i="18"/>
  <c r="H272" i="18"/>
  <c r="H273" i="18"/>
  <c r="H274" i="18"/>
  <c r="H275" i="18"/>
  <c r="H276" i="18"/>
  <c r="H277" i="18"/>
  <c r="H278" i="18"/>
  <c r="H279" i="18"/>
  <c r="H280" i="18"/>
  <c r="H281" i="18"/>
  <c r="H282" i="18"/>
  <c r="H283" i="18"/>
  <c r="H284" i="18"/>
  <c r="H285" i="18"/>
  <c r="H286" i="18"/>
  <c r="H287" i="18"/>
  <c r="H288" i="18"/>
  <c r="H289" i="18"/>
  <c r="H290" i="18"/>
  <c r="H291" i="18"/>
  <c r="H292" i="18"/>
  <c r="H293" i="18"/>
  <c r="H294" i="18"/>
  <c r="H295" i="18"/>
  <c r="H296" i="18"/>
  <c r="H297" i="18"/>
  <c r="H298" i="18"/>
  <c r="H299" i="18"/>
  <c r="H300" i="18"/>
  <c r="H301" i="18"/>
  <c r="H302" i="18"/>
  <c r="H303" i="18"/>
  <c r="H304" i="18"/>
  <c r="H305" i="18"/>
  <c r="H306" i="18"/>
  <c r="H307" i="18"/>
  <c r="H308" i="18"/>
  <c r="H309" i="18"/>
  <c r="H310" i="18"/>
  <c r="H311" i="18"/>
  <c r="H312" i="18"/>
  <c r="H313" i="18"/>
  <c r="H314" i="18"/>
  <c r="H315" i="18"/>
  <c r="H316" i="18"/>
  <c r="H317" i="18"/>
  <c r="H318" i="18"/>
  <c r="H319" i="18"/>
  <c r="H320" i="18"/>
  <c r="H321" i="18"/>
  <c r="H322" i="18"/>
  <c r="H323" i="18"/>
  <c r="H324" i="18"/>
  <c r="H325" i="18"/>
  <c r="H326" i="18"/>
  <c r="H327" i="18"/>
  <c r="H328" i="18"/>
  <c r="H329" i="18"/>
  <c r="H330" i="18"/>
  <c r="H331" i="18"/>
  <c r="H332" i="18"/>
  <c r="H333" i="18"/>
  <c r="H334" i="18"/>
  <c r="H335" i="18"/>
  <c r="H336" i="18"/>
  <c r="H337" i="18"/>
  <c r="H338" i="18"/>
  <c r="H339" i="18"/>
  <c r="H340" i="18"/>
  <c r="H341" i="18"/>
  <c r="H342" i="18"/>
  <c r="H343" i="18"/>
  <c r="H344" i="18"/>
  <c r="H345" i="18"/>
  <c r="H346" i="18"/>
  <c r="H347" i="18"/>
  <c r="H348" i="18"/>
  <c r="H349" i="18"/>
  <c r="H350" i="18"/>
  <c r="H351" i="18"/>
  <c r="H352" i="18"/>
  <c r="H353" i="18"/>
  <c r="H354" i="18"/>
  <c r="H355" i="18"/>
  <c r="H356" i="18"/>
  <c r="H357" i="18"/>
  <c r="H358" i="18"/>
  <c r="H359" i="18"/>
  <c r="H360" i="18"/>
  <c r="H361" i="18"/>
  <c r="H362" i="18"/>
  <c r="H363" i="18"/>
  <c r="H364" i="18"/>
  <c r="H365" i="18"/>
  <c r="H366" i="18"/>
  <c r="H367" i="18"/>
  <c r="H368" i="18"/>
  <c r="H369" i="18"/>
  <c r="H370" i="18"/>
  <c r="H371" i="18"/>
  <c r="H372" i="18"/>
  <c r="H373" i="18"/>
  <c r="H374" i="18"/>
  <c r="H375" i="18"/>
  <c r="H376" i="18"/>
  <c r="H377" i="18"/>
  <c r="H378" i="18"/>
  <c r="H379" i="18"/>
  <c r="H380" i="18"/>
  <c r="H381" i="18"/>
  <c r="H382" i="18"/>
  <c r="H383" i="18"/>
  <c r="H384" i="18"/>
  <c r="H385" i="18"/>
  <c r="H386" i="18"/>
  <c r="H387" i="18"/>
  <c r="H388" i="18"/>
  <c r="H389" i="18"/>
  <c r="H390" i="18"/>
  <c r="H391" i="18"/>
  <c r="H392" i="18"/>
  <c r="H393" i="18"/>
  <c r="H394" i="18"/>
  <c r="H395" i="18"/>
  <c r="H396" i="18"/>
  <c r="H397" i="18"/>
  <c r="H398" i="18"/>
  <c r="H399" i="18"/>
  <c r="H400" i="18"/>
  <c r="H401" i="18"/>
  <c r="H402" i="18"/>
  <c r="H403" i="18"/>
  <c r="H404" i="18"/>
  <c r="H405" i="18"/>
  <c r="H406" i="18"/>
  <c r="H407" i="18"/>
  <c r="H408" i="18"/>
  <c r="H409" i="18"/>
  <c r="H410" i="18"/>
  <c r="H411" i="18"/>
  <c r="H412" i="18"/>
  <c r="H413" i="18"/>
  <c r="H414" i="18"/>
  <c r="H415" i="18"/>
  <c r="H416" i="18"/>
  <c r="H417" i="18"/>
  <c r="H418" i="18"/>
  <c r="H419" i="18"/>
  <c r="H420" i="18"/>
  <c r="H421" i="18"/>
  <c r="H422" i="18"/>
  <c r="H423" i="18"/>
  <c r="H424" i="18"/>
  <c r="H425" i="18"/>
  <c r="H426" i="18"/>
  <c r="H427" i="18"/>
  <c r="H428" i="18"/>
  <c r="H429" i="18"/>
  <c r="H430" i="18"/>
  <c r="H431" i="18"/>
  <c r="H432" i="18"/>
  <c r="H433" i="18"/>
  <c r="H434" i="18"/>
  <c r="H435" i="18"/>
  <c r="H436" i="18"/>
  <c r="H437" i="18"/>
  <c r="H438" i="18"/>
  <c r="H439" i="18"/>
  <c r="H440" i="18"/>
  <c r="H441" i="18"/>
  <c r="H442" i="18"/>
  <c r="H443" i="18"/>
  <c r="H444" i="18"/>
  <c r="H445" i="18"/>
  <c r="H446" i="18"/>
  <c r="H447" i="18"/>
  <c r="H448" i="18"/>
  <c r="H449" i="18"/>
  <c r="H450" i="18"/>
  <c r="H451" i="18"/>
  <c r="H452" i="18"/>
  <c r="H453" i="18"/>
  <c r="H454" i="18"/>
  <c r="H455" i="18"/>
  <c r="H456" i="18"/>
  <c r="H457" i="18"/>
  <c r="H458" i="18"/>
  <c r="H459" i="18"/>
  <c r="H460" i="18"/>
  <c r="H461" i="18"/>
  <c r="H462" i="18"/>
  <c r="H463" i="18"/>
  <c r="H464" i="18"/>
  <c r="H465" i="18"/>
  <c r="H466" i="18"/>
  <c r="H467" i="18"/>
  <c r="H468" i="18"/>
  <c r="H469" i="18"/>
  <c r="H470" i="18"/>
  <c r="H471" i="18"/>
  <c r="H472" i="18"/>
  <c r="H473" i="18"/>
  <c r="H474" i="18"/>
  <c r="H475" i="18"/>
  <c r="H476" i="18"/>
  <c r="H477" i="18"/>
  <c r="H478" i="18"/>
  <c r="H479" i="18"/>
  <c r="H480" i="18"/>
  <c r="H481" i="18"/>
  <c r="H482" i="18"/>
  <c r="H483" i="18"/>
  <c r="H484" i="18"/>
  <c r="H485" i="18"/>
  <c r="H486" i="18"/>
  <c r="H487" i="18"/>
  <c r="H488" i="18"/>
  <c r="H489" i="18"/>
  <c r="H490" i="18"/>
  <c r="H491" i="18"/>
  <c r="H492" i="18"/>
  <c r="H493" i="18"/>
  <c r="H494" i="18"/>
  <c r="H495" i="18"/>
  <c r="H496" i="18"/>
  <c r="H497" i="18"/>
  <c r="H498" i="18"/>
  <c r="H499" i="18"/>
  <c r="H500" i="18"/>
  <c r="H1" i="18"/>
  <c r="B2" i="18"/>
  <c r="B3" i="18"/>
  <c r="B4" i="18"/>
  <c r="B5" i="18"/>
  <c r="B6" i="18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29" i="18"/>
  <c r="B30" i="18"/>
  <c r="B31" i="18"/>
  <c r="B32" i="18"/>
  <c r="B33" i="18"/>
  <c r="B34" i="18"/>
  <c r="B35" i="18"/>
  <c r="B36" i="18"/>
  <c r="B37" i="18"/>
  <c r="B38" i="18"/>
  <c r="B39" i="18"/>
  <c r="B40" i="18"/>
  <c r="B41" i="18"/>
  <c r="B42" i="18"/>
  <c r="B43" i="18"/>
  <c r="B44" i="18"/>
  <c r="B45" i="18"/>
  <c r="B46" i="18"/>
  <c r="B47" i="18"/>
  <c r="B48" i="18"/>
  <c r="B49" i="18"/>
  <c r="B50" i="18"/>
  <c r="B51" i="18"/>
  <c r="B52" i="18"/>
  <c r="B53" i="18"/>
  <c r="B54" i="18"/>
  <c r="B55" i="18"/>
  <c r="B56" i="18"/>
  <c r="B57" i="18"/>
  <c r="B58" i="18"/>
  <c r="B59" i="18"/>
  <c r="B60" i="18"/>
  <c r="B61" i="18"/>
  <c r="B62" i="18"/>
  <c r="B63" i="18"/>
  <c r="B64" i="18"/>
  <c r="B65" i="18"/>
  <c r="B66" i="18"/>
  <c r="B67" i="18"/>
  <c r="B68" i="18"/>
  <c r="B69" i="18"/>
  <c r="B70" i="18"/>
  <c r="B71" i="18"/>
  <c r="B72" i="18"/>
  <c r="B73" i="18"/>
  <c r="B74" i="18"/>
  <c r="B75" i="18"/>
  <c r="B76" i="18"/>
  <c r="B77" i="18"/>
  <c r="B78" i="18"/>
  <c r="B79" i="18"/>
  <c r="B80" i="18"/>
  <c r="B81" i="18"/>
  <c r="B82" i="18"/>
  <c r="B83" i="18"/>
  <c r="B84" i="18"/>
  <c r="B85" i="18"/>
  <c r="B86" i="18"/>
  <c r="B87" i="18"/>
  <c r="B88" i="18"/>
  <c r="B89" i="18"/>
  <c r="B90" i="18"/>
  <c r="B91" i="18"/>
  <c r="B92" i="18"/>
  <c r="B93" i="18"/>
  <c r="B94" i="18"/>
  <c r="B95" i="18"/>
  <c r="B96" i="18"/>
  <c r="B97" i="18"/>
  <c r="B98" i="18"/>
  <c r="B99" i="18"/>
  <c r="B100" i="18"/>
  <c r="B101" i="18"/>
  <c r="B102" i="18"/>
  <c r="B103" i="18"/>
  <c r="B104" i="18"/>
  <c r="B105" i="18"/>
  <c r="B106" i="18"/>
  <c r="B107" i="18"/>
  <c r="B108" i="18"/>
  <c r="B109" i="18"/>
  <c r="B110" i="18"/>
  <c r="B111" i="18"/>
  <c r="B112" i="18"/>
  <c r="B113" i="18"/>
  <c r="B114" i="18"/>
  <c r="B115" i="18"/>
  <c r="B116" i="18"/>
  <c r="B117" i="18"/>
  <c r="B118" i="18"/>
  <c r="B119" i="18"/>
  <c r="B120" i="18"/>
  <c r="B121" i="18"/>
  <c r="B122" i="18"/>
  <c r="B123" i="18"/>
  <c r="B124" i="18"/>
  <c r="B125" i="18"/>
  <c r="B126" i="18"/>
  <c r="B127" i="18"/>
  <c r="B128" i="18"/>
  <c r="B129" i="18"/>
  <c r="B130" i="18"/>
  <c r="B131" i="18"/>
  <c r="B132" i="18"/>
  <c r="B133" i="18"/>
  <c r="B134" i="18"/>
  <c r="B135" i="18"/>
  <c r="B136" i="18"/>
  <c r="B137" i="18"/>
  <c r="B138" i="18"/>
  <c r="B139" i="18"/>
  <c r="B140" i="18"/>
  <c r="B141" i="18"/>
  <c r="B142" i="18"/>
  <c r="B143" i="18"/>
  <c r="B144" i="18"/>
  <c r="B145" i="18"/>
  <c r="B146" i="18"/>
  <c r="B147" i="18"/>
  <c r="B148" i="18"/>
  <c r="B149" i="18"/>
  <c r="B150" i="18"/>
  <c r="B151" i="18"/>
  <c r="B152" i="18"/>
  <c r="B153" i="18"/>
  <c r="B154" i="18"/>
  <c r="B155" i="18"/>
  <c r="B156" i="18"/>
  <c r="B157" i="18"/>
  <c r="B158" i="18"/>
  <c r="B159" i="18"/>
  <c r="B160" i="18"/>
  <c r="B161" i="18"/>
  <c r="B162" i="18"/>
  <c r="B163" i="18"/>
  <c r="B164" i="18"/>
  <c r="B165" i="18"/>
  <c r="B166" i="18"/>
  <c r="B167" i="18"/>
  <c r="B168" i="18"/>
  <c r="B169" i="18"/>
  <c r="B170" i="18"/>
  <c r="B171" i="18"/>
  <c r="B172" i="18"/>
  <c r="B173" i="18"/>
  <c r="B174" i="18"/>
  <c r="B175" i="18"/>
  <c r="B176" i="18"/>
  <c r="B177" i="18"/>
  <c r="B178" i="18"/>
  <c r="B179" i="18"/>
  <c r="B180" i="18"/>
  <c r="B181" i="18"/>
  <c r="B182" i="18"/>
  <c r="B183" i="18"/>
  <c r="B184" i="18"/>
  <c r="B185" i="18"/>
  <c r="B186" i="18"/>
  <c r="B187" i="18"/>
  <c r="B188" i="18"/>
  <c r="B189" i="18"/>
  <c r="B190" i="18"/>
  <c r="B191" i="18"/>
  <c r="B192" i="18"/>
  <c r="B193" i="18"/>
  <c r="B194" i="18"/>
  <c r="B195" i="18"/>
  <c r="B196" i="18"/>
  <c r="B197" i="18"/>
  <c r="B198" i="18"/>
  <c r="B199" i="18"/>
  <c r="B200" i="18"/>
  <c r="B201" i="18"/>
  <c r="B202" i="18"/>
  <c r="B203" i="18"/>
  <c r="B204" i="18"/>
  <c r="B205" i="18"/>
  <c r="B206" i="18"/>
  <c r="B207" i="18"/>
  <c r="B208" i="18"/>
  <c r="B209" i="18"/>
  <c r="B210" i="18"/>
  <c r="B211" i="18"/>
  <c r="B212" i="18"/>
  <c r="B213" i="18"/>
  <c r="B214" i="18"/>
  <c r="B215" i="18"/>
  <c r="B216" i="18"/>
  <c r="B217" i="18"/>
  <c r="B218" i="18"/>
  <c r="B219" i="18"/>
  <c r="B220" i="18"/>
  <c r="B221" i="18"/>
  <c r="B222" i="18"/>
  <c r="B223" i="18"/>
  <c r="B224" i="18"/>
  <c r="B225" i="18"/>
  <c r="B226" i="18"/>
  <c r="B227" i="18"/>
  <c r="B228" i="18"/>
  <c r="B229" i="18"/>
  <c r="B230" i="18"/>
  <c r="B231" i="18"/>
  <c r="B232" i="18"/>
  <c r="B233" i="18"/>
  <c r="B234" i="18"/>
  <c r="B235" i="18"/>
  <c r="B236" i="18"/>
  <c r="B237" i="18"/>
  <c r="B238" i="18"/>
  <c r="B239" i="18"/>
  <c r="B240" i="18"/>
  <c r="B241" i="18"/>
  <c r="B242" i="18"/>
  <c r="B243" i="18"/>
  <c r="B244" i="18"/>
  <c r="B245" i="18"/>
  <c r="B246" i="18"/>
  <c r="B247" i="18"/>
  <c r="B248" i="18"/>
  <c r="B249" i="18"/>
  <c r="B250" i="18"/>
  <c r="B251" i="18"/>
  <c r="B252" i="18"/>
  <c r="B253" i="18"/>
  <c r="B254" i="18"/>
  <c r="B255" i="18"/>
  <c r="B256" i="18"/>
  <c r="B257" i="18"/>
  <c r="B258" i="18"/>
  <c r="B259" i="18"/>
  <c r="B260" i="18"/>
  <c r="B261" i="18"/>
  <c r="B262" i="18"/>
  <c r="B263" i="18"/>
  <c r="B264" i="18"/>
  <c r="B265" i="18"/>
  <c r="B266" i="18"/>
  <c r="B267" i="18"/>
  <c r="B268" i="18"/>
  <c r="B269" i="18"/>
  <c r="B270" i="18"/>
  <c r="B271" i="18"/>
  <c r="B272" i="18"/>
  <c r="B273" i="18"/>
  <c r="B274" i="18"/>
  <c r="B275" i="18"/>
  <c r="B276" i="18"/>
  <c r="B277" i="18"/>
  <c r="B278" i="18"/>
  <c r="B279" i="18"/>
  <c r="B280" i="18"/>
  <c r="B281" i="18"/>
  <c r="B282" i="18"/>
  <c r="B283" i="18"/>
  <c r="B284" i="18"/>
  <c r="B285" i="18"/>
  <c r="B286" i="18"/>
  <c r="B287" i="18"/>
  <c r="B288" i="18"/>
  <c r="B289" i="18"/>
  <c r="B290" i="18"/>
  <c r="B291" i="18"/>
  <c r="B292" i="18"/>
  <c r="B293" i="18"/>
  <c r="B294" i="18"/>
  <c r="B295" i="18"/>
  <c r="B296" i="18"/>
  <c r="B297" i="18"/>
  <c r="B298" i="18"/>
  <c r="B299" i="18"/>
  <c r="B300" i="18"/>
  <c r="B301" i="18"/>
  <c r="B302" i="18"/>
  <c r="B303" i="18"/>
  <c r="B304" i="18"/>
  <c r="B305" i="18"/>
  <c r="B306" i="18"/>
  <c r="B307" i="18"/>
  <c r="B308" i="18"/>
  <c r="B309" i="18"/>
  <c r="B310" i="18"/>
  <c r="B311" i="18"/>
  <c r="B312" i="18"/>
  <c r="B313" i="18"/>
  <c r="B314" i="18"/>
  <c r="B315" i="18"/>
  <c r="B316" i="18"/>
  <c r="B317" i="18"/>
  <c r="B318" i="18"/>
  <c r="B319" i="18"/>
  <c r="B320" i="18"/>
  <c r="B321" i="18"/>
  <c r="B322" i="18"/>
  <c r="B323" i="18"/>
  <c r="B324" i="18"/>
  <c r="B325" i="18"/>
  <c r="B326" i="18"/>
  <c r="B327" i="18"/>
  <c r="B328" i="18"/>
  <c r="B329" i="18"/>
  <c r="B330" i="18"/>
  <c r="B331" i="18"/>
  <c r="B332" i="18"/>
  <c r="B333" i="18"/>
  <c r="B334" i="18"/>
  <c r="B335" i="18"/>
  <c r="B336" i="18"/>
  <c r="B337" i="18"/>
  <c r="B338" i="18"/>
  <c r="B339" i="18"/>
  <c r="B340" i="18"/>
  <c r="B341" i="18"/>
  <c r="B342" i="18"/>
  <c r="B343" i="18"/>
  <c r="B344" i="18"/>
  <c r="B345" i="18"/>
  <c r="B346" i="18"/>
  <c r="B347" i="18"/>
  <c r="B348" i="18"/>
  <c r="B349" i="18"/>
  <c r="B350" i="18"/>
  <c r="B351" i="18"/>
  <c r="B352" i="18"/>
  <c r="B353" i="18"/>
  <c r="B354" i="18"/>
  <c r="B355" i="18"/>
  <c r="B356" i="18"/>
  <c r="B357" i="18"/>
  <c r="B358" i="18"/>
  <c r="B359" i="18"/>
  <c r="B360" i="18"/>
  <c r="B361" i="18"/>
  <c r="B362" i="18"/>
  <c r="B363" i="18"/>
  <c r="B364" i="18"/>
  <c r="B365" i="18"/>
  <c r="B366" i="18"/>
  <c r="B367" i="18"/>
  <c r="B368" i="18"/>
  <c r="B369" i="18"/>
  <c r="B370" i="18"/>
  <c r="B371" i="18"/>
  <c r="B372" i="18"/>
  <c r="B373" i="18"/>
  <c r="B374" i="18"/>
  <c r="B375" i="18"/>
  <c r="B376" i="18"/>
  <c r="B377" i="18"/>
  <c r="B378" i="18"/>
  <c r="B379" i="18"/>
  <c r="B380" i="18"/>
  <c r="B381" i="18"/>
  <c r="B382" i="18"/>
  <c r="B383" i="18"/>
  <c r="B384" i="18"/>
  <c r="B385" i="18"/>
  <c r="B386" i="18"/>
  <c r="B387" i="18"/>
  <c r="B388" i="18"/>
  <c r="B389" i="18"/>
  <c r="B390" i="18"/>
  <c r="B391" i="18"/>
  <c r="B392" i="18"/>
  <c r="B393" i="18"/>
  <c r="B394" i="18"/>
  <c r="B395" i="18"/>
  <c r="B396" i="18"/>
  <c r="B397" i="18"/>
  <c r="B398" i="18"/>
  <c r="B399" i="18"/>
  <c r="B400" i="18"/>
  <c r="B401" i="18"/>
  <c r="B402" i="18"/>
  <c r="B403" i="18"/>
  <c r="B404" i="18"/>
  <c r="B405" i="18"/>
  <c r="B406" i="18"/>
  <c r="B407" i="18"/>
  <c r="B408" i="18"/>
  <c r="B409" i="18"/>
  <c r="B410" i="18"/>
  <c r="B411" i="18"/>
  <c r="B412" i="18"/>
  <c r="B413" i="18"/>
  <c r="B414" i="18"/>
  <c r="B415" i="18"/>
  <c r="B416" i="18"/>
  <c r="B417" i="18"/>
  <c r="B418" i="18"/>
  <c r="B419" i="18"/>
  <c r="B420" i="18"/>
  <c r="B421" i="18"/>
  <c r="B422" i="18"/>
  <c r="B423" i="18"/>
  <c r="B424" i="18"/>
  <c r="B425" i="18"/>
  <c r="B426" i="18"/>
  <c r="B427" i="18"/>
  <c r="B428" i="18"/>
  <c r="B429" i="18"/>
  <c r="B430" i="18"/>
  <c r="B431" i="18"/>
  <c r="B432" i="18"/>
  <c r="B433" i="18"/>
  <c r="B434" i="18"/>
  <c r="B435" i="18"/>
  <c r="B436" i="18"/>
  <c r="B437" i="18"/>
  <c r="B438" i="18"/>
  <c r="B439" i="18"/>
  <c r="B440" i="18"/>
  <c r="B441" i="18"/>
  <c r="B442" i="18"/>
  <c r="B443" i="18"/>
  <c r="B444" i="18"/>
  <c r="B445" i="18"/>
  <c r="B446" i="18"/>
  <c r="B447" i="18"/>
  <c r="B448" i="18"/>
  <c r="B449" i="18"/>
  <c r="B450" i="18"/>
  <c r="B451" i="18"/>
  <c r="B452" i="18"/>
  <c r="B453" i="18"/>
  <c r="B454" i="18"/>
  <c r="B455" i="18"/>
  <c r="B456" i="18"/>
  <c r="B457" i="18"/>
  <c r="B458" i="18"/>
  <c r="B459" i="18"/>
  <c r="B460" i="18"/>
  <c r="B461" i="18"/>
  <c r="B462" i="18"/>
  <c r="B463" i="18"/>
  <c r="B464" i="18"/>
  <c r="B465" i="18"/>
  <c r="B466" i="18"/>
  <c r="B467" i="18"/>
  <c r="B468" i="18"/>
  <c r="B469" i="18"/>
  <c r="B470" i="18"/>
  <c r="B471" i="18"/>
  <c r="B472" i="18"/>
  <c r="B473" i="18"/>
  <c r="B474" i="18"/>
  <c r="B475" i="18"/>
  <c r="B476" i="18"/>
  <c r="B477" i="18"/>
  <c r="B478" i="18"/>
  <c r="B479" i="18"/>
  <c r="B480" i="18"/>
  <c r="B481" i="18"/>
  <c r="B482" i="18"/>
  <c r="B483" i="18"/>
  <c r="B484" i="18"/>
  <c r="B485" i="18"/>
  <c r="B486" i="18"/>
  <c r="B487" i="18"/>
  <c r="B488" i="18"/>
  <c r="B489" i="18"/>
  <c r="B490" i="18"/>
  <c r="B491" i="18"/>
  <c r="B492" i="18"/>
  <c r="B493" i="18"/>
  <c r="B494" i="18"/>
  <c r="B495" i="18"/>
  <c r="B496" i="18"/>
  <c r="B497" i="18"/>
  <c r="B498" i="18"/>
  <c r="B499" i="18"/>
  <c r="B500" i="18"/>
  <c r="B1" i="18"/>
  <c r="B337" i="15" l="1"/>
  <c r="B149" i="15"/>
  <c r="B283" i="15"/>
  <c r="B493" i="15"/>
  <c r="B22" i="15"/>
  <c r="B191" i="15"/>
  <c r="B447" i="15"/>
  <c r="B278" i="15"/>
  <c r="B471" i="15"/>
  <c r="B476" i="15"/>
  <c r="B407" i="15"/>
  <c r="B171" i="15"/>
  <c r="B13" i="15"/>
  <c r="B477" i="15"/>
  <c r="B102" i="15"/>
  <c r="B118" i="15"/>
  <c r="B314" i="15"/>
  <c r="B341" i="15"/>
  <c r="B483" i="15"/>
  <c r="B281" i="15"/>
  <c r="B214" i="15"/>
  <c r="B63" i="15"/>
  <c r="B426" i="15"/>
  <c r="B24" i="15"/>
  <c r="B422" i="15"/>
  <c r="B161" i="15"/>
  <c r="B451" i="15"/>
  <c r="B419" i="15"/>
  <c r="B335" i="15"/>
  <c r="B247" i="15"/>
  <c r="B331" i="15"/>
  <c r="B267" i="15"/>
  <c r="B121" i="15"/>
  <c r="B273" i="15"/>
  <c r="B418" i="15"/>
  <c r="B105" i="15"/>
  <c r="B246" i="15"/>
  <c r="B47" i="15"/>
  <c r="B379" i="15"/>
  <c r="B53" i="15"/>
  <c r="B248" i="15"/>
  <c r="B240" i="15"/>
  <c r="B135" i="15"/>
  <c r="B36" i="15"/>
  <c r="B400" i="15"/>
  <c r="B190" i="15"/>
  <c r="B439" i="15"/>
  <c r="B346" i="15"/>
  <c r="B45" i="15"/>
  <c r="B375" i="15"/>
  <c r="B402" i="15"/>
  <c r="B55" i="15"/>
  <c r="B316" i="15"/>
  <c r="B109" i="15"/>
  <c r="B160" i="15"/>
  <c r="B70" i="15"/>
  <c r="B23" i="15"/>
  <c r="B427" i="15"/>
  <c r="B463" i="15"/>
  <c r="B349" i="15"/>
  <c r="B75" i="15"/>
  <c r="B2" i="15"/>
  <c r="B177" i="15"/>
  <c r="B257" i="15"/>
  <c r="B199" i="15"/>
  <c r="B315" i="15"/>
  <c r="B136" i="15"/>
  <c r="B143" i="15"/>
  <c r="B298" i="15"/>
  <c r="B416" i="15"/>
  <c r="B453" i="15"/>
  <c r="B277" i="15"/>
  <c r="B94" i="15"/>
  <c r="B197" i="15"/>
  <c r="B174" i="15"/>
  <c r="B30" i="15"/>
  <c r="B7" i="15"/>
  <c r="B150" i="15"/>
  <c r="B344" i="15"/>
  <c r="B302" i="15"/>
  <c r="B370" i="15"/>
  <c r="B436" i="15"/>
  <c r="B475" i="15"/>
  <c r="B388" i="15"/>
  <c r="B20" i="15"/>
  <c r="B487" i="15"/>
  <c r="B151" i="15"/>
  <c r="B438" i="15"/>
  <c r="B68" i="15"/>
  <c r="B305" i="15"/>
  <c r="B152" i="15"/>
  <c r="B387" i="15"/>
  <c r="B66" i="15"/>
  <c r="B239" i="15"/>
  <c r="B494" i="15"/>
  <c r="B354" i="15"/>
  <c r="B65" i="15"/>
  <c r="B308" i="15"/>
  <c r="B318" i="15"/>
  <c r="B405" i="15"/>
  <c r="B145" i="15"/>
  <c r="B72" i="15"/>
  <c r="B417" i="15"/>
  <c r="B179" i="15"/>
  <c r="B212" i="15"/>
  <c r="B484" i="15"/>
  <c r="B223" i="15"/>
  <c r="B43" i="15"/>
  <c r="B309" i="15"/>
  <c r="B345" i="15"/>
  <c r="B226" i="15"/>
  <c r="B342" i="15"/>
  <c r="B192" i="15"/>
  <c r="B448" i="15"/>
  <c r="B374" i="15"/>
  <c r="B137" i="15"/>
  <c r="B228" i="15"/>
  <c r="B350" i="15"/>
  <c r="B255" i="15"/>
  <c r="B250" i="15"/>
  <c r="B413" i="15"/>
  <c r="B303" i="15"/>
  <c r="B468" i="15"/>
  <c r="B132" i="15"/>
  <c r="B54" i="15"/>
  <c r="B89" i="15"/>
  <c r="B93" i="15"/>
  <c r="B262" i="15"/>
  <c r="B242" i="15"/>
  <c r="B280" i="15"/>
  <c r="B101" i="15"/>
  <c r="B114" i="15"/>
  <c r="B29" i="15"/>
  <c r="B12" i="15"/>
  <c r="B173" i="15"/>
  <c r="B363" i="15"/>
  <c r="B338" i="15"/>
  <c r="B312" i="15"/>
  <c r="B10" i="15"/>
  <c r="B474" i="15"/>
  <c r="B167" i="15"/>
  <c r="B207" i="15"/>
  <c r="B390" i="15"/>
  <c r="B48" i="15"/>
  <c r="B83" i="15"/>
  <c r="B153" i="15"/>
  <c r="B414" i="15"/>
  <c r="B325" i="15"/>
  <c r="B175" i="15"/>
  <c r="B464" i="15"/>
  <c r="B383" i="15"/>
  <c r="B4" i="15"/>
  <c r="B219" i="15"/>
  <c r="B202" i="15"/>
  <c r="B112" i="15"/>
  <c r="B139" i="15"/>
  <c r="B322" i="15"/>
  <c r="B117" i="15"/>
  <c r="B360" i="15"/>
  <c r="B227" i="15"/>
  <c r="B42" i="15"/>
  <c r="B194" i="15"/>
  <c r="B385" i="15"/>
  <c r="B67" i="15"/>
  <c r="B237" i="15"/>
  <c r="B90" i="15"/>
  <c r="B458" i="15"/>
  <c r="B258" i="15"/>
  <c r="B76" i="15"/>
  <c r="B264" i="15"/>
  <c r="B482" i="15"/>
  <c r="B408" i="15"/>
  <c r="B166" i="15"/>
  <c r="B361" i="15"/>
  <c r="B327" i="15"/>
  <c r="B364" i="15"/>
  <c r="B234" i="15"/>
  <c r="B454" i="15"/>
  <c r="B182" i="15"/>
  <c r="B485" i="15"/>
  <c r="B61" i="15"/>
  <c r="B462" i="15"/>
  <c r="B367" i="15"/>
  <c r="B478" i="15"/>
  <c r="B259" i="15"/>
  <c r="B466" i="15"/>
  <c r="B79" i="15"/>
  <c r="B15" i="15"/>
  <c r="B339" i="15"/>
  <c r="B430" i="15"/>
  <c r="B445" i="15"/>
  <c r="B31" i="15"/>
  <c r="B172" i="15"/>
  <c r="B216" i="15"/>
  <c r="B456" i="15"/>
  <c r="B144" i="15"/>
  <c r="B328" i="15"/>
  <c r="B108" i="15"/>
  <c r="B286" i="15"/>
  <c r="B58" i="15"/>
  <c r="B365" i="15"/>
  <c r="B25" i="15"/>
  <c r="B500" i="15"/>
  <c r="B391" i="15"/>
  <c r="B285" i="15"/>
  <c r="B373" i="15"/>
  <c r="B3" i="15"/>
  <c r="B205" i="15"/>
  <c r="B279" i="15"/>
  <c r="B492" i="15"/>
  <c r="B181" i="15"/>
  <c r="B488" i="15"/>
  <c r="B245" i="15"/>
  <c r="B35" i="15"/>
  <c r="B287" i="15"/>
  <c r="B401" i="15"/>
  <c r="B441" i="15"/>
  <c r="B252" i="15"/>
  <c r="B217" i="15"/>
  <c r="B296" i="15"/>
  <c r="B32" i="15"/>
  <c r="B470" i="15"/>
  <c r="B116" i="15"/>
  <c r="B293" i="15"/>
  <c r="B284" i="15"/>
  <c r="B348" i="15"/>
  <c r="B423" i="15"/>
  <c r="B122" i="15"/>
  <c r="B104" i="15"/>
  <c r="B362" i="15"/>
  <c r="B91" i="15"/>
  <c r="B479" i="15"/>
  <c r="B100" i="15"/>
  <c r="B251" i="15"/>
  <c r="B306" i="15"/>
  <c r="B81" i="15"/>
  <c r="B185" i="15"/>
  <c r="B380" i="15"/>
  <c r="B146" i="15"/>
  <c r="B168" i="15"/>
  <c r="B103" i="15"/>
  <c r="B366" i="15"/>
  <c r="B115" i="15"/>
  <c r="B131" i="15"/>
  <c r="B236" i="15"/>
  <c r="B95" i="15"/>
  <c r="B111" i="15"/>
  <c r="B457" i="15"/>
  <c r="B392" i="15"/>
  <c r="B129" i="15"/>
  <c r="B336" i="15"/>
  <c r="B178" i="15"/>
  <c r="B201" i="15"/>
  <c r="B343" i="15"/>
  <c r="B396" i="15"/>
  <c r="B126" i="15"/>
  <c r="B82" i="15"/>
  <c r="B213" i="15"/>
  <c r="B120" i="15"/>
  <c r="B394" i="15"/>
  <c r="B77" i="15"/>
  <c r="B156" i="15"/>
  <c r="B96" i="15"/>
  <c r="B17" i="15"/>
  <c r="B276" i="15"/>
  <c r="B381" i="15"/>
  <c r="B399" i="15"/>
  <c r="B329" i="15"/>
  <c r="B368" i="15"/>
  <c r="B215" i="15"/>
  <c r="B59" i="15"/>
  <c r="B133" i="15"/>
  <c r="B266" i="15"/>
  <c r="B459" i="15"/>
  <c r="B321" i="15"/>
  <c r="B88" i="15"/>
  <c r="B225" i="15"/>
  <c r="B411" i="15"/>
  <c r="B51" i="15"/>
  <c r="B40" i="15"/>
  <c r="B467" i="15"/>
  <c r="B435" i="15"/>
  <c r="B206" i="15"/>
  <c r="B352" i="15"/>
  <c r="B384" i="15"/>
  <c r="B158" i="15"/>
  <c r="B209" i="15"/>
  <c r="B428" i="15"/>
  <c r="B6" i="15"/>
  <c r="B164" i="15"/>
  <c r="B489" i="15"/>
  <c r="B222" i="15"/>
  <c r="B193" i="15"/>
  <c r="B16" i="15"/>
  <c r="B357" i="15"/>
  <c r="B469" i="15"/>
  <c r="B334" i="15"/>
  <c r="B307" i="15"/>
  <c r="B461" i="15"/>
  <c r="B73" i="15"/>
  <c r="B57" i="15"/>
  <c r="B324" i="15"/>
  <c r="B38" i="15"/>
  <c r="B452" i="15"/>
  <c r="B323" i="15"/>
  <c r="B376" i="15"/>
  <c r="B446" i="15"/>
  <c r="B44" i="15"/>
  <c r="B162" i="15"/>
  <c r="B261" i="15"/>
  <c r="B424" i="15"/>
  <c r="B263" i="15"/>
  <c r="B271" i="15"/>
  <c r="B269" i="15"/>
  <c r="B313" i="15"/>
  <c r="B353" i="15"/>
  <c r="B326" i="15"/>
  <c r="B69" i="15"/>
  <c r="B497" i="15"/>
  <c r="B421" i="15"/>
  <c r="B229" i="15"/>
  <c r="B299" i="15"/>
  <c r="B128" i="15"/>
  <c r="B409" i="15"/>
  <c r="B282" i="15"/>
  <c r="B125" i="15"/>
  <c r="B412" i="15"/>
  <c r="B52" i="15"/>
  <c r="B123" i="15"/>
  <c r="B163" i="15"/>
  <c r="B62" i="15"/>
  <c r="B224" i="15"/>
  <c r="B371" i="15"/>
  <c r="B195" i="15"/>
  <c r="B332" i="15"/>
  <c r="B97" i="15"/>
  <c r="B406" i="15"/>
  <c r="B80" i="15"/>
  <c r="B340" i="15"/>
  <c r="B138" i="15"/>
  <c r="B398" i="15"/>
  <c r="B486" i="15"/>
  <c r="B378" i="15"/>
  <c r="B28" i="15"/>
  <c r="B19" i="15"/>
  <c r="B8" i="15"/>
  <c r="B465" i="15"/>
  <c r="B84" i="15"/>
  <c r="B425" i="15"/>
  <c r="B358" i="15"/>
  <c r="B319" i="15"/>
  <c r="B26" i="15"/>
  <c r="B268" i="15"/>
  <c r="B490" i="15"/>
  <c r="B301" i="15"/>
  <c r="B142" i="15"/>
  <c r="B372" i="15"/>
  <c r="B235" i="15"/>
  <c r="B60" i="15"/>
  <c r="B437" i="15"/>
  <c r="B395" i="15"/>
  <c r="B14" i="15"/>
  <c r="B21" i="15"/>
  <c r="B92" i="15"/>
  <c r="B429" i="15"/>
  <c r="B98" i="15"/>
  <c r="B455" i="15"/>
  <c r="B241" i="15"/>
  <c r="B140" i="15"/>
  <c r="B64" i="15"/>
  <c r="B275" i="15"/>
  <c r="B443" i="15"/>
  <c r="B288" i="15"/>
  <c r="B208" i="15"/>
  <c r="B291" i="15"/>
  <c r="B359" i="15"/>
  <c r="B113" i="15"/>
  <c r="B130" i="15"/>
  <c r="B442" i="15"/>
  <c r="B382" i="15"/>
  <c r="B356" i="15"/>
  <c r="B317" i="15"/>
  <c r="B249" i="15"/>
  <c r="B176" i="15"/>
  <c r="B189" i="15"/>
  <c r="B41" i="15"/>
  <c r="B440" i="15"/>
  <c r="B9" i="15"/>
  <c r="B415" i="15"/>
  <c r="B220" i="15"/>
  <c r="B87" i="15"/>
  <c r="B289" i="15"/>
  <c r="B244" i="15"/>
  <c r="B297" i="15"/>
  <c r="B180" i="15"/>
  <c r="B389" i="15"/>
  <c r="B204" i="15"/>
  <c r="B186" i="15"/>
  <c r="B292" i="15"/>
  <c r="B410" i="15"/>
  <c r="B46" i="15"/>
  <c r="B211" i="15"/>
  <c r="B230" i="15"/>
  <c r="B253" i="15"/>
  <c r="B155" i="15"/>
  <c r="B86" i="15"/>
  <c r="B110" i="15"/>
  <c r="B119" i="15"/>
  <c r="B198" i="15"/>
  <c r="B260" i="15"/>
  <c r="B159" i="15"/>
  <c r="B404" i="15"/>
  <c r="B231" i="15"/>
  <c r="B148" i="15"/>
  <c r="B169" i="15"/>
  <c r="B495" i="15"/>
  <c r="B310" i="15"/>
  <c r="B196" i="15"/>
  <c r="B444" i="15"/>
  <c r="B369" i="15"/>
  <c r="B431" i="15"/>
  <c r="B74" i="15"/>
  <c r="B393" i="15"/>
  <c r="B233" i="15"/>
  <c r="B34" i="15"/>
  <c r="B49" i="15"/>
  <c r="B270" i="15"/>
  <c r="B187" i="15"/>
  <c r="B37" i="15"/>
  <c r="B210" i="15"/>
  <c r="B386" i="15"/>
  <c r="B107" i="15"/>
  <c r="B351" i="15"/>
  <c r="B203" i="15"/>
  <c r="B157" i="15"/>
  <c r="B200" i="15"/>
  <c r="B295" i="15"/>
  <c r="B184" i="15"/>
  <c r="B254" i="15"/>
  <c r="B39" i="15"/>
  <c r="B311" i="15"/>
  <c r="B71" i="15"/>
  <c r="B78" i="15"/>
  <c r="B333" i="15"/>
  <c r="B498" i="15"/>
  <c r="B449" i="15"/>
  <c r="B221" i="15"/>
  <c r="B147" i="15"/>
  <c r="B218" i="15"/>
  <c r="B265" i="15"/>
  <c r="B127" i="15"/>
  <c r="B347" i="15"/>
  <c r="B11" i="15"/>
  <c r="B472" i="15"/>
  <c r="B355" i="15"/>
  <c r="B434" i="15"/>
  <c r="B165" i="15"/>
  <c r="B460" i="15"/>
  <c r="B496" i="15"/>
  <c r="B85" i="15"/>
  <c r="B272" i="15"/>
  <c r="B433" i="15"/>
  <c r="B27" i="15"/>
  <c r="B377" i="15"/>
  <c r="B18" i="15"/>
  <c r="B304" i="15"/>
  <c r="B50" i="15"/>
  <c r="B56" i="15"/>
  <c r="B141" i="15"/>
  <c r="B183" i="15"/>
  <c r="B238" i="15"/>
  <c r="B33" i="15"/>
  <c r="B188" i="15"/>
  <c r="B481" i="15"/>
  <c r="B232" i="15"/>
  <c r="B491" i="15"/>
  <c r="B473" i="15"/>
  <c r="B134" i="15"/>
  <c r="B397" i="15"/>
  <c r="B170" i="15"/>
  <c r="B300" i="15"/>
  <c r="B154" i="15"/>
  <c r="B99" i="15"/>
  <c r="B274" i="15"/>
  <c r="B420" i="15"/>
  <c r="B480" i="15"/>
  <c r="B124" i="15"/>
  <c r="B320" i="15"/>
  <c r="B403" i="15"/>
  <c r="B106" i="15"/>
  <c r="B243" i="15"/>
  <c r="B450" i="15"/>
  <c r="B432" i="15"/>
  <c r="B5" i="15"/>
  <c r="B290" i="15"/>
  <c r="B294" i="15"/>
  <c r="B499" i="15"/>
  <c r="B330" i="15"/>
  <c r="B256" i="15"/>
  <c r="B1" i="15"/>
  <c r="I280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201" i="12"/>
  <c r="I202" i="12"/>
  <c r="I203" i="12"/>
  <c r="I204" i="12"/>
  <c r="I205" i="12"/>
  <c r="I206" i="12"/>
  <c r="I207" i="12"/>
  <c r="I208" i="12"/>
  <c r="I209" i="12"/>
  <c r="I210" i="12"/>
  <c r="I211" i="12"/>
  <c r="I212" i="12"/>
  <c r="I213" i="12"/>
  <c r="I214" i="12"/>
  <c r="I215" i="12"/>
  <c r="I216" i="12"/>
  <c r="I217" i="12"/>
  <c r="I218" i="12"/>
  <c r="I219" i="12"/>
  <c r="I220" i="12"/>
  <c r="I221" i="12"/>
  <c r="I222" i="12"/>
  <c r="I223" i="12"/>
  <c r="I224" i="12"/>
  <c r="I225" i="12"/>
  <c r="I226" i="12"/>
  <c r="I227" i="12"/>
  <c r="I228" i="12"/>
  <c r="I229" i="12"/>
  <c r="I230" i="12"/>
  <c r="I231" i="12"/>
  <c r="I232" i="12"/>
  <c r="I233" i="12"/>
  <c r="I234" i="12"/>
  <c r="I235" i="12"/>
  <c r="I236" i="12"/>
  <c r="I237" i="12"/>
  <c r="I238" i="12"/>
  <c r="I239" i="12"/>
  <c r="I240" i="12"/>
  <c r="I241" i="12"/>
  <c r="I242" i="12"/>
  <c r="I243" i="12"/>
  <c r="I244" i="12"/>
  <c r="I245" i="12"/>
  <c r="I246" i="12"/>
  <c r="I247" i="12"/>
  <c r="I248" i="12"/>
  <c r="I249" i="12"/>
  <c r="I250" i="12"/>
  <c r="I251" i="12"/>
  <c r="I252" i="12"/>
  <c r="I253" i="12"/>
  <c r="I254" i="12"/>
  <c r="I255" i="12"/>
  <c r="I256" i="12"/>
  <c r="I257" i="12"/>
  <c r="I258" i="12"/>
  <c r="I259" i="12"/>
  <c r="I260" i="12"/>
  <c r="I261" i="12"/>
  <c r="I262" i="12"/>
  <c r="I263" i="12"/>
  <c r="I264" i="12"/>
  <c r="I265" i="12"/>
  <c r="I266" i="12"/>
  <c r="I267" i="12"/>
  <c r="I268" i="12"/>
  <c r="I269" i="12"/>
  <c r="I270" i="12"/>
  <c r="I271" i="12"/>
  <c r="I272" i="12"/>
  <c r="I273" i="12"/>
  <c r="I274" i="12"/>
  <c r="I275" i="12"/>
  <c r="I276" i="12"/>
  <c r="I277" i="12"/>
  <c r="I278" i="12"/>
  <c r="I279" i="12"/>
  <c r="I281" i="12"/>
  <c r="I282" i="12"/>
  <c r="I283" i="12"/>
  <c r="I284" i="12"/>
  <c r="I285" i="12"/>
  <c r="I286" i="12"/>
  <c r="I287" i="12"/>
  <c r="I288" i="12"/>
  <c r="I289" i="12"/>
  <c r="I290" i="12"/>
  <c r="I291" i="12"/>
  <c r="I292" i="12"/>
  <c r="I293" i="12"/>
  <c r="I294" i="12"/>
  <c r="I295" i="12"/>
  <c r="I296" i="12"/>
  <c r="I297" i="12"/>
  <c r="I298" i="12"/>
  <c r="I299" i="12"/>
  <c r="I300" i="12"/>
  <c r="I301" i="12"/>
  <c r="I302" i="12"/>
  <c r="I303" i="12"/>
  <c r="I304" i="12"/>
  <c r="I305" i="12"/>
  <c r="I306" i="12"/>
  <c r="I307" i="12"/>
  <c r="I308" i="12"/>
  <c r="I309" i="12"/>
  <c r="I310" i="12"/>
  <c r="I311" i="12"/>
  <c r="I312" i="12"/>
  <c r="I313" i="12"/>
  <c r="I314" i="12"/>
  <c r="I315" i="12"/>
  <c r="I316" i="12"/>
  <c r="I317" i="12"/>
  <c r="I318" i="12"/>
  <c r="I319" i="12"/>
  <c r="I320" i="12"/>
  <c r="I321" i="12"/>
  <c r="I322" i="12"/>
  <c r="I323" i="12"/>
  <c r="I324" i="12"/>
  <c r="I325" i="12"/>
  <c r="I326" i="12"/>
  <c r="I327" i="12"/>
  <c r="I328" i="12"/>
  <c r="I329" i="12"/>
  <c r="I330" i="12"/>
  <c r="I331" i="12"/>
  <c r="I332" i="12"/>
  <c r="I333" i="12"/>
  <c r="I334" i="12"/>
  <c r="I335" i="12"/>
  <c r="I336" i="12"/>
  <c r="I337" i="12"/>
  <c r="I338" i="12"/>
  <c r="I339" i="12"/>
  <c r="I340" i="12"/>
  <c r="I341" i="12"/>
  <c r="I342" i="12"/>
  <c r="I343" i="12"/>
  <c r="I344" i="12"/>
  <c r="I345" i="12"/>
  <c r="I346" i="12"/>
  <c r="I347" i="12"/>
  <c r="I348" i="12"/>
  <c r="I349" i="12"/>
  <c r="I350" i="12"/>
  <c r="I351" i="12"/>
  <c r="I352" i="12"/>
  <c r="I353" i="12"/>
  <c r="I354" i="12"/>
  <c r="I355" i="12"/>
  <c r="I356" i="12"/>
  <c r="I357" i="12"/>
  <c r="I358" i="12"/>
  <c r="I359" i="12"/>
  <c r="I360" i="12"/>
  <c r="I361" i="12"/>
  <c r="I362" i="12"/>
  <c r="I363" i="12"/>
  <c r="I364" i="12"/>
  <c r="I365" i="12"/>
  <c r="I366" i="12"/>
  <c r="I367" i="12"/>
  <c r="I368" i="12"/>
  <c r="I369" i="12"/>
  <c r="I370" i="12"/>
  <c r="I371" i="12"/>
  <c r="I372" i="12"/>
  <c r="I373" i="12"/>
  <c r="I374" i="12"/>
  <c r="I375" i="12"/>
  <c r="I376" i="12"/>
  <c r="I377" i="12"/>
  <c r="I378" i="12"/>
  <c r="I379" i="12"/>
  <c r="I380" i="12"/>
  <c r="I381" i="12"/>
  <c r="I382" i="12"/>
  <c r="I383" i="12"/>
  <c r="I384" i="12"/>
  <c r="I385" i="12"/>
  <c r="I386" i="12"/>
  <c r="I387" i="12"/>
  <c r="I388" i="12"/>
  <c r="I389" i="12"/>
  <c r="I390" i="12"/>
  <c r="I391" i="12"/>
  <c r="I392" i="12"/>
  <c r="I393" i="12"/>
  <c r="I394" i="12"/>
  <c r="I395" i="12"/>
  <c r="I396" i="12"/>
  <c r="I397" i="12"/>
  <c r="I398" i="12"/>
  <c r="I399" i="12"/>
  <c r="I400" i="12"/>
  <c r="I401" i="12"/>
  <c r="I402" i="12"/>
  <c r="I403" i="12"/>
  <c r="I404" i="12"/>
  <c r="I405" i="12"/>
  <c r="I406" i="12"/>
  <c r="I407" i="12"/>
  <c r="I408" i="12"/>
  <c r="I409" i="12"/>
  <c r="I410" i="12"/>
  <c r="I411" i="12"/>
  <c r="I412" i="12"/>
  <c r="I413" i="12"/>
  <c r="I414" i="12"/>
  <c r="I415" i="12"/>
  <c r="I416" i="12"/>
  <c r="I417" i="12"/>
  <c r="I418" i="12"/>
  <c r="I419" i="12"/>
  <c r="I420" i="12"/>
  <c r="I421" i="12"/>
  <c r="I422" i="12"/>
  <c r="I423" i="12"/>
  <c r="I424" i="12"/>
  <c r="I425" i="12"/>
  <c r="I426" i="12"/>
  <c r="I427" i="12"/>
  <c r="I428" i="12"/>
  <c r="I429" i="12"/>
  <c r="I430" i="12"/>
  <c r="I431" i="12"/>
  <c r="I432" i="12"/>
  <c r="I433" i="12"/>
  <c r="I434" i="12"/>
  <c r="I435" i="12"/>
  <c r="I436" i="12"/>
  <c r="I437" i="12"/>
  <c r="I438" i="12"/>
  <c r="I439" i="12"/>
  <c r="I440" i="12"/>
  <c r="I441" i="12"/>
  <c r="I442" i="12"/>
  <c r="I443" i="12"/>
  <c r="I444" i="12"/>
  <c r="I445" i="12"/>
  <c r="I446" i="12"/>
  <c r="I447" i="12"/>
  <c r="I448" i="12"/>
  <c r="I449" i="12"/>
  <c r="I450" i="12"/>
  <c r="I451" i="12"/>
  <c r="I452" i="12"/>
  <c r="I453" i="12"/>
  <c r="I454" i="12"/>
  <c r="I455" i="12"/>
  <c r="I456" i="12"/>
  <c r="I457" i="12"/>
  <c r="I458" i="12"/>
  <c r="I459" i="12"/>
  <c r="I460" i="12"/>
  <c r="I461" i="12"/>
  <c r="I462" i="12"/>
  <c r="I463" i="12"/>
  <c r="I464" i="12"/>
  <c r="I465" i="12"/>
  <c r="I466" i="12"/>
  <c r="I467" i="12"/>
  <c r="I468" i="12"/>
  <c r="I469" i="12"/>
  <c r="I470" i="12"/>
  <c r="I471" i="12"/>
  <c r="I472" i="12"/>
  <c r="I473" i="12"/>
  <c r="I474" i="12"/>
  <c r="I475" i="12"/>
  <c r="I476" i="12"/>
  <c r="I477" i="12"/>
  <c r="I478" i="12"/>
  <c r="I479" i="12"/>
  <c r="I480" i="12"/>
  <c r="I481" i="12"/>
  <c r="I482" i="12"/>
  <c r="I483" i="12"/>
  <c r="I484" i="12"/>
  <c r="I485" i="12"/>
  <c r="I486" i="12"/>
  <c r="I487" i="12"/>
  <c r="I488" i="12"/>
  <c r="I489" i="12"/>
  <c r="I490" i="12"/>
  <c r="I491" i="12"/>
  <c r="I492" i="12"/>
  <c r="I493" i="12"/>
  <c r="I494" i="12"/>
  <c r="I495" i="12"/>
  <c r="I496" i="12"/>
  <c r="I497" i="12"/>
  <c r="I498" i="12"/>
  <c r="I499" i="12"/>
  <c r="I500" i="12"/>
  <c r="I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" i="12"/>
  <c r="I330" i="11"/>
  <c r="I173" i="11"/>
  <c r="I174" i="11"/>
  <c r="I175" i="11"/>
  <c r="I331" i="11"/>
  <c r="I332" i="11"/>
  <c r="I176" i="11"/>
  <c r="I2" i="11"/>
  <c r="I177" i="11"/>
  <c r="I3" i="11"/>
  <c r="I4" i="11"/>
  <c r="I178" i="11"/>
  <c r="I333" i="11"/>
  <c r="I179" i="11"/>
  <c r="I180" i="11"/>
  <c r="I5" i="11"/>
  <c r="I181" i="11"/>
  <c r="I334" i="11"/>
  <c r="I182" i="11"/>
  <c r="I183" i="11"/>
  <c r="I6" i="11"/>
  <c r="I335" i="11"/>
  <c r="I336" i="11"/>
  <c r="I7" i="11"/>
  <c r="I337" i="11"/>
  <c r="I338" i="11"/>
  <c r="I184" i="11"/>
  <c r="I8" i="11"/>
  <c r="I339" i="11"/>
  <c r="I9" i="11"/>
  <c r="I185" i="11"/>
  <c r="I340" i="11"/>
  <c r="I10" i="11"/>
  <c r="I341" i="11"/>
  <c r="I11" i="11"/>
  <c r="I186" i="11"/>
  <c r="I187" i="11"/>
  <c r="I342" i="11"/>
  <c r="I343" i="11"/>
  <c r="I12" i="11"/>
  <c r="I344" i="11"/>
  <c r="I188" i="11"/>
  <c r="I189" i="11"/>
  <c r="I190" i="11"/>
  <c r="I345" i="11"/>
  <c r="I13" i="11"/>
  <c r="I191" i="11"/>
  <c r="I192" i="11"/>
  <c r="I346" i="11"/>
  <c r="I347" i="11"/>
  <c r="I348" i="11"/>
  <c r="I349" i="11"/>
  <c r="I14" i="11"/>
  <c r="I350" i="11"/>
  <c r="I15" i="11"/>
  <c r="I16" i="11"/>
  <c r="I193" i="11"/>
  <c r="I194" i="11"/>
  <c r="I351" i="11"/>
  <c r="I195" i="11"/>
  <c r="I17" i="11"/>
  <c r="I352" i="11"/>
  <c r="I353" i="11"/>
  <c r="I354" i="11"/>
  <c r="I355" i="11"/>
  <c r="I196" i="11"/>
  <c r="I356" i="11"/>
  <c r="I18" i="11"/>
  <c r="I197" i="11"/>
  <c r="I19" i="11"/>
  <c r="I198" i="11"/>
  <c r="I199" i="11"/>
  <c r="I200" i="11"/>
  <c r="I201" i="11"/>
  <c r="I357" i="11"/>
  <c r="I202" i="11"/>
  <c r="I358" i="11"/>
  <c r="I359" i="11"/>
  <c r="I203" i="11"/>
  <c r="I20" i="11"/>
  <c r="I204" i="11"/>
  <c r="I205" i="11"/>
  <c r="I360" i="11"/>
  <c r="I361" i="11"/>
  <c r="I362" i="11"/>
  <c r="I363" i="11"/>
  <c r="I206" i="11"/>
  <c r="I21" i="11"/>
  <c r="I22" i="11"/>
  <c r="I23" i="11"/>
  <c r="I24" i="11"/>
  <c r="I364" i="11"/>
  <c r="I207" i="11"/>
  <c r="I365" i="11"/>
  <c r="I366" i="11"/>
  <c r="I208" i="11"/>
  <c r="I209" i="11"/>
  <c r="I210" i="11"/>
  <c r="I367" i="11"/>
  <c r="I25" i="11"/>
  <c r="I368" i="11"/>
  <c r="I369" i="11"/>
  <c r="I211" i="11"/>
  <c r="I370" i="11"/>
  <c r="I26" i="11"/>
  <c r="I27" i="11"/>
  <c r="I371" i="11"/>
  <c r="I212" i="11"/>
  <c r="I372" i="11"/>
  <c r="I28" i="11"/>
  <c r="I29" i="11"/>
  <c r="I373" i="11"/>
  <c r="I30" i="11"/>
  <c r="I374" i="11"/>
  <c r="I31" i="11"/>
  <c r="I213" i="11"/>
  <c r="I32" i="11"/>
  <c r="I375" i="11"/>
  <c r="I376" i="11"/>
  <c r="I214" i="11"/>
  <c r="I33" i="11"/>
  <c r="I377" i="11"/>
  <c r="I34" i="11"/>
  <c r="I215" i="11"/>
  <c r="I378" i="11"/>
  <c r="I216" i="11"/>
  <c r="I379" i="11"/>
  <c r="I35" i="11"/>
  <c r="I380" i="11"/>
  <c r="I217" i="11"/>
  <c r="I381" i="11"/>
  <c r="I218" i="11"/>
  <c r="I382" i="11"/>
  <c r="I219" i="11"/>
  <c r="I36" i="11"/>
  <c r="I383" i="11"/>
  <c r="I37" i="11"/>
  <c r="I384" i="11"/>
  <c r="I385" i="11"/>
  <c r="I38" i="11"/>
  <c r="I220" i="11"/>
  <c r="I39" i="11"/>
  <c r="I40" i="11"/>
  <c r="I386" i="11"/>
  <c r="I221" i="11"/>
  <c r="I222" i="11"/>
  <c r="I41" i="11"/>
  <c r="I42" i="11"/>
  <c r="I223" i="11"/>
  <c r="I43" i="11"/>
  <c r="I387" i="11"/>
  <c r="I388" i="11"/>
  <c r="I44" i="11"/>
  <c r="I389" i="11"/>
  <c r="I224" i="11"/>
  <c r="I45" i="11"/>
  <c r="I390" i="11"/>
  <c r="I46" i="11"/>
  <c r="I225" i="11"/>
  <c r="I391" i="11"/>
  <c r="I226" i="11"/>
  <c r="I47" i="11"/>
  <c r="I48" i="11"/>
  <c r="I392" i="11"/>
  <c r="I227" i="11"/>
  <c r="I49" i="11"/>
  <c r="I228" i="11"/>
  <c r="I229" i="11"/>
  <c r="I393" i="11"/>
  <c r="I230" i="11"/>
  <c r="I50" i="11"/>
  <c r="I51" i="11"/>
  <c r="I394" i="11"/>
  <c r="I231" i="11"/>
  <c r="I52" i="11"/>
  <c r="I53" i="11"/>
  <c r="I395" i="11"/>
  <c r="I232" i="11"/>
  <c r="I233" i="11"/>
  <c r="I234" i="11"/>
  <c r="I54" i="11"/>
  <c r="I55" i="11"/>
  <c r="I396" i="11"/>
  <c r="I56" i="11"/>
  <c r="I397" i="11"/>
  <c r="I398" i="11"/>
  <c r="I235" i="11"/>
  <c r="I399" i="11"/>
  <c r="I236" i="11"/>
  <c r="I237" i="11"/>
  <c r="I57" i="11"/>
  <c r="I58" i="11"/>
  <c r="I400" i="11"/>
  <c r="I401" i="11"/>
  <c r="I402" i="11"/>
  <c r="I403" i="11"/>
  <c r="I59" i="11"/>
  <c r="I404" i="11"/>
  <c r="I238" i="11"/>
  <c r="I60" i="11"/>
  <c r="I239" i="11"/>
  <c r="I405" i="11"/>
  <c r="I61" i="11"/>
  <c r="I240" i="11"/>
  <c r="I62" i="11"/>
  <c r="I241" i="11"/>
  <c r="I63" i="11"/>
  <c r="I242" i="11"/>
  <c r="I243" i="11"/>
  <c r="I244" i="11"/>
  <c r="I64" i="11"/>
  <c r="I245" i="11"/>
  <c r="I246" i="11"/>
  <c r="I406" i="11"/>
  <c r="I247" i="11"/>
  <c r="I407" i="11"/>
  <c r="I65" i="11"/>
  <c r="I248" i="11"/>
  <c r="I66" i="11"/>
  <c r="I408" i="11"/>
  <c r="I409" i="11"/>
  <c r="I67" i="11"/>
  <c r="I249" i="11"/>
  <c r="I68" i="11"/>
  <c r="I410" i="11"/>
  <c r="I411" i="11"/>
  <c r="I250" i="11"/>
  <c r="I412" i="11"/>
  <c r="I251" i="11"/>
  <c r="I252" i="11"/>
  <c r="I253" i="11"/>
  <c r="I413" i="11"/>
  <c r="I69" i="11"/>
  <c r="I70" i="11"/>
  <c r="I414" i="11"/>
  <c r="I71" i="11"/>
  <c r="I72" i="11"/>
  <c r="I415" i="11"/>
  <c r="I73" i="11"/>
  <c r="I416" i="11"/>
  <c r="I254" i="11"/>
  <c r="I255" i="11"/>
  <c r="I74" i="11"/>
  <c r="I417" i="11"/>
  <c r="I256" i="11"/>
  <c r="I418" i="11"/>
  <c r="I419" i="11"/>
  <c r="I420" i="11"/>
  <c r="I75" i="11"/>
  <c r="I257" i="11"/>
  <c r="I76" i="11"/>
  <c r="I421" i="11"/>
  <c r="I258" i="11"/>
  <c r="I77" i="11"/>
  <c r="I259" i="11"/>
  <c r="I78" i="11"/>
  <c r="I422" i="11"/>
  <c r="I260" i="11"/>
  <c r="I423" i="11"/>
  <c r="I424" i="11"/>
  <c r="I261" i="11"/>
  <c r="I262" i="11"/>
  <c r="I79" i="11"/>
  <c r="I80" i="11"/>
  <c r="I425" i="11"/>
  <c r="I81" i="11"/>
  <c r="I263" i="11"/>
  <c r="I264" i="11"/>
  <c r="I265" i="11"/>
  <c r="I426" i="11"/>
  <c r="I82" i="11"/>
  <c r="I83" i="11"/>
  <c r="I84" i="11"/>
  <c r="I85" i="11"/>
  <c r="I86" i="11"/>
  <c r="I87" i="11"/>
  <c r="I88" i="11"/>
  <c r="I427" i="11"/>
  <c r="I89" i="11"/>
  <c r="I90" i="11"/>
  <c r="I91" i="11"/>
  <c r="I428" i="11"/>
  <c r="I92" i="11"/>
  <c r="I429" i="11"/>
  <c r="I430" i="11"/>
  <c r="I431" i="11"/>
  <c r="I266" i="11"/>
  <c r="I93" i="11"/>
  <c r="I267" i="11"/>
  <c r="I94" i="11"/>
  <c r="I432" i="11"/>
  <c r="I433" i="11"/>
  <c r="I95" i="11"/>
  <c r="I96" i="11"/>
  <c r="I434" i="11"/>
  <c r="I97" i="11"/>
  <c r="I98" i="11"/>
  <c r="I268" i="11"/>
  <c r="I435" i="11"/>
  <c r="I269" i="11"/>
  <c r="I436" i="11"/>
  <c r="I270" i="11"/>
  <c r="I99" i="11"/>
  <c r="I100" i="11"/>
  <c r="I437" i="11"/>
  <c r="I438" i="11"/>
  <c r="I439" i="11"/>
  <c r="I271" i="11"/>
  <c r="I440" i="11"/>
  <c r="I101" i="11"/>
  <c r="I441" i="11"/>
  <c r="I102" i="11"/>
  <c r="I272" i="11"/>
  <c r="I103" i="11"/>
  <c r="I104" i="11"/>
  <c r="I273" i="11"/>
  <c r="I105" i="11"/>
  <c r="I274" i="11"/>
  <c r="I275" i="11"/>
  <c r="I276" i="11"/>
  <c r="I106" i="11"/>
  <c r="I277" i="11"/>
  <c r="I442" i="11"/>
  <c r="I107" i="11"/>
  <c r="I108" i="11"/>
  <c r="I443" i="11"/>
  <c r="I444" i="11"/>
  <c r="I445" i="11"/>
  <c r="I446" i="11"/>
  <c r="I278" i="11"/>
  <c r="I109" i="11"/>
  <c r="I110" i="11"/>
  <c r="I447" i="11"/>
  <c r="I279" i="11"/>
  <c r="I280" i="11"/>
  <c r="I448" i="11"/>
  <c r="I449" i="11"/>
  <c r="I450" i="11"/>
  <c r="I451" i="11"/>
  <c r="I281" i="11"/>
  <c r="I111" i="11"/>
  <c r="I282" i="11"/>
  <c r="I112" i="11"/>
  <c r="I113" i="11"/>
  <c r="I114" i="11"/>
  <c r="I283" i="11"/>
  <c r="I452" i="11"/>
  <c r="I453" i="11"/>
  <c r="I284" i="11"/>
  <c r="I285" i="11"/>
  <c r="I115" i="11"/>
  <c r="I286" i="11"/>
  <c r="I116" i="11"/>
  <c r="I287" i="11"/>
  <c r="I454" i="11"/>
  <c r="I455" i="11"/>
  <c r="I456" i="11"/>
  <c r="I288" i="11"/>
  <c r="I117" i="11"/>
  <c r="I457" i="11"/>
  <c r="I118" i="11"/>
  <c r="I458" i="11"/>
  <c r="I119" i="11"/>
  <c r="I289" i="11"/>
  <c r="I290" i="11"/>
  <c r="I120" i="11"/>
  <c r="I291" i="11"/>
  <c r="I121" i="11"/>
  <c r="I292" i="11"/>
  <c r="I293" i="11"/>
  <c r="I122" i="11"/>
  <c r="I459" i="11"/>
  <c r="I460" i="11"/>
  <c r="I461" i="11"/>
  <c r="I123" i="11"/>
  <c r="I462" i="11"/>
  <c r="I294" i="11"/>
  <c r="I463" i="11"/>
  <c r="I295" i="11"/>
  <c r="I464" i="11"/>
  <c r="I465" i="11"/>
  <c r="I124" i="11"/>
  <c r="I296" i="11"/>
  <c r="I297" i="11"/>
  <c r="I298" i="11"/>
  <c r="I466" i="11"/>
  <c r="I467" i="11"/>
  <c r="I125" i="11"/>
  <c r="I126" i="11"/>
  <c r="I127" i="11"/>
  <c r="I468" i="11"/>
  <c r="I128" i="11"/>
  <c r="I299" i="11"/>
  <c r="I129" i="11"/>
  <c r="I469" i="11"/>
  <c r="I130" i="11"/>
  <c r="I300" i="11"/>
  <c r="I301" i="11"/>
  <c r="I302" i="11"/>
  <c r="I470" i="11"/>
  <c r="I303" i="11"/>
  <c r="I131" i="11"/>
  <c r="I132" i="11"/>
  <c r="I304" i="11"/>
  <c r="I471" i="11"/>
  <c r="I305" i="11"/>
  <c r="I133" i="11"/>
  <c r="I134" i="11"/>
  <c r="I306" i="11"/>
  <c r="I472" i="11"/>
  <c r="I135" i="11"/>
  <c r="I473" i="11"/>
  <c r="I307" i="11"/>
  <c r="I136" i="11"/>
  <c r="I137" i="11"/>
  <c r="I138" i="11"/>
  <c r="I139" i="11"/>
  <c r="I140" i="11"/>
  <c r="I141" i="11"/>
  <c r="I308" i="11"/>
  <c r="I142" i="11"/>
  <c r="I143" i="11"/>
  <c r="I309" i="11"/>
  <c r="I144" i="11"/>
  <c r="I145" i="11"/>
  <c r="I310" i="11"/>
  <c r="I146" i="11"/>
  <c r="I147" i="11"/>
  <c r="I311" i="11"/>
  <c r="I148" i="11"/>
  <c r="I312" i="11"/>
  <c r="I149" i="11"/>
  <c r="I150" i="11"/>
  <c r="I313" i="11"/>
  <c r="I474" i="11"/>
  <c r="I314" i="11"/>
  <c r="I475" i="11"/>
  <c r="I476" i="11"/>
  <c r="I151" i="11"/>
  <c r="I315" i="11"/>
  <c r="I477" i="11"/>
  <c r="I478" i="11"/>
  <c r="I479" i="11"/>
  <c r="I480" i="11"/>
  <c r="I316" i="11"/>
  <c r="I152" i="11"/>
  <c r="I153" i="11"/>
  <c r="I481" i="11"/>
  <c r="I154" i="11"/>
  <c r="I482" i="11"/>
  <c r="I155" i="11"/>
  <c r="I156" i="11"/>
  <c r="I317" i="11"/>
  <c r="I483" i="11"/>
  <c r="I318" i="11"/>
  <c r="I157" i="11"/>
  <c r="I484" i="11"/>
  <c r="I485" i="11"/>
  <c r="I486" i="11"/>
  <c r="I487" i="11"/>
  <c r="I488" i="11"/>
  <c r="I489" i="11"/>
  <c r="I158" i="11"/>
  <c r="I490" i="11"/>
  <c r="I159" i="11"/>
  <c r="I319" i="11"/>
  <c r="I160" i="11"/>
  <c r="I320" i="11"/>
  <c r="I491" i="11"/>
  <c r="I161" i="11"/>
  <c r="I162" i="11"/>
  <c r="I163" i="11"/>
  <c r="I321" i="11"/>
  <c r="I492" i="11"/>
  <c r="I164" i="11"/>
  <c r="I322" i="11"/>
  <c r="I165" i="11"/>
  <c r="I166" i="11"/>
  <c r="I167" i="11"/>
  <c r="I168" i="11"/>
  <c r="I323" i="11"/>
  <c r="I493" i="11"/>
  <c r="I494" i="11"/>
  <c r="I169" i="11"/>
  <c r="I324" i="11"/>
  <c r="I495" i="11"/>
  <c r="I496" i="11"/>
  <c r="I170" i="11"/>
  <c r="I171" i="11"/>
  <c r="I325" i="11"/>
  <c r="I497" i="11"/>
  <c r="I172" i="11"/>
  <c r="I326" i="11"/>
  <c r="I327" i="11"/>
  <c r="I328" i="11"/>
  <c r="I498" i="11"/>
  <c r="I499" i="11"/>
  <c r="I500" i="11"/>
  <c r="I329" i="11"/>
  <c r="I1" i="11"/>
  <c r="I260" i="10"/>
  <c r="I2" i="10"/>
  <c r="I261" i="10"/>
  <c r="I3" i="10"/>
  <c r="I4" i="10"/>
  <c r="I5" i="10"/>
  <c r="I6" i="10"/>
  <c r="I262" i="10"/>
  <c r="I7" i="10"/>
  <c r="I8" i="10"/>
  <c r="I9" i="10"/>
  <c r="I263" i="10"/>
  <c r="I10" i="10"/>
  <c r="I264" i="10"/>
  <c r="I265" i="10"/>
  <c r="I11" i="10"/>
  <c r="I266" i="10"/>
  <c r="I267" i="10"/>
  <c r="I12" i="10"/>
  <c r="I13" i="10"/>
  <c r="I268" i="10"/>
  <c r="I14" i="10"/>
  <c r="I269" i="10"/>
  <c r="I15" i="10"/>
  <c r="I16" i="10"/>
  <c r="I17" i="10"/>
  <c r="I270" i="10"/>
  <c r="I271" i="10"/>
  <c r="I272" i="10"/>
  <c r="I18" i="10"/>
  <c r="I273" i="10"/>
  <c r="I19" i="10"/>
  <c r="I20" i="10"/>
  <c r="I274" i="10"/>
  <c r="I21" i="10"/>
  <c r="I275" i="10"/>
  <c r="I22" i="10"/>
  <c r="I276" i="10"/>
  <c r="I23" i="10"/>
  <c r="I24" i="10"/>
  <c r="I277" i="10"/>
  <c r="I278" i="10"/>
  <c r="I25" i="10"/>
  <c r="I279" i="10"/>
  <c r="I26" i="10"/>
  <c r="I27" i="10"/>
  <c r="I28" i="10"/>
  <c r="I29" i="10"/>
  <c r="I30" i="10"/>
  <c r="I280" i="10"/>
  <c r="I281" i="10"/>
  <c r="I282" i="10"/>
  <c r="I31" i="10"/>
  <c r="I283" i="10"/>
  <c r="I284" i="10"/>
  <c r="I285" i="10"/>
  <c r="I32" i="10"/>
  <c r="I286" i="10"/>
  <c r="I287" i="10"/>
  <c r="I288" i="10"/>
  <c r="I33" i="10"/>
  <c r="I289" i="10"/>
  <c r="I34" i="10"/>
  <c r="I35" i="10"/>
  <c r="I290" i="10"/>
  <c r="I36" i="10"/>
  <c r="I291" i="10"/>
  <c r="I37" i="10"/>
  <c r="I292" i="10"/>
  <c r="I38" i="10"/>
  <c r="I293" i="10"/>
  <c r="I39" i="10"/>
  <c r="I294" i="10"/>
  <c r="I40" i="10"/>
  <c r="I41" i="10"/>
  <c r="I42" i="10"/>
  <c r="I43" i="10"/>
  <c r="I44" i="10"/>
  <c r="I295" i="10"/>
  <c r="I296" i="10"/>
  <c r="I45" i="10"/>
  <c r="I297" i="10"/>
  <c r="I298" i="10"/>
  <c r="I46" i="10"/>
  <c r="I47" i="10"/>
  <c r="I48" i="10"/>
  <c r="I49" i="10"/>
  <c r="I299" i="10"/>
  <c r="I300" i="10"/>
  <c r="I50" i="10"/>
  <c r="I301" i="10"/>
  <c r="I302" i="10"/>
  <c r="I51" i="10"/>
  <c r="I303" i="10"/>
  <c r="I304" i="10"/>
  <c r="I52" i="10"/>
  <c r="I305" i="10"/>
  <c r="I306" i="10"/>
  <c r="I307" i="10"/>
  <c r="I53" i="10"/>
  <c r="I54" i="10"/>
  <c r="I308" i="10"/>
  <c r="I55" i="10"/>
  <c r="I309" i="10"/>
  <c r="I56" i="10"/>
  <c r="I310" i="10"/>
  <c r="I57" i="10"/>
  <c r="I311" i="10"/>
  <c r="I312" i="10"/>
  <c r="I58" i="10"/>
  <c r="I313" i="10"/>
  <c r="I314" i="10"/>
  <c r="I59" i="10"/>
  <c r="I60" i="10"/>
  <c r="I315" i="10"/>
  <c r="I316" i="10"/>
  <c r="I317" i="10"/>
  <c r="I61" i="10"/>
  <c r="I62" i="10"/>
  <c r="I318" i="10"/>
  <c r="I319" i="10"/>
  <c r="I320" i="10"/>
  <c r="I321" i="10"/>
  <c r="I63" i="10"/>
  <c r="I322" i="10"/>
  <c r="I323" i="10"/>
  <c r="I64" i="10"/>
  <c r="I65" i="10"/>
  <c r="I66" i="10"/>
  <c r="I67" i="10"/>
  <c r="I324" i="10"/>
  <c r="I325" i="10"/>
  <c r="I68" i="10"/>
  <c r="I69" i="10"/>
  <c r="I326" i="10"/>
  <c r="I327" i="10"/>
  <c r="I328" i="10"/>
  <c r="I70" i="10"/>
  <c r="I71" i="10"/>
  <c r="I72" i="10"/>
  <c r="I329" i="10"/>
  <c r="I330" i="10"/>
  <c r="I331" i="10"/>
  <c r="I73" i="10"/>
  <c r="I74" i="10"/>
  <c r="I332" i="10"/>
  <c r="I333" i="10"/>
  <c r="I75" i="10"/>
  <c r="I76" i="10"/>
  <c r="I77" i="10"/>
  <c r="I334" i="10"/>
  <c r="I335" i="10"/>
  <c r="I78" i="10"/>
  <c r="I336" i="10"/>
  <c r="I79" i="10"/>
  <c r="I337" i="10"/>
  <c r="I338" i="10"/>
  <c r="I339" i="10"/>
  <c r="I80" i="10"/>
  <c r="I340" i="10"/>
  <c r="I81" i="10"/>
  <c r="I341" i="10"/>
  <c r="I82" i="10"/>
  <c r="I83" i="10"/>
  <c r="I84" i="10"/>
  <c r="I85" i="10"/>
  <c r="I86" i="10"/>
  <c r="I342" i="10"/>
  <c r="I343" i="10"/>
  <c r="I87" i="10"/>
  <c r="I88" i="10"/>
  <c r="I89" i="10"/>
  <c r="I344" i="10"/>
  <c r="I90" i="10"/>
  <c r="I345" i="10"/>
  <c r="I91" i="10"/>
  <c r="I346" i="10"/>
  <c r="I92" i="10"/>
  <c r="I347" i="10"/>
  <c r="I348" i="10"/>
  <c r="I93" i="10"/>
  <c r="I94" i="10"/>
  <c r="I95" i="10"/>
  <c r="I96" i="10"/>
  <c r="I349" i="10"/>
  <c r="I350" i="10"/>
  <c r="I351" i="10"/>
  <c r="I352" i="10"/>
  <c r="I353" i="10"/>
  <c r="I354" i="10"/>
  <c r="I97" i="10"/>
  <c r="I355" i="10"/>
  <c r="I356" i="10"/>
  <c r="I357" i="10"/>
  <c r="I98" i="10"/>
  <c r="I358" i="10"/>
  <c r="I99" i="10"/>
  <c r="I359" i="10"/>
  <c r="I360" i="10"/>
  <c r="I100" i="10"/>
  <c r="I361" i="10"/>
  <c r="I362" i="10"/>
  <c r="I101" i="10"/>
  <c r="I102" i="10"/>
  <c r="I363" i="10"/>
  <c r="I364" i="10"/>
  <c r="I103" i="10"/>
  <c r="I104" i="10"/>
  <c r="I105" i="10"/>
  <c r="I106" i="10"/>
  <c r="I365" i="10"/>
  <c r="I366" i="10"/>
  <c r="I107" i="10"/>
  <c r="I367" i="10"/>
  <c r="I108" i="10"/>
  <c r="I109" i="10"/>
  <c r="I368" i="10"/>
  <c r="I110" i="10"/>
  <c r="I111" i="10"/>
  <c r="I369" i="10"/>
  <c r="I370" i="10"/>
  <c r="I112" i="10"/>
  <c r="I371" i="10"/>
  <c r="I372" i="10"/>
  <c r="I373" i="10"/>
  <c r="I374" i="10"/>
  <c r="I375" i="10"/>
  <c r="I376" i="10"/>
  <c r="I113" i="10"/>
  <c r="I377" i="10"/>
  <c r="I114" i="10"/>
  <c r="I115" i="10"/>
  <c r="I116" i="10"/>
  <c r="I378" i="10"/>
  <c r="I379" i="10"/>
  <c r="I117" i="10"/>
  <c r="I118" i="10"/>
  <c r="I119" i="10"/>
  <c r="I120" i="10"/>
  <c r="I380" i="10"/>
  <c r="I121" i="10"/>
  <c r="I381" i="10"/>
  <c r="I122" i="10"/>
  <c r="I382" i="10"/>
  <c r="I383" i="10"/>
  <c r="I123" i="10"/>
  <c r="I124" i="10"/>
  <c r="I125" i="10"/>
  <c r="I126" i="10"/>
  <c r="I384" i="10"/>
  <c r="I385" i="10"/>
  <c r="I386" i="10"/>
  <c r="I387" i="10"/>
  <c r="I388" i="10"/>
  <c r="I127" i="10"/>
  <c r="I389" i="10"/>
  <c r="I128" i="10"/>
  <c r="I390" i="10"/>
  <c r="I391" i="10"/>
  <c r="I129" i="10"/>
  <c r="I392" i="10"/>
  <c r="I393" i="10"/>
  <c r="I130" i="10"/>
  <c r="I394" i="10"/>
  <c r="I131" i="10"/>
  <c r="I395" i="10"/>
  <c r="I132" i="10"/>
  <c r="I396" i="10"/>
  <c r="I397" i="10"/>
  <c r="I133" i="10"/>
  <c r="I134" i="10"/>
  <c r="I398" i="10"/>
  <c r="I399" i="10"/>
  <c r="I400" i="10"/>
  <c r="I401" i="10"/>
  <c r="I402" i="10"/>
  <c r="I135" i="10"/>
  <c r="I136" i="10"/>
  <c r="I403" i="10"/>
  <c r="I137" i="10"/>
  <c r="I138" i="10"/>
  <c r="I404" i="10"/>
  <c r="I405" i="10"/>
  <c r="I406" i="10"/>
  <c r="I139" i="10"/>
  <c r="I407" i="10"/>
  <c r="I140" i="10"/>
  <c r="I141" i="10"/>
  <c r="I142" i="10"/>
  <c r="I143" i="10"/>
  <c r="I144" i="10"/>
  <c r="I145" i="10"/>
  <c r="I146" i="10"/>
  <c r="I147" i="10"/>
  <c r="I148" i="10"/>
  <c r="I408" i="10"/>
  <c r="I149" i="10"/>
  <c r="I150" i="10"/>
  <c r="I151" i="10"/>
  <c r="I152" i="10"/>
  <c r="I409" i="10"/>
  <c r="I410" i="10"/>
  <c r="I411" i="10"/>
  <c r="I412" i="10"/>
  <c r="I153" i="10"/>
  <c r="I154" i="10"/>
  <c r="I155" i="10"/>
  <c r="I413" i="10"/>
  <c r="I156" i="10"/>
  <c r="I414" i="10"/>
  <c r="I415" i="10"/>
  <c r="I157" i="10"/>
  <c r="I416" i="10"/>
  <c r="I417" i="10"/>
  <c r="I158" i="10"/>
  <c r="I159" i="10"/>
  <c r="I418" i="10"/>
  <c r="I419" i="10"/>
  <c r="I160" i="10"/>
  <c r="I420" i="10"/>
  <c r="I421" i="10"/>
  <c r="I422" i="10"/>
  <c r="I161" i="10"/>
  <c r="I423" i="10"/>
  <c r="I424" i="10"/>
  <c r="I425" i="10"/>
  <c r="I162" i="10"/>
  <c r="I426" i="10"/>
  <c r="I163" i="10"/>
  <c r="I427" i="10"/>
  <c r="I164" i="10"/>
  <c r="I165" i="10"/>
  <c r="I166" i="10"/>
  <c r="I167" i="10"/>
  <c r="I428" i="10"/>
  <c r="I168" i="10"/>
  <c r="I429" i="10"/>
  <c r="I169" i="10"/>
  <c r="I170" i="10"/>
  <c r="I430" i="10"/>
  <c r="I431" i="10"/>
  <c r="I432" i="10"/>
  <c r="I171" i="10"/>
  <c r="I172" i="10"/>
  <c r="I433" i="10"/>
  <c r="I173" i="10"/>
  <c r="I174" i="10"/>
  <c r="I434" i="10"/>
  <c r="I435" i="10"/>
  <c r="I436" i="10"/>
  <c r="I437" i="10"/>
  <c r="I175" i="10"/>
  <c r="I176" i="10"/>
  <c r="I438" i="10"/>
  <c r="I177" i="10"/>
  <c r="I178" i="10"/>
  <c r="I179" i="10"/>
  <c r="I180" i="10"/>
  <c r="I181" i="10"/>
  <c r="I182" i="10"/>
  <c r="I439" i="10"/>
  <c r="I183" i="10"/>
  <c r="I184" i="10"/>
  <c r="I185" i="10"/>
  <c r="I440" i="10"/>
  <c r="I186" i="10"/>
  <c r="I187" i="10"/>
  <c r="I188" i="10"/>
  <c r="I189" i="10"/>
  <c r="I190" i="10"/>
  <c r="I441" i="10"/>
  <c r="I191" i="10"/>
  <c r="I192" i="10"/>
  <c r="I442" i="10"/>
  <c r="I443" i="10"/>
  <c r="I193" i="10"/>
  <c r="I194" i="10"/>
  <c r="I195" i="10"/>
  <c r="I444" i="10"/>
  <c r="I196" i="10"/>
  <c r="I445" i="10"/>
  <c r="I197" i="10"/>
  <c r="I446" i="10"/>
  <c r="I447" i="10"/>
  <c r="I448" i="10"/>
  <c r="I198" i="10"/>
  <c r="I199" i="10"/>
  <c r="I200" i="10"/>
  <c r="I201" i="10"/>
  <c r="I202" i="10"/>
  <c r="I449" i="10"/>
  <c r="I203" i="10"/>
  <c r="I204" i="10"/>
  <c r="I205" i="10"/>
  <c r="I450" i="10"/>
  <c r="I206" i="10"/>
  <c r="I207" i="10"/>
  <c r="I208" i="10"/>
  <c r="I451" i="10"/>
  <c r="I209" i="10"/>
  <c r="I210" i="10"/>
  <c r="I452" i="10"/>
  <c r="I211" i="10"/>
  <c r="I453" i="10"/>
  <c r="I212" i="10"/>
  <c r="I213" i="10"/>
  <c r="I454" i="10"/>
  <c r="I455" i="10"/>
  <c r="I214" i="10"/>
  <c r="I215" i="10"/>
  <c r="I216" i="10"/>
  <c r="I217" i="10"/>
  <c r="I218" i="10"/>
  <c r="I456" i="10"/>
  <c r="I219" i="10"/>
  <c r="I457" i="10"/>
  <c r="I220" i="10"/>
  <c r="I221" i="10"/>
  <c r="I222" i="10"/>
  <c r="I458" i="10"/>
  <c r="I223" i="10"/>
  <c r="I224" i="10"/>
  <c r="I459" i="10"/>
  <c r="I460" i="10"/>
  <c r="I225" i="10"/>
  <c r="I226" i="10"/>
  <c r="I227" i="10"/>
  <c r="I228" i="10"/>
  <c r="I461" i="10"/>
  <c r="I462" i="10"/>
  <c r="I229" i="10"/>
  <c r="I463" i="10"/>
  <c r="I464" i="10"/>
  <c r="I465" i="10"/>
  <c r="I466" i="10"/>
  <c r="I467" i="10"/>
  <c r="I230" i="10"/>
  <c r="I231" i="10"/>
  <c r="I468" i="10"/>
  <c r="I232" i="10"/>
  <c r="I469" i="10"/>
  <c r="I470" i="10"/>
  <c r="I471" i="10"/>
  <c r="I472" i="10"/>
  <c r="I473" i="10"/>
  <c r="I233" i="10"/>
  <c r="I234" i="10"/>
  <c r="I235" i="10"/>
  <c r="I236" i="10"/>
  <c r="I237" i="10"/>
  <c r="I238" i="10"/>
  <c r="I239" i="10"/>
  <c r="I474" i="10"/>
  <c r="I240" i="10"/>
  <c r="I241" i="10"/>
  <c r="I475" i="10"/>
  <c r="I242" i="10"/>
  <c r="I476" i="10"/>
  <c r="I243" i="10"/>
  <c r="I477" i="10"/>
  <c r="I244" i="10"/>
  <c r="I478" i="10"/>
  <c r="I245" i="10"/>
  <c r="I479" i="10"/>
  <c r="I246" i="10"/>
  <c r="I247" i="10"/>
  <c r="I480" i="10"/>
  <c r="I481" i="10"/>
  <c r="I248" i="10"/>
  <c r="I249" i="10"/>
  <c r="I250" i="10"/>
  <c r="I482" i="10"/>
  <c r="I483" i="10"/>
  <c r="I484" i="10"/>
  <c r="I485" i="10"/>
  <c r="I486" i="10"/>
  <c r="I487" i="10"/>
  <c r="I251" i="10"/>
  <c r="I488" i="10"/>
  <c r="I252" i="10"/>
  <c r="I489" i="10"/>
  <c r="I490" i="10"/>
  <c r="I491" i="10"/>
  <c r="I253" i="10"/>
  <c r="I492" i="10"/>
  <c r="I254" i="10"/>
  <c r="I255" i="10"/>
  <c r="I493" i="10"/>
  <c r="I494" i="10"/>
  <c r="I495" i="10"/>
  <c r="I256" i="10"/>
  <c r="I257" i="10"/>
  <c r="I496" i="10"/>
  <c r="I497" i="10"/>
  <c r="I498" i="10"/>
  <c r="I258" i="10"/>
  <c r="I259" i="10"/>
  <c r="I499" i="10"/>
  <c r="I500" i="10"/>
  <c r="I1" i="10"/>
  <c r="B2" i="12" l="1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/>
  <c r="B161" i="12"/>
  <c r="B162" i="12"/>
  <c r="B163" i="12"/>
  <c r="B164" i="12"/>
  <c r="B165" i="12"/>
  <c r="B166" i="12"/>
  <c r="B167" i="12"/>
  <c r="B168" i="12"/>
  <c r="B169" i="12"/>
  <c r="B170" i="12"/>
  <c r="B171" i="12"/>
  <c r="B172" i="12"/>
  <c r="B173" i="12"/>
  <c r="B174" i="12"/>
  <c r="B175" i="12"/>
  <c r="B176" i="12"/>
  <c r="B177" i="12"/>
  <c r="B178" i="12"/>
  <c r="B179" i="12"/>
  <c r="B180" i="12"/>
  <c r="B181" i="12"/>
  <c r="B182" i="12"/>
  <c r="B183" i="12"/>
  <c r="B184" i="12"/>
  <c r="B185" i="12"/>
  <c r="B186" i="12"/>
  <c r="B187" i="12"/>
  <c r="B188" i="12"/>
  <c r="B189" i="12"/>
  <c r="B190" i="12"/>
  <c r="B191" i="12"/>
  <c r="B192" i="12"/>
  <c r="B193" i="12"/>
  <c r="B194" i="12"/>
  <c r="B195" i="12"/>
  <c r="B196" i="12"/>
  <c r="B197" i="12"/>
  <c r="B198" i="12"/>
  <c r="B199" i="12"/>
  <c r="B200" i="12"/>
  <c r="B201" i="12"/>
  <c r="B202" i="12"/>
  <c r="B203" i="12"/>
  <c r="B204" i="12"/>
  <c r="B205" i="12"/>
  <c r="B206" i="12"/>
  <c r="B207" i="12"/>
  <c r="B208" i="12"/>
  <c r="B209" i="12"/>
  <c r="B210" i="12"/>
  <c r="B211" i="12"/>
  <c r="B212" i="12"/>
  <c r="B213" i="12"/>
  <c r="B214" i="12"/>
  <c r="B215" i="12"/>
  <c r="B216" i="12"/>
  <c r="B217" i="12"/>
  <c r="B218" i="12"/>
  <c r="B219" i="12"/>
  <c r="B220" i="12"/>
  <c r="B221" i="12"/>
  <c r="B222" i="12"/>
  <c r="B223" i="12"/>
  <c r="B224" i="12"/>
  <c r="B225" i="12"/>
  <c r="B226" i="12"/>
  <c r="B227" i="12"/>
  <c r="B228" i="12"/>
  <c r="B229" i="12"/>
  <c r="B230" i="12"/>
  <c r="B231" i="12"/>
  <c r="B232" i="12"/>
  <c r="B233" i="12"/>
  <c r="B234" i="12"/>
  <c r="B235" i="12"/>
  <c r="B236" i="12"/>
  <c r="B237" i="12"/>
  <c r="B238" i="12"/>
  <c r="B239" i="12"/>
  <c r="B240" i="12"/>
  <c r="B241" i="12"/>
  <c r="B242" i="12"/>
  <c r="B243" i="12"/>
  <c r="B244" i="12"/>
  <c r="B245" i="12"/>
  <c r="B246" i="12"/>
  <c r="B247" i="12"/>
  <c r="B248" i="12"/>
  <c r="B249" i="12"/>
  <c r="B250" i="12"/>
  <c r="B251" i="12"/>
  <c r="B252" i="12"/>
  <c r="B253" i="12"/>
  <c r="B254" i="12"/>
  <c r="B255" i="12"/>
  <c r="B256" i="12"/>
  <c r="B257" i="12"/>
  <c r="B258" i="12"/>
  <c r="B259" i="12"/>
  <c r="B260" i="12"/>
  <c r="B261" i="12"/>
  <c r="B262" i="12"/>
  <c r="B263" i="12"/>
  <c r="B264" i="12"/>
  <c r="B265" i="12"/>
  <c r="B266" i="12"/>
  <c r="B267" i="12"/>
  <c r="B268" i="12"/>
  <c r="B269" i="12"/>
  <c r="B270" i="12"/>
  <c r="B271" i="12"/>
  <c r="B272" i="12"/>
  <c r="B273" i="12"/>
  <c r="B274" i="12"/>
  <c r="B275" i="12"/>
  <c r="B276" i="12"/>
  <c r="B277" i="12"/>
  <c r="B278" i="12"/>
  <c r="B279" i="12"/>
  <c r="B280" i="12"/>
  <c r="B281" i="12"/>
  <c r="B282" i="12"/>
  <c r="B283" i="12"/>
  <c r="B284" i="12"/>
  <c r="B285" i="12"/>
  <c r="B286" i="12"/>
  <c r="B287" i="12"/>
  <c r="B288" i="12"/>
  <c r="B289" i="12"/>
  <c r="B290" i="12"/>
  <c r="B291" i="12"/>
  <c r="B292" i="12"/>
  <c r="B293" i="12"/>
  <c r="B294" i="12"/>
  <c r="B295" i="12"/>
  <c r="B296" i="12"/>
  <c r="B297" i="12"/>
  <c r="B298" i="12"/>
  <c r="B299" i="12"/>
  <c r="B300" i="12"/>
  <c r="B301" i="12"/>
  <c r="B302" i="12"/>
  <c r="B303" i="12"/>
  <c r="B304" i="12"/>
  <c r="B305" i="12"/>
  <c r="B306" i="12"/>
  <c r="B307" i="12"/>
  <c r="B308" i="12"/>
  <c r="B309" i="12"/>
  <c r="B310" i="12"/>
  <c r="B311" i="12"/>
  <c r="B312" i="12"/>
  <c r="B313" i="12"/>
  <c r="B314" i="12"/>
  <c r="B315" i="12"/>
  <c r="B316" i="12"/>
  <c r="B317" i="12"/>
  <c r="B318" i="12"/>
  <c r="B319" i="12"/>
  <c r="B320" i="12"/>
  <c r="B321" i="12"/>
  <c r="B322" i="12"/>
  <c r="B323" i="12"/>
  <c r="B324" i="12"/>
  <c r="B325" i="12"/>
  <c r="B326" i="12"/>
  <c r="B327" i="12"/>
  <c r="B328" i="12"/>
  <c r="B329" i="12"/>
  <c r="B330" i="12"/>
  <c r="B331" i="12"/>
  <c r="B332" i="12"/>
  <c r="B333" i="12"/>
  <c r="B334" i="12"/>
  <c r="B335" i="12"/>
  <c r="B336" i="12"/>
  <c r="B337" i="12"/>
  <c r="B338" i="12"/>
  <c r="B339" i="12"/>
  <c r="B340" i="12"/>
  <c r="B341" i="12"/>
  <c r="B342" i="12"/>
  <c r="B343" i="12"/>
  <c r="B344" i="12"/>
  <c r="B345" i="12"/>
  <c r="B346" i="12"/>
  <c r="B347" i="12"/>
  <c r="B348" i="12"/>
  <c r="B349" i="12"/>
  <c r="B350" i="12"/>
  <c r="B351" i="12"/>
  <c r="B352" i="12"/>
  <c r="B353" i="12"/>
  <c r="B354" i="12"/>
  <c r="B355" i="12"/>
  <c r="B356" i="12"/>
  <c r="B357" i="12"/>
  <c r="B358" i="12"/>
  <c r="B359" i="12"/>
  <c r="B360" i="12"/>
  <c r="B361" i="12"/>
  <c r="B362" i="12"/>
  <c r="B363" i="12"/>
  <c r="B364" i="12"/>
  <c r="B365" i="12"/>
  <c r="B366" i="12"/>
  <c r="B367" i="12"/>
  <c r="B368" i="12"/>
  <c r="B369" i="12"/>
  <c r="B370" i="12"/>
  <c r="B371" i="12"/>
  <c r="B372" i="12"/>
  <c r="B373" i="12"/>
  <c r="B374" i="12"/>
  <c r="B375" i="12"/>
  <c r="B376" i="12"/>
  <c r="B377" i="12"/>
  <c r="B378" i="12"/>
  <c r="B379" i="12"/>
  <c r="B380" i="12"/>
  <c r="B381" i="12"/>
  <c r="B382" i="12"/>
  <c r="B383" i="12"/>
  <c r="B384" i="12"/>
  <c r="B385" i="12"/>
  <c r="B386" i="12"/>
  <c r="B387" i="12"/>
  <c r="B388" i="12"/>
  <c r="B389" i="12"/>
  <c r="B390" i="12"/>
  <c r="B391" i="12"/>
  <c r="B392" i="12"/>
  <c r="B393" i="12"/>
  <c r="B394" i="12"/>
  <c r="B395" i="12"/>
  <c r="B396" i="12"/>
  <c r="B397" i="12"/>
  <c r="B398" i="12"/>
  <c r="B399" i="12"/>
  <c r="B400" i="12"/>
  <c r="B401" i="12"/>
  <c r="B402" i="12"/>
  <c r="B403" i="12"/>
  <c r="B404" i="12"/>
  <c r="B405" i="12"/>
  <c r="B406" i="12"/>
  <c r="B407" i="12"/>
  <c r="B408" i="12"/>
  <c r="B409" i="12"/>
  <c r="B410" i="12"/>
  <c r="B411" i="12"/>
  <c r="B412" i="12"/>
  <c r="B413" i="12"/>
  <c r="B414" i="12"/>
  <c r="B415" i="12"/>
  <c r="B416" i="12"/>
  <c r="B417" i="12"/>
  <c r="B418" i="12"/>
  <c r="B419" i="12"/>
  <c r="B420" i="12"/>
  <c r="B421" i="12"/>
  <c r="B422" i="12"/>
  <c r="B423" i="12"/>
  <c r="B424" i="12"/>
  <c r="B425" i="12"/>
  <c r="B426" i="12"/>
  <c r="B427" i="12"/>
  <c r="B428" i="12"/>
  <c r="B429" i="12"/>
  <c r="B430" i="12"/>
  <c r="B431" i="12"/>
  <c r="B432" i="12"/>
  <c r="B433" i="12"/>
  <c r="B434" i="12"/>
  <c r="B435" i="12"/>
  <c r="B436" i="12"/>
  <c r="B437" i="12"/>
  <c r="B438" i="12"/>
  <c r="B439" i="12"/>
  <c r="B440" i="12"/>
  <c r="B441" i="12"/>
  <c r="B442" i="12"/>
  <c r="B443" i="12"/>
  <c r="B444" i="12"/>
  <c r="B445" i="12"/>
  <c r="B446" i="12"/>
  <c r="B447" i="12"/>
  <c r="B448" i="12"/>
  <c r="B449" i="12"/>
  <c r="B450" i="12"/>
  <c r="B451" i="12"/>
  <c r="B452" i="12"/>
  <c r="B453" i="12"/>
  <c r="B454" i="12"/>
  <c r="B455" i="12"/>
  <c r="B456" i="12"/>
  <c r="B457" i="12"/>
  <c r="B458" i="12"/>
  <c r="B459" i="12"/>
  <c r="B460" i="12"/>
  <c r="B461" i="12"/>
  <c r="B462" i="12"/>
  <c r="B463" i="12"/>
  <c r="B464" i="12"/>
  <c r="B465" i="12"/>
  <c r="B466" i="12"/>
  <c r="B467" i="12"/>
  <c r="B468" i="12"/>
  <c r="B469" i="12"/>
  <c r="B470" i="12"/>
  <c r="B471" i="12"/>
  <c r="B472" i="12"/>
  <c r="B473" i="12"/>
  <c r="B474" i="12"/>
  <c r="B475" i="12"/>
  <c r="B476" i="12"/>
  <c r="B477" i="12"/>
  <c r="B478" i="12"/>
  <c r="B479" i="12"/>
  <c r="B480" i="12"/>
  <c r="B481" i="12"/>
  <c r="B482" i="12"/>
  <c r="B483" i="12"/>
  <c r="B484" i="12"/>
  <c r="B485" i="12"/>
  <c r="B486" i="12"/>
  <c r="B487" i="12"/>
  <c r="B488" i="12"/>
  <c r="B489" i="12"/>
  <c r="B490" i="12"/>
  <c r="B491" i="12"/>
  <c r="B492" i="12"/>
  <c r="B493" i="12"/>
  <c r="B494" i="12"/>
  <c r="B495" i="12"/>
  <c r="B496" i="12"/>
  <c r="B497" i="12"/>
  <c r="B498" i="12"/>
  <c r="B499" i="12"/>
  <c r="B500" i="12"/>
  <c r="B1" i="12"/>
  <c r="A1" i="12" a="1"/>
  <c r="A1" i="12" s="1"/>
  <c r="B2" i="1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64" i="11"/>
  <c r="B265" i="11"/>
  <c r="B266" i="11"/>
  <c r="B267" i="11"/>
  <c r="B268" i="11"/>
  <c r="B269" i="11"/>
  <c r="B270" i="11"/>
  <c r="B271" i="11"/>
  <c r="B272" i="11"/>
  <c r="B273" i="11"/>
  <c r="B274" i="11"/>
  <c r="B275" i="11"/>
  <c r="B276" i="11"/>
  <c r="B277" i="11"/>
  <c r="B278" i="11"/>
  <c r="B279" i="11"/>
  <c r="B280" i="11"/>
  <c r="B281" i="11"/>
  <c r="B282" i="11"/>
  <c r="B283" i="11"/>
  <c r="B284" i="11"/>
  <c r="B285" i="11"/>
  <c r="B286" i="11"/>
  <c r="B287" i="11"/>
  <c r="B288" i="11"/>
  <c r="B289" i="11"/>
  <c r="B290" i="11"/>
  <c r="B291" i="11"/>
  <c r="B292" i="11"/>
  <c r="B293" i="11"/>
  <c r="B294" i="11"/>
  <c r="B295" i="11"/>
  <c r="B296" i="11"/>
  <c r="B297" i="11"/>
  <c r="B298" i="11"/>
  <c r="B299" i="11"/>
  <c r="B300" i="11"/>
  <c r="B301" i="11"/>
  <c r="B302" i="11"/>
  <c r="B303" i="11"/>
  <c r="B304" i="11"/>
  <c r="B305" i="11"/>
  <c r="B306" i="11"/>
  <c r="B307" i="11"/>
  <c r="B308" i="11"/>
  <c r="B309" i="11"/>
  <c r="B310" i="11"/>
  <c r="B311" i="11"/>
  <c r="B312" i="11"/>
  <c r="B313" i="11"/>
  <c r="B314" i="11"/>
  <c r="B315" i="11"/>
  <c r="B316" i="11"/>
  <c r="B317" i="11"/>
  <c r="B318" i="11"/>
  <c r="B319" i="11"/>
  <c r="B320" i="11"/>
  <c r="B321" i="11"/>
  <c r="B322" i="11"/>
  <c r="B323" i="11"/>
  <c r="B324" i="11"/>
  <c r="B325" i="11"/>
  <c r="B326" i="11"/>
  <c r="B327" i="11"/>
  <c r="B328" i="11"/>
  <c r="B329" i="11"/>
  <c r="B330" i="11"/>
  <c r="B331" i="11"/>
  <c r="B332" i="11"/>
  <c r="B333" i="11"/>
  <c r="B334" i="11"/>
  <c r="B335" i="11"/>
  <c r="B336" i="11"/>
  <c r="B337" i="11"/>
  <c r="B338" i="11"/>
  <c r="B339" i="11"/>
  <c r="B340" i="11"/>
  <c r="B341" i="11"/>
  <c r="B342" i="11"/>
  <c r="B343" i="11"/>
  <c r="B344" i="11"/>
  <c r="B345" i="11"/>
  <c r="B346" i="11"/>
  <c r="B347" i="11"/>
  <c r="B348" i="11"/>
  <c r="B349" i="11"/>
  <c r="B350" i="11"/>
  <c r="B351" i="11"/>
  <c r="B352" i="11"/>
  <c r="B353" i="11"/>
  <c r="B354" i="11"/>
  <c r="B355" i="11"/>
  <c r="B356" i="11"/>
  <c r="B357" i="11"/>
  <c r="B358" i="11"/>
  <c r="B359" i="11"/>
  <c r="B360" i="11"/>
  <c r="B361" i="11"/>
  <c r="B362" i="11"/>
  <c r="B363" i="11"/>
  <c r="B364" i="11"/>
  <c r="B365" i="11"/>
  <c r="B366" i="11"/>
  <c r="B367" i="11"/>
  <c r="B368" i="11"/>
  <c r="B369" i="11"/>
  <c r="B370" i="11"/>
  <c r="B371" i="11"/>
  <c r="B372" i="11"/>
  <c r="B373" i="11"/>
  <c r="B374" i="11"/>
  <c r="B375" i="11"/>
  <c r="B376" i="11"/>
  <c r="B377" i="11"/>
  <c r="B378" i="11"/>
  <c r="B379" i="11"/>
  <c r="B380" i="11"/>
  <c r="B381" i="11"/>
  <c r="B382" i="11"/>
  <c r="B383" i="11"/>
  <c r="B384" i="11"/>
  <c r="B385" i="11"/>
  <c r="B386" i="11"/>
  <c r="B387" i="11"/>
  <c r="B388" i="11"/>
  <c r="B389" i="11"/>
  <c r="B390" i="11"/>
  <c r="B391" i="11"/>
  <c r="B392" i="11"/>
  <c r="B393" i="11"/>
  <c r="B394" i="11"/>
  <c r="B395" i="11"/>
  <c r="B396" i="11"/>
  <c r="B397" i="11"/>
  <c r="B398" i="11"/>
  <c r="B399" i="11"/>
  <c r="B400" i="11"/>
  <c r="B401" i="11"/>
  <c r="B402" i="11"/>
  <c r="B403" i="11"/>
  <c r="B404" i="11"/>
  <c r="B405" i="11"/>
  <c r="B406" i="11"/>
  <c r="B407" i="11"/>
  <c r="B408" i="11"/>
  <c r="B409" i="11"/>
  <c r="B410" i="11"/>
  <c r="B411" i="11"/>
  <c r="B412" i="11"/>
  <c r="B413" i="11"/>
  <c r="B414" i="11"/>
  <c r="B415" i="11"/>
  <c r="B416" i="11"/>
  <c r="B417" i="11"/>
  <c r="B418" i="11"/>
  <c r="B419" i="11"/>
  <c r="B420" i="11"/>
  <c r="B421" i="11"/>
  <c r="B422" i="11"/>
  <c r="B423" i="11"/>
  <c r="B424" i="11"/>
  <c r="B425" i="11"/>
  <c r="B426" i="11"/>
  <c r="B427" i="11"/>
  <c r="B428" i="11"/>
  <c r="B429" i="11"/>
  <c r="B430" i="11"/>
  <c r="B431" i="11"/>
  <c r="B432" i="11"/>
  <c r="B433" i="11"/>
  <c r="B434" i="11"/>
  <c r="B435" i="11"/>
  <c r="B436" i="11"/>
  <c r="B437" i="11"/>
  <c r="B438" i="11"/>
  <c r="B439" i="11"/>
  <c r="B440" i="11"/>
  <c r="B441" i="11"/>
  <c r="B442" i="11"/>
  <c r="B443" i="11"/>
  <c r="B444" i="11"/>
  <c r="B445" i="11"/>
  <c r="B446" i="11"/>
  <c r="B447" i="11"/>
  <c r="B448" i="11"/>
  <c r="B449" i="11"/>
  <c r="B450" i="11"/>
  <c r="B451" i="11"/>
  <c r="B452" i="11"/>
  <c r="B453" i="11"/>
  <c r="B454" i="11"/>
  <c r="B455" i="11"/>
  <c r="B456" i="11"/>
  <c r="B457" i="11"/>
  <c r="B458" i="11"/>
  <c r="B459" i="11"/>
  <c r="B460" i="11"/>
  <c r="B461" i="11"/>
  <c r="B462" i="11"/>
  <c r="B463" i="11"/>
  <c r="B464" i="11"/>
  <c r="B465" i="11"/>
  <c r="B466" i="11"/>
  <c r="B467" i="11"/>
  <c r="B468" i="11"/>
  <c r="B469" i="11"/>
  <c r="B470" i="11"/>
  <c r="B471" i="11"/>
  <c r="B472" i="11"/>
  <c r="B473" i="11"/>
  <c r="B474" i="11"/>
  <c r="B475" i="11"/>
  <c r="B476" i="11"/>
  <c r="B477" i="11"/>
  <c r="B478" i="11"/>
  <c r="B479" i="11"/>
  <c r="B480" i="11"/>
  <c r="B481" i="11"/>
  <c r="B482" i="11"/>
  <c r="B483" i="11"/>
  <c r="B484" i="11"/>
  <c r="B485" i="11"/>
  <c r="B486" i="11"/>
  <c r="B487" i="11"/>
  <c r="B488" i="11"/>
  <c r="B489" i="11"/>
  <c r="B490" i="11"/>
  <c r="B491" i="11"/>
  <c r="B492" i="11"/>
  <c r="B493" i="11"/>
  <c r="B494" i="11"/>
  <c r="B495" i="11"/>
  <c r="B496" i="11"/>
  <c r="B497" i="11"/>
  <c r="B498" i="11"/>
  <c r="B499" i="11"/>
  <c r="B500" i="11"/>
  <c r="B1" i="11"/>
  <c r="A1" i="11" a="1"/>
  <c r="A1" i="11" s="1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B446" i="10"/>
  <c r="B447" i="10"/>
  <c r="B448" i="10"/>
  <c r="B449" i="10"/>
  <c r="B450" i="10"/>
  <c r="B451" i="10"/>
  <c r="B452" i="10"/>
  <c r="B453" i="10"/>
  <c r="B454" i="10"/>
  <c r="B455" i="10"/>
  <c r="B456" i="10"/>
  <c r="B457" i="10"/>
  <c r="B458" i="10"/>
  <c r="B459" i="10"/>
  <c r="B460" i="10"/>
  <c r="B461" i="10"/>
  <c r="B462" i="10"/>
  <c r="B463" i="10"/>
  <c r="B464" i="10"/>
  <c r="B465" i="10"/>
  <c r="B466" i="10"/>
  <c r="B467" i="10"/>
  <c r="B468" i="10"/>
  <c r="B469" i="10"/>
  <c r="B470" i="10"/>
  <c r="B471" i="10"/>
  <c r="B472" i="10"/>
  <c r="B473" i="10"/>
  <c r="B474" i="10"/>
  <c r="B475" i="10"/>
  <c r="B476" i="10"/>
  <c r="B477" i="10"/>
  <c r="B478" i="10"/>
  <c r="B479" i="10"/>
  <c r="B480" i="10"/>
  <c r="B481" i="10"/>
  <c r="B482" i="10"/>
  <c r="B483" i="10"/>
  <c r="B484" i="10"/>
  <c r="B485" i="10"/>
  <c r="B486" i="10"/>
  <c r="B487" i="10"/>
  <c r="B488" i="10"/>
  <c r="B489" i="10"/>
  <c r="B490" i="10"/>
  <c r="B491" i="10"/>
  <c r="B492" i="10"/>
  <c r="B493" i="10"/>
  <c r="B494" i="10"/>
  <c r="B495" i="10"/>
  <c r="B496" i="10"/>
  <c r="B497" i="10"/>
  <c r="B498" i="10"/>
  <c r="B499" i="10"/>
  <c r="B500" i="10"/>
  <c r="B1" i="10"/>
  <c r="B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492" i="9"/>
  <c r="B493" i="9"/>
  <c r="B494" i="9"/>
  <c r="B495" i="9"/>
  <c r="B496" i="9"/>
  <c r="B497" i="9"/>
  <c r="B498" i="9"/>
  <c r="B499" i="9"/>
  <c r="B500" i="9"/>
  <c r="B1" i="9"/>
  <c r="D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1" i="8"/>
  <c r="C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1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1" i="8"/>
  <c r="A1" i="8" a="1"/>
  <c r="A1" i="8" s="1"/>
  <c r="D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1" i="7"/>
  <c r="C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1" i="7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1" i="7"/>
  <c r="A1" i="7" a="1"/>
  <c r="A1" i="7" s="1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1" i="6"/>
  <c r="T3" i="1" a="1"/>
  <c r="T3" i="1" s="1"/>
  <c r="T4" i="1" a="1"/>
  <c r="T4" i="1" s="1"/>
  <c r="T5" i="1" a="1"/>
  <c r="T5" i="1" s="1"/>
  <c r="T6" i="1" a="1"/>
  <c r="T6" i="1" s="1"/>
  <c r="T7" i="1" a="1"/>
  <c r="T7" i="1" s="1"/>
  <c r="T8" i="1" a="1"/>
  <c r="T8" i="1" s="1"/>
  <c r="T9" i="1" a="1"/>
  <c r="T9" i="1" s="1"/>
  <c r="T10" i="1" a="1"/>
  <c r="T10" i="1" s="1"/>
  <c r="T11" i="1" a="1"/>
  <c r="T11" i="1" s="1"/>
  <c r="T12" i="1" a="1"/>
  <c r="T12" i="1" s="1"/>
  <c r="T13" i="1" a="1"/>
  <c r="T13" i="1" s="1"/>
  <c r="T14" i="1" a="1"/>
  <c r="T14" i="1" s="1"/>
  <c r="T15" i="1" a="1"/>
  <c r="T15" i="1" s="1"/>
  <c r="T16" i="1" a="1"/>
  <c r="T16" i="1" s="1"/>
  <c r="T17" i="1" a="1"/>
  <c r="T17" i="1" s="1"/>
  <c r="T18" i="1" a="1"/>
  <c r="T18" i="1" s="1"/>
  <c r="T19" i="1" a="1"/>
  <c r="T19" i="1" s="1"/>
  <c r="T20" i="1" a="1"/>
  <c r="T20" i="1" s="1"/>
  <c r="T21" i="1" a="1"/>
  <c r="T21" i="1" s="1"/>
  <c r="T22" i="1" a="1"/>
  <c r="T22" i="1" s="1"/>
  <c r="T23" i="1" a="1"/>
  <c r="T23" i="1" s="1"/>
  <c r="T24" i="1" a="1"/>
  <c r="T24" i="1" s="1"/>
  <c r="T25" i="1" a="1"/>
  <c r="T25" i="1" s="1"/>
  <c r="T26" i="1" a="1"/>
  <c r="T26" i="1" s="1"/>
  <c r="T27" i="1" a="1"/>
  <c r="T27" i="1" s="1"/>
  <c r="T28" i="1" a="1"/>
  <c r="T28" i="1" s="1"/>
  <c r="T29" i="1" a="1"/>
  <c r="T29" i="1" s="1"/>
  <c r="T30" i="1" a="1"/>
  <c r="T30" i="1" s="1"/>
  <c r="T31" i="1" a="1"/>
  <c r="T31" i="1" s="1"/>
  <c r="T32" i="1" a="1"/>
  <c r="T32" i="1" s="1"/>
  <c r="T33" i="1" a="1"/>
  <c r="T33" i="1" s="1"/>
  <c r="T34" i="1" a="1"/>
  <c r="T34" i="1" s="1"/>
  <c r="T35" i="1" a="1"/>
  <c r="T35" i="1" s="1"/>
  <c r="T36" i="1" a="1"/>
  <c r="T36" i="1" s="1"/>
  <c r="T37" i="1" a="1"/>
  <c r="T37" i="1" s="1"/>
  <c r="T38" i="1" a="1"/>
  <c r="T38" i="1" s="1"/>
  <c r="T39" i="1" a="1"/>
  <c r="T39" i="1" s="1"/>
  <c r="T40" i="1" a="1"/>
  <c r="T40" i="1" s="1"/>
  <c r="T41" i="1" a="1"/>
  <c r="T41" i="1" s="1"/>
  <c r="T42" i="1" a="1"/>
  <c r="T42" i="1" s="1"/>
  <c r="T43" i="1" a="1"/>
  <c r="T43" i="1" s="1"/>
  <c r="T44" i="1" a="1"/>
  <c r="T44" i="1" s="1"/>
  <c r="T45" i="1" a="1"/>
  <c r="T45" i="1" s="1"/>
  <c r="T46" i="1" a="1"/>
  <c r="T46" i="1" s="1"/>
  <c r="T47" i="1" a="1"/>
  <c r="T47" i="1" s="1"/>
  <c r="T48" i="1" a="1"/>
  <c r="T48" i="1" s="1"/>
  <c r="T49" i="1" a="1"/>
  <c r="T49" i="1" s="1"/>
  <c r="T50" i="1" a="1"/>
  <c r="T50" i="1" s="1"/>
  <c r="T51" i="1" a="1"/>
  <c r="T51" i="1" s="1"/>
  <c r="T52" i="1" a="1"/>
  <c r="T52" i="1" s="1"/>
  <c r="T53" i="1" a="1"/>
  <c r="T53" i="1" s="1"/>
  <c r="T54" i="1" a="1"/>
  <c r="T54" i="1" s="1"/>
  <c r="T55" i="1" a="1"/>
  <c r="T55" i="1" s="1"/>
  <c r="T56" i="1" a="1"/>
  <c r="T56" i="1" s="1"/>
  <c r="T57" i="1" a="1"/>
  <c r="T57" i="1" s="1"/>
  <c r="T58" i="1" a="1"/>
  <c r="T58" i="1" s="1"/>
  <c r="T59" i="1" a="1"/>
  <c r="T59" i="1" s="1"/>
  <c r="T60" i="1" a="1"/>
  <c r="T60" i="1" s="1"/>
  <c r="T61" i="1" a="1"/>
  <c r="T61" i="1" s="1"/>
  <c r="T62" i="1" a="1"/>
  <c r="T62" i="1" s="1"/>
  <c r="T63" i="1" a="1"/>
  <c r="T63" i="1" s="1"/>
  <c r="T64" i="1" a="1"/>
  <c r="T64" i="1" s="1"/>
  <c r="T65" i="1" a="1"/>
  <c r="T65" i="1" s="1"/>
  <c r="T66" i="1" a="1"/>
  <c r="T66" i="1" s="1"/>
  <c r="T67" i="1" a="1"/>
  <c r="T67" i="1" s="1"/>
  <c r="T68" i="1" a="1"/>
  <c r="T68" i="1" s="1"/>
  <c r="T69" i="1" a="1"/>
  <c r="T69" i="1" s="1"/>
  <c r="T70" i="1" a="1"/>
  <c r="T70" i="1" s="1"/>
  <c r="T71" i="1" a="1"/>
  <c r="T71" i="1" s="1"/>
  <c r="T72" i="1" a="1"/>
  <c r="T72" i="1" s="1"/>
  <c r="T73" i="1" a="1"/>
  <c r="T73" i="1" s="1"/>
  <c r="T74" i="1" a="1"/>
  <c r="T74" i="1" s="1"/>
  <c r="T75" i="1" a="1"/>
  <c r="T75" i="1" s="1"/>
  <c r="T76" i="1" a="1"/>
  <c r="T76" i="1" s="1"/>
  <c r="T77" i="1" a="1"/>
  <c r="T77" i="1" s="1"/>
  <c r="T78" i="1" a="1"/>
  <c r="T78" i="1" s="1"/>
  <c r="T79" i="1" a="1"/>
  <c r="T79" i="1" s="1"/>
  <c r="T80" i="1" a="1"/>
  <c r="T80" i="1" s="1"/>
  <c r="T81" i="1" a="1"/>
  <c r="T81" i="1" s="1"/>
  <c r="T82" i="1" a="1"/>
  <c r="T82" i="1" s="1"/>
  <c r="T83" i="1" a="1"/>
  <c r="T83" i="1" s="1"/>
  <c r="T84" i="1" a="1"/>
  <c r="T84" i="1" s="1"/>
  <c r="T85" i="1" a="1"/>
  <c r="T85" i="1" s="1"/>
  <c r="T86" i="1" a="1"/>
  <c r="T86" i="1" s="1"/>
  <c r="T87" i="1" a="1"/>
  <c r="T87" i="1" s="1"/>
  <c r="T88" i="1" a="1"/>
  <c r="T88" i="1" s="1"/>
  <c r="T89" i="1" a="1"/>
  <c r="T89" i="1" s="1"/>
  <c r="T90" i="1" a="1"/>
  <c r="T90" i="1" s="1"/>
  <c r="T91" i="1" a="1"/>
  <c r="T91" i="1" s="1"/>
  <c r="T92" i="1" a="1"/>
  <c r="T92" i="1" s="1"/>
  <c r="T93" i="1" a="1"/>
  <c r="T93" i="1" s="1"/>
  <c r="T94" i="1" a="1"/>
  <c r="T94" i="1" s="1"/>
  <c r="T95" i="1" a="1"/>
  <c r="T95" i="1" s="1"/>
  <c r="T96" i="1" a="1"/>
  <c r="T96" i="1" s="1"/>
  <c r="T97" i="1" a="1"/>
  <c r="T97" i="1" s="1"/>
  <c r="T98" i="1" a="1"/>
  <c r="T98" i="1" s="1"/>
  <c r="T99" i="1" a="1"/>
  <c r="T99" i="1" s="1"/>
  <c r="T100" i="1" a="1"/>
  <c r="T100" i="1" s="1"/>
  <c r="T101" i="1" a="1"/>
  <c r="T101" i="1" s="1"/>
  <c r="T102" i="1" a="1"/>
  <c r="T102" i="1" s="1"/>
  <c r="T103" i="1" a="1"/>
  <c r="T103" i="1" s="1"/>
  <c r="T104" i="1" a="1"/>
  <c r="T104" i="1" s="1"/>
  <c r="T105" i="1" a="1"/>
  <c r="T105" i="1" s="1"/>
  <c r="T106" i="1" a="1"/>
  <c r="T106" i="1" s="1"/>
  <c r="T107" i="1" a="1"/>
  <c r="T107" i="1" s="1"/>
  <c r="T108" i="1" a="1"/>
  <c r="T108" i="1" s="1"/>
  <c r="T109" i="1" a="1"/>
  <c r="T109" i="1" s="1"/>
  <c r="T110" i="1" a="1"/>
  <c r="T110" i="1" s="1"/>
  <c r="T111" i="1" a="1"/>
  <c r="T111" i="1" s="1"/>
  <c r="T112" i="1" a="1"/>
  <c r="T112" i="1" s="1"/>
  <c r="T113" i="1" a="1"/>
  <c r="T113" i="1" s="1"/>
  <c r="T114" i="1" a="1"/>
  <c r="T114" i="1" s="1"/>
  <c r="T115" i="1" a="1"/>
  <c r="T115" i="1" s="1"/>
  <c r="T116" i="1" a="1"/>
  <c r="T116" i="1" s="1"/>
  <c r="T117" i="1" a="1"/>
  <c r="T117" i="1" s="1"/>
  <c r="T118" i="1" a="1"/>
  <c r="T118" i="1" s="1"/>
  <c r="T119" i="1" a="1"/>
  <c r="T119" i="1" s="1"/>
  <c r="T120" i="1" a="1"/>
  <c r="T120" i="1" s="1"/>
  <c r="T121" i="1" a="1"/>
  <c r="T121" i="1" s="1"/>
  <c r="T122" i="1" a="1"/>
  <c r="T122" i="1" s="1"/>
  <c r="T123" i="1" a="1"/>
  <c r="T123" i="1" s="1"/>
  <c r="T124" i="1" a="1"/>
  <c r="T124" i="1" s="1"/>
  <c r="T125" i="1" a="1"/>
  <c r="T125" i="1" s="1"/>
  <c r="T126" i="1" a="1"/>
  <c r="T126" i="1" s="1"/>
  <c r="T127" i="1" a="1"/>
  <c r="T127" i="1" s="1"/>
  <c r="T128" i="1" a="1"/>
  <c r="T128" i="1" s="1"/>
  <c r="T129" i="1" a="1"/>
  <c r="T129" i="1" s="1"/>
  <c r="T130" i="1" a="1"/>
  <c r="T130" i="1" s="1"/>
  <c r="T131" i="1" a="1"/>
  <c r="T131" i="1" s="1"/>
  <c r="T132" i="1" a="1"/>
  <c r="T132" i="1" s="1"/>
  <c r="T133" i="1" a="1"/>
  <c r="T133" i="1" s="1"/>
  <c r="T134" i="1" a="1"/>
  <c r="T134" i="1" s="1"/>
  <c r="T135" i="1" a="1"/>
  <c r="T135" i="1" s="1"/>
  <c r="T136" i="1" a="1"/>
  <c r="T136" i="1" s="1"/>
  <c r="T137" i="1" a="1"/>
  <c r="T137" i="1" s="1"/>
  <c r="T138" i="1" a="1"/>
  <c r="T138" i="1" s="1"/>
  <c r="T139" i="1" a="1"/>
  <c r="T139" i="1" s="1"/>
  <c r="T140" i="1" a="1"/>
  <c r="T140" i="1" s="1"/>
  <c r="T141" i="1" a="1"/>
  <c r="T141" i="1" s="1"/>
  <c r="T142" i="1" a="1"/>
  <c r="T142" i="1" s="1"/>
  <c r="T143" i="1" a="1"/>
  <c r="T143" i="1" s="1"/>
  <c r="T144" i="1" a="1"/>
  <c r="T144" i="1" s="1"/>
  <c r="T145" i="1" a="1"/>
  <c r="T145" i="1" s="1"/>
  <c r="T146" i="1" a="1"/>
  <c r="T146" i="1" s="1"/>
  <c r="T147" i="1" a="1"/>
  <c r="T147" i="1" s="1"/>
  <c r="T148" i="1" a="1"/>
  <c r="T148" i="1" s="1"/>
  <c r="T149" i="1" a="1"/>
  <c r="T149" i="1" s="1"/>
  <c r="T150" i="1" a="1"/>
  <c r="T150" i="1" s="1"/>
  <c r="T151" i="1" a="1"/>
  <c r="T151" i="1" s="1"/>
  <c r="T152" i="1" a="1"/>
  <c r="T152" i="1" s="1"/>
  <c r="T153" i="1" a="1"/>
  <c r="T153" i="1" s="1"/>
  <c r="T154" i="1" a="1"/>
  <c r="T154" i="1" s="1"/>
  <c r="T155" i="1" a="1"/>
  <c r="T155" i="1" s="1"/>
  <c r="T156" i="1" a="1"/>
  <c r="T156" i="1" s="1"/>
  <c r="T157" i="1" a="1"/>
  <c r="T157" i="1" s="1"/>
  <c r="T158" i="1" a="1"/>
  <c r="T158" i="1" s="1"/>
  <c r="T159" i="1" a="1"/>
  <c r="T159" i="1" s="1"/>
  <c r="T160" i="1" a="1"/>
  <c r="T160" i="1" s="1"/>
  <c r="T161" i="1" a="1"/>
  <c r="T161" i="1" s="1"/>
  <c r="T162" i="1" a="1"/>
  <c r="T162" i="1" s="1"/>
  <c r="T163" i="1" a="1"/>
  <c r="T163" i="1" s="1"/>
  <c r="T164" i="1" a="1"/>
  <c r="T164" i="1" s="1"/>
  <c r="T165" i="1" a="1"/>
  <c r="T165" i="1" s="1"/>
  <c r="T166" i="1" a="1"/>
  <c r="T166" i="1" s="1"/>
  <c r="T167" i="1" a="1"/>
  <c r="T167" i="1" s="1"/>
  <c r="T168" i="1" a="1"/>
  <c r="T168" i="1" s="1"/>
  <c r="T169" i="1" a="1"/>
  <c r="T169" i="1" s="1"/>
  <c r="T170" i="1" a="1"/>
  <c r="T170" i="1" s="1"/>
  <c r="T171" i="1" a="1"/>
  <c r="T171" i="1" s="1"/>
  <c r="T172" i="1" a="1"/>
  <c r="T172" i="1" s="1"/>
  <c r="T173" i="1" a="1"/>
  <c r="T173" i="1" s="1"/>
  <c r="T174" i="1" a="1"/>
  <c r="T174" i="1" s="1"/>
  <c r="T175" i="1" a="1"/>
  <c r="T175" i="1" s="1"/>
  <c r="T176" i="1" a="1"/>
  <c r="T176" i="1" s="1"/>
  <c r="T177" i="1" a="1"/>
  <c r="T177" i="1" s="1"/>
  <c r="T178" i="1" a="1"/>
  <c r="T178" i="1" s="1"/>
  <c r="T179" i="1" a="1"/>
  <c r="T179" i="1" s="1"/>
  <c r="T180" i="1" a="1"/>
  <c r="T180" i="1" s="1"/>
  <c r="T181" i="1" a="1"/>
  <c r="T181" i="1" s="1"/>
  <c r="T182" i="1" a="1"/>
  <c r="T182" i="1" s="1"/>
  <c r="T183" i="1" a="1"/>
  <c r="T183" i="1" s="1"/>
  <c r="T184" i="1" a="1"/>
  <c r="T184" i="1" s="1"/>
  <c r="T185" i="1" a="1"/>
  <c r="T185" i="1" s="1"/>
  <c r="T186" i="1" a="1"/>
  <c r="T186" i="1" s="1"/>
  <c r="T187" i="1" a="1"/>
  <c r="T187" i="1" s="1"/>
  <c r="T188" i="1" a="1"/>
  <c r="T188" i="1" s="1"/>
  <c r="T189" i="1" a="1"/>
  <c r="T189" i="1" s="1"/>
  <c r="T190" i="1" a="1"/>
  <c r="T190" i="1" s="1"/>
  <c r="T191" i="1" a="1"/>
  <c r="T191" i="1" s="1"/>
  <c r="T192" i="1" a="1"/>
  <c r="T192" i="1" s="1"/>
  <c r="T193" i="1" a="1"/>
  <c r="T193" i="1" s="1"/>
  <c r="T194" i="1" a="1"/>
  <c r="T194" i="1" s="1"/>
  <c r="T195" i="1" a="1"/>
  <c r="T195" i="1" s="1"/>
  <c r="T196" i="1" a="1"/>
  <c r="T196" i="1" s="1"/>
  <c r="T197" i="1" a="1"/>
  <c r="T197" i="1" s="1"/>
  <c r="T198" i="1" a="1"/>
  <c r="T198" i="1" s="1"/>
  <c r="T199" i="1" a="1"/>
  <c r="T199" i="1" s="1"/>
  <c r="T200" i="1" a="1"/>
  <c r="T200" i="1" s="1"/>
  <c r="T201" i="1" a="1"/>
  <c r="T201" i="1" s="1"/>
  <c r="T202" i="1" a="1"/>
  <c r="T202" i="1" s="1"/>
  <c r="T203" i="1" a="1"/>
  <c r="T203" i="1" s="1"/>
  <c r="T204" i="1" a="1"/>
  <c r="T204" i="1" s="1"/>
  <c r="T205" i="1" a="1"/>
  <c r="T205" i="1" s="1"/>
  <c r="T206" i="1" a="1"/>
  <c r="T206" i="1" s="1"/>
  <c r="T207" i="1" a="1"/>
  <c r="T207" i="1" s="1"/>
  <c r="T208" i="1" a="1"/>
  <c r="T208" i="1" s="1"/>
  <c r="T209" i="1" a="1"/>
  <c r="T209" i="1" s="1"/>
  <c r="T210" i="1" a="1"/>
  <c r="T210" i="1" s="1"/>
  <c r="T211" i="1" a="1"/>
  <c r="T211" i="1" s="1"/>
  <c r="T212" i="1" a="1"/>
  <c r="T212" i="1" s="1"/>
  <c r="T213" i="1" a="1"/>
  <c r="T213" i="1" s="1"/>
  <c r="T214" i="1" a="1"/>
  <c r="T214" i="1" s="1"/>
  <c r="T215" i="1" a="1"/>
  <c r="T215" i="1" s="1"/>
  <c r="T216" i="1" a="1"/>
  <c r="T216" i="1" s="1"/>
  <c r="T217" i="1" a="1"/>
  <c r="T217" i="1" s="1"/>
  <c r="T218" i="1" a="1"/>
  <c r="T218" i="1" s="1"/>
  <c r="T219" i="1" a="1"/>
  <c r="T219" i="1" s="1"/>
  <c r="T220" i="1" a="1"/>
  <c r="T220" i="1" s="1"/>
  <c r="T221" i="1" a="1"/>
  <c r="T221" i="1" s="1"/>
  <c r="T222" i="1" a="1"/>
  <c r="T222" i="1" s="1"/>
  <c r="T223" i="1" a="1"/>
  <c r="T223" i="1" s="1"/>
  <c r="T224" i="1" a="1"/>
  <c r="T224" i="1" s="1"/>
  <c r="T225" i="1" a="1"/>
  <c r="T225" i="1" s="1"/>
  <c r="T226" i="1" a="1"/>
  <c r="T226" i="1" s="1"/>
  <c r="T227" i="1" a="1"/>
  <c r="T227" i="1" s="1"/>
  <c r="T228" i="1" a="1"/>
  <c r="T228" i="1" s="1"/>
  <c r="T229" i="1" a="1"/>
  <c r="T229" i="1" s="1"/>
  <c r="T230" i="1" a="1"/>
  <c r="T230" i="1" s="1"/>
  <c r="T231" i="1" a="1"/>
  <c r="T231" i="1" s="1"/>
  <c r="T232" i="1" a="1"/>
  <c r="T232" i="1" s="1"/>
  <c r="T233" i="1" a="1"/>
  <c r="T233" i="1" s="1"/>
  <c r="T234" i="1" a="1"/>
  <c r="T234" i="1" s="1"/>
  <c r="T235" i="1" a="1"/>
  <c r="T235" i="1" s="1"/>
  <c r="T236" i="1" a="1"/>
  <c r="T236" i="1" s="1"/>
  <c r="T237" i="1" a="1"/>
  <c r="T237" i="1" s="1"/>
  <c r="T238" i="1" a="1"/>
  <c r="T238" i="1" s="1"/>
  <c r="T239" i="1" a="1"/>
  <c r="T239" i="1" s="1"/>
  <c r="T240" i="1" a="1"/>
  <c r="T240" i="1" s="1"/>
  <c r="T241" i="1" a="1"/>
  <c r="T241" i="1" s="1"/>
  <c r="T242" i="1" a="1"/>
  <c r="T242" i="1" s="1"/>
  <c r="T243" i="1" a="1"/>
  <c r="T243" i="1" s="1"/>
  <c r="T244" i="1" a="1"/>
  <c r="T244" i="1" s="1"/>
  <c r="T245" i="1" a="1"/>
  <c r="T245" i="1" s="1"/>
  <c r="T246" i="1" a="1"/>
  <c r="T246" i="1" s="1"/>
  <c r="T247" i="1" a="1"/>
  <c r="T247" i="1" s="1"/>
  <c r="T248" i="1" a="1"/>
  <c r="T248" i="1" s="1"/>
  <c r="T249" i="1" a="1"/>
  <c r="T249" i="1" s="1"/>
  <c r="T250" i="1" a="1"/>
  <c r="T250" i="1" s="1"/>
  <c r="T251" i="1" a="1"/>
  <c r="T251" i="1" s="1"/>
  <c r="T252" i="1" a="1"/>
  <c r="T252" i="1" s="1"/>
  <c r="T253" i="1" a="1"/>
  <c r="T253" i="1" s="1"/>
  <c r="T254" i="1" a="1"/>
  <c r="T254" i="1" s="1"/>
  <c r="T255" i="1" a="1"/>
  <c r="T255" i="1" s="1"/>
  <c r="T256" i="1" a="1"/>
  <c r="T256" i="1" s="1"/>
  <c r="T257" i="1" a="1"/>
  <c r="T257" i="1" s="1"/>
  <c r="T258" i="1" a="1"/>
  <c r="T258" i="1" s="1"/>
  <c r="T259" i="1" a="1"/>
  <c r="T259" i="1" s="1"/>
  <c r="T260" i="1" a="1"/>
  <c r="T260" i="1" s="1"/>
  <c r="T261" i="1" a="1"/>
  <c r="T261" i="1" s="1"/>
  <c r="T262" i="1" a="1"/>
  <c r="T262" i="1"/>
  <c r="T263" i="1" a="1"/>
  <c r="T263" i="1" s="1"/>
  <c r="T264" i="1" a="1"/>
  <c r="T264" i="1" s="1"/>
  <c r="T265" i="1" a="1"/>
  <c r="T265" i="1" s="1"/>
  <c r="T266" i="1" a="1"/>
  <c r="T266" i="1"/>
  <c r="T267" i="1" a="1"/>
  <c r="T267" i="1" s="1"/>
  <c r="T268" i="1" a="1"/>
  <c r="T268" i="1" s="1"/>
  <c r="T269" i="1" a="1"/>
  <c r="T269" i="1" s="1"/>
  <c r="T270" i="1" a="1"/>
  <c r="T270" i="1"/>
  <c r="T271" i="1" a="1"/>
  <c r="T271" i="1" s="1"/>
  <c r="T272" i="1" a="1"/>
  <c r="T272" i="1" s="1"/>
  <c r="T273" i="1" a="1"/>
  <c r="T273" i="1" s="1"/>
  <c r="T274" i="1" a="1"/>
  <c r="T274" i="1" s="1"/>
  <c r="T275" i="1" a="1"/>
  <c r="T275" i="1" s="1"/>
  <c r="T276" i="1" a="1"/>
  <c r="T276" i="1" s="1"/>
  <c r="T277" i="1" a="1"/>
  <c r="T277" i="1" s="1"/>
  <c r="T278" i="1" a="1"/>
  <c r="T278" i="1"/>
  <c r="T279" i="1" a="1"/>
  <c r="T279" i="1" s="1"/>
  <c r="T280" i="1" a="1"/>
  <c r="T280" i="1" s="1"/>
  <c r="T281" i="1" a="1"/>
  <c r="T281" i="1" s="1"/>
  <c r="T282" i="1" a="1"/>
  <c r="T282" i="1"/>
  <c r="T283" i="1" a="1"/>
  <c r="T283" i="1" s="1"/>
  <c r="T284" i="1" a="1"/>
  <c r="T284" i="1" s="1"/>
  <c r="T285" i="1" a="1"/>
  <c r="T285" i="1" s="1"/>
  <c r="T286" i="1" a="1"/>
  <c r="T286" i="1" s="1"/>
  <c r="T287" i="1" a="1"/>
  <c r="T287" i="1" s="1"/>
  <c r="T288" i="1" a="1"/>
  <c r="T288" i="1" s="1"/>
  <c r="T289" i="1" a="1"/>
  <c r="T289" i="1" s="1"/>
  <c r="T290" i="1" a="1"/>
  <c r="T290" i="1" s="1"/>
  <c r="T291" i="1" a="1"/>
  <c r="T291" i="1" s="1"/>
  <c r="T292" i="1" a="1"/>
  <c r="T292" i="1" s="1"/>
  <c r="T293" i="1" a="1"/>
  <c r="T293" i="1" s="1"/>
  <c r="T294" i="1" a="1"/>
  <c r="T294" i="1"/>
  <c r="T295" i="1" a="1"/>
  <c r="T295" i="1" s="1"/>
  <c r="T296" i="1" a="1"/>
  <c r="T296" i="1" s="1"/>
  <c r="T297" i="1" a="1"/>
  <c r="T297" i="1" s="1"/>
  <c r="T298" i="1" a="1"/>
  <c r="T298" i="1"/>
  <c r="T299" i="1" a="1"/>
  <c r="T299" i="1" s="1"/>
  <c r="T300" i="1" a="1"/>
  <c r="T300" i="1" s="1"/>
  <c r="T301" i="1" a="1"/>
  <c r="T301" i="1" s="1"/>
  <c r="T302" i="1" a="1"/>
  <c r="T302" i="1"/>
  <c r="T303" i="1" a="1"/>
  <c r="T303" i="1" s="1"/>
  <c r="T304" i="1" a="1"/>
  <c r="T304" i="1" s="1"/>
  <c r="T305" i="1" a="1"/>
  <c r="T305" i="1" s="1"/>
  <c r="T306" i="1" a="1"/>
  <c r="T306" i="1" s="1"/>
  <c r="T307" i="1" a="1"/>
  <c r="T307" i="1" s="1"/>
  <c r="T308" i="1" a="1"/>
  <c r="T308" i="1" s="1"/>
  <c r="T309" i="1" a="1"/>
  <c r="T309" i="1" s="1"/>
  <c r="T310" i="1" a="1"/>
  <c r="T310" i="1"/>
  <c r="T311" i="1" a="1"/>
  <c r="T311" i="1" s="1"/>
  <c r="T312" i="1" a="1"/>
  <c r="T312" i="1" s="1"/>
  <c r="T313" i="1" a="1"/>
  <c r="T313" i="1" s="1"/>
  <c r="T314" i="1" a="1"/>
  <c r="T314" i="1"/>
  <c r="T315" i="1" a="1"/>
  <c r="T315" i="1" s="1"/>
  <c r="T316" i="1" a="1"/>
  <c r="T316" i="1" s="1"/>
  <c r="T317" i="1" a="1"/>
  <c r="T317" i="1" s="1"/>
  <c r="T318" i="1" a="1"/>
  <c r="T318" i="1" s="1"/>
  <c r="T319" i="1" a="1"/>
  <c r="T319" i="1" s="1"/>
  <c r="T320" i="1" a="1"/>
  <c r="T320" i="1" s="1"/>
  <c r="T321" i="1" a="1"/>
  <c r="T321" i="1" s="1"/>
  <c r="T322" i="1" a="1"/>
  <c r="T322" i="1" s="1"/>
  <c r="T323" i="1" a="1"/>
  <c r="T323" i="1" s="1"/>
  <c r="T324" i="1" a="1"/>
  <c r="T324" i="1" s="1"/>
  <c r="T325" i="1" a="1"/>
  <c r="T325" i="1" s="1"/>
  <c r="T326" i="1" a="1"/>
  <c r="T326" i="1"/>
  <c r="T327" i="1" a="1"/>
  <c r="T327" i="1" s="1"/>
  <c r="T328" i="1" a="1"/>
  <c r="T328" i="1" s="1"/>
  <c r="T329" i="1" a="1"/>
  <c r="T329" i="1" s="1"/>
  <c r="T330" i="1" a="1"/>
  <c r="T330" i="1"/>
  <c r="T331" i="1" a="1"/>
  <c r="T331" i="1" s="1"/>
  <c r="T332" i="1" a="1"/>
  <c r="T332" i="1" s="1"/>
  <c r="T333" i="1" a="1"/>
  <c r="T333" i="1" s="1"/>
  <c r="T334" i="1" a="1"/>
  <c r="T334" i="1"/>
  <c r="T335" i="1" a="1"/>
  <c r="T335" i="1" s="1"/>
  <c r="T336" i="1" a="1"/>
  <c r="T336" i="1"/>
  <c r="T337" i="1" a="1"/>
  <c r="T337" i="1" s="1"/>
  <c r="T338" i="1" a="1"/>
  <c r="T338" i="1"/>
  <c r="T339" i="1" a="1"/>
  <c r="T339" i="1" s="1"/>
  <c r="T340" i="1" a="1"/>
  <c r="T340" i="1" s="1"/>
  <c r="T341" i="1" a="1"/>
  <c r="T341" i="1" s="1"/>
  <c r="T342" i="1" a="1"/>
  <c r="T342" i="1" s="1"/>
  <c r="T343" i="1" a="1"/>
  <c r="T343" i="1"/>
  <c r="T344" i="1" a="1"/>
  <c r="T344" i="1"/>
  <c r="T345" i="1" a="1"/>
  <c r="T345" i="1"/>
  <c r="T346" i="1" a="1"/>
  <c r="T346" i="1" s="1"/>
  <c r="T347" i="1" a="1"/>
  <c r="T347" i="1"/>
  <c r="T348" i="1" a="1"/>
  <c r="T348" i="1"/>
  <c r="T349" i="1" a="1"/>
  <c r="T349" i="1"/>
  <c r="T350" i="1" a="1"/>
  <c r="T350" i="1" s="1"/>
  <c r="T351" i="1" a="1"/>
  <c r="T351" i="1"/>
  <c r="T352" i="1" a="1"/>
  <c r="T352" i="1"/>
  <c r="T353" i="1" a="1"/>
  <c r="T353" i="1"/>
  <c r="T354" i="1" a="1"/>
  <c r="T354" i="1" s="1"/>
  <c r="T355" i="1" a="1"/>
  <c r="T355" i="1"/>
  <c r="T356" i="1" a="1"/>
  <c r="T356" i="1"/>
  <c r="T357" i="1" a="1"/>
  <c r="T357" i="1"/>
  <c r="T358" i="1" a="1"/>
  <c r="T358" i="1" s="1"/>
  <c r="T359" i="1" a="1"/>
  <c r="T359" i="1"/>
  <c r="T360" i="1" a="1"/>
  <c r="T360" i="1" s="1"/>
  <c r="T361" i="1" a="1"/>
  <c r="T361" i="1"/>
  <c r="T362" i="1" a="1"/>
  <c r="T362" i="1" s="1"/>
  <c r="T363" i="1" a="1"/>
  <c r="T363" i="1"/>
  <c r="T364" i="1" a="1"/>
  <c r="T364" i="1" s="1"/>
  <c r="T365" i="1" a="1"/>
  <c r="T365" i="1"/>
  <c r="T366" i="1" a="1"/>
  <c r="T366" i="1" s="1"/>
  <c r="T367" i="1" a="1"/>
  <c r="T367" i="1"/>
  <c r="T368" i="1" a="1"/>
  <c r="T368" i="1" s="1"/>
  <c r="T369" i="1" a="1"/>
  <c r="T369" i="1"/>
  <c r="T370" i="1" a="1"/>
  <c r="T370" i="1" s="1"/>
  <c r="T371" i="1" a="1"/>
  <c r="T371" i="1"/>
  <c r="T372" i="1" a="1"/>
  <c r="T372" i="1" s="1"/>
  <c r="T373" i="1" a="1"/>
  <c r="T373" i="1"/>
  <c r="T374" i="1" a="1"/>
  <c r="T374" i="1" s="1"/>
  <c r="T375" i="1" a="1"/>
  <c r="T375" i="1"/>
  <c r="T376" i="1" a="1"/>
  <c r="T376" i="1" s="1"/>
  <c r="T377" i="1" a="1"/>
  <c r="T377" i="1"/>
  <c r="T378" i="1" a="1"/>
  <c r="T378" i="1" s="1"/>
  <c r="T379" i="1" a="1"/>
  <c r="T379" i="1"/>
  <c r="T380" i="1" a="1"/>
  <c r="T380" i="1" s="1"/>
  <c r="T381" i="1" a="1"/>
  <c r="T381" i="1"/>
  <c r="T382" i="1" a="1"/>
  <c r="T382" i="1" s="1"/>
  <c r="T383" i="1" a="1"/>
  <c r="T383" i="1"/>
  <c r="T384" i="1" a="1"/>
  <c r="T384" i="1" s="1"/>
  <c r="T385" i="1" a="1"/>
  <c r="T385" i="1"/>
  <c r="T386" i="1" a="1"/>
  <c r="T386" i="1" s="1"/>
  <c r="T387" i="1" a="1"/>
  <c r="T387" i="1"/>
  <c r="T388" i="1" a="1"/>
  <c r="T388" i="1" s="1"/>
  <c r="T389" i="1" a="1"/>
  <c r="T389" i="1"/>
  <c r="T390" i="1" a="1"/>
  <c r="T390" i="1" s="1"/>
  <c r="T391" i="1" a="1"/>
  <c r="T391" i="1"/>
  <c r="T392" i="1" a="1"/>
  <c r="T392" i="1" s="1"/>
  <c r="T393" i="1" a="1"/>
  <c r="T393" i="1"/>
  <c r="T394" i="1" a="1"/>
  <c r="T394" i="1" s="1"/>
  <c r="T395" i="1" a="1"/>
  <c r="T395" i="1"/>
  <c r="T396" i="1" a="1"/>
  <c r="T396" i="1" s="1"/>
  <c r="T397" i="1" a="1"/>
  <c r="T397" i="1"/>
  <c r="T398" i="1" a="1"/>
  <c r="T398" i="1" s="1"/>
  <c r="T399" i="1" a="1"/>
  <c r="T399" i="1"/>
  <c r="T400" i="1" a="1"/>
  <c r="T400" i="1" s="1"/>
  <c r="T401" i="1" a="1"/>
  <c r="T401" i="1"/>
  <c r="T402" i="1" a="1"/>
  <c r="T402" i="1" s="1"/>
  <c r="T403" i="1" a="1"/>
  <c r="T403" i="1"/>
  <c r="T404" i="1" a="1"/>
  <c r="T404" i="1" s="1"/>
  <c r="T405" i="1" a="1"/>
  <c r="T405" i="1"/>
  <c r="T406" i="1" a="1"/>
  <c r="T406" i="1" s="1"/>
  <c r="T407" i="1" a="1"/>
  <c r="T407" i="1"/>
  <c r="T408" i="1" a="1"/>
  <c r="T408" i="1" s="1"/>
  <c r="T409" i="1" a="1"/>
  <c r="T409" i="1"/>
  <c r="T410" i="1" a="1"/>
  <c r="T410" i="1" s="1"/>
  <c r="T411" i="1" a="1"/>
  <c r="T411" i="1"/>
  <c r="T412" i="1" a="1"/>
  <c r="T412" i="1" s="1"/>
  <c r="T413" i="1" a="1"/>
  <c r="T413" i="1"/>
  <c r="T414" i="1" a="1"/>
  <c r="T414" i="1" s="1"/>
  <c r="T415" i="1" a="1"/>
  <c r="T415" i="1"/>
  <c r="T416" i="1" a="1"/>
  <c r="T416" i="1" s="1"/>
  <c r="T417" i="1" a="1"/>
  <c r="T417" i="1"/>
  <c r="T418" i="1" a="1"/>
  <c r="T418" i="1" s="1"/>
  <c r="T419" i="1" a="1"/>
  <c r="T419" i="1"/>
  <c r="T420" i="1" a="1"/>
  <c r="T420" i="1" s="1"/>
  <c r="T421" i="1" a="1"/>
  <c r="T421" i="1"/>
  <c r="T422" i="1" a="1"/>
  <c r="T422" i="1" s="1"/>
  <c r="T423" i="1" a="1"/>
  <c r="T423" i="1"/>
  <c r="T424" i="1" a="1"/>
  <c r="T424" i="1" s="1"/>
  <c r="T425" i="1" a="1"/>
  <c r="T425" i="1"/>
  <c r="T426" i="1" a="1"/>
  <c r="T426" i="1" s="1"/>
  <c r="T427" i="1" a="1"/>
  <c r="T427" i="1"/>
  <c r="T428" i="1" a="1"/>
  <c r="T428" i="1" s="1"/>
  <c r="T429" i="1" a="1"/>
  <c r="T429" i="1"/>
  <c r="T430" i="1" a="1"/>
  <c r="T430" i="1" s="1"/>
  <c r="T431" i="1" a="1"/>
  <c r="T431" i="1"/>
  <c r="T432" i="1" a="1"/>
  <c r="T432" i="1" s="1"/>
  <c r="T433" i="1" a="1"/>
  <c r="T433" i="1"/>
  <c r="T434" i="1" a="1"/>
  <c r="T434" i="1" s="1"/>
  <c r="T435" i="1" a="1"/>
  <c r="T435" i="1"/>
  <c r="T436" i="1" a="1"/>
  <c r="T436" i="1" s="1"/>
  <c r="T437" i="1" a="1"/>
  <c r="T437" i="1"/>
  <c r="T438" i="1" a="1"/>
  <c r="T438" i="1" s="1"/>
  <c r="T439" i="1" a="1"/>
  <c r="T439" i="1" s="1"/>
  <c r="T440" i="1" a="1"/>
  <c r="T440" i="1" s="1"/>
  <c r="T441" i="1" a="1"/>
  <c r="T441" i="1"/>
  <c r="T442" i="1" a="1"/>
  <c r="T442" i="1" s="1"/>
  <c r="T443" i="1" a="1"/>
  <c r="T443" i="1" s="1"/>
  <c r="T444" i="1" a="1"/>
  <c r="T444" i="1" s="1"/>
  <c r="T445" i="1" a="1"/>
  <c r="T445" i="1"/>
  <c r="T446" i="1" a="1"/>
  <c r="T446" i="1" s="1"/>
  <c r="T447" i="1" a="1"/>
  <c r="T447" i="1" s="1"/>
  <c r="T448" i="1" a="1"/>
  <c r="T448" i="1" s="1"/>
  <c r="T449" i="1" a="1"/>
  <c r="T449" i="1"/>
  <c r="T450" i="1" a="1"/>
  <c r="T450" i="1" s="1"/>
  <c r="T451" i="1" a="1"/>
  <c r="T451" i="1" s="1"/>
  <c r="T452" i="1" a="1"/>
  <c r="T452" i="1" s="1"/>
  <c r="T453" i="1" a="1"/>
  <c r="T453" i="1"/>
  <c r="T454" i="1" a="1"/>
  <c r="T454" i="1" s="1"/>
  <c r="T455" i="1" a="1"/>
  <c r="T455" i="1" s="1"/>
  <c r="T456" i="1" a="1"/>
  <c r="T456" i="1" s="1"/>
  <c r="T457" i="1" a="1"/>
  <c r="T457" i="1"/>
  <c r="T458" i="1" a="1"/>
  <c r="T458" i="1" s="1"/>
  <c r="T459" i="1" a="1"/>
  <c r="T459" i="1" s="1"/>
  <c r="T460" i="1" a="1"/>
  <c r="T460" i="1" s="1"/>
  <c r="T461" i="1" a="1"/>
  <c r="T461" i="1"/>
  <c r="T462" i="1" a="1"/>
  <c r="T462" i="1" s="1"/>
  <c r="T463" i="1" a="1"/>
  <c r="T463" i="1" s="1"/>
  <c r="T464" i="1" a="1"/>
  <c r="T464" i="1" s="1"/>
  <c r="T465" i="1" a="1"/>
  <c r="T465" i="1"/>
  <c r="T466" i="1" a="1"/>
  <c r="T466" i="1" s="1"/>
  <c r="T467" i="1" a="1"/>
  <c r="T467" i="1" s="1"/>
  <c r="T468" i="1" a="1"/>
  <c r="T468" i="1" s="1"/>
  <c r="T469" i="1" a="1"/>
  <c r="T469" i="1"/>
  <c r="T470" i="1" a="1"/>
  <c r="T470" i="1" s="1"/>
  <c r="T471" i="1" a="1"/>
  <c r="T471" i="1" s="1"/>
  <c r="T472" i="1" a="1"/>
  <c r="T472" i="1" s="1"/>
  <c r="T473" i="1" a="1"/>
  <c r="T473" i="1"/>
  <c r="T474" i="1" a="1"/>
  <c r="T474" i="1" s="1"/>
  <c r="T475" i="1" a="1"/>
  <c r="T475" i="1" s="1"/>
  <c r="T476" i="1" a="1"/>
  <c r="T476" i="1" s="1"/>
  <c r="T477" i="1" a="1"/>
  <c r="T477" i="1"/>
  <c r="T478" i="1" a="1"/>
  <c r="T478" i="1" s="1"/>
  <c r="T479" i="1" a="1"/>
  <c r="T479" i="1" s="1"/>
  <c r="T480" i="1" a="1"/>
  <c r="T480" i="1" s="1"/>
  <c r="T481" i="1" a="1"/>
  <c r="T481" i="1"/>
  <c r="T482" i="1" a="1"/>
  <c r="T482" i="1" s="1"/>
  <c r="T483" i="1" a="1"/>
  <c r="T483" i="1" s="1"/>
  <c r="T484" i="1" a="1"/>
  <c r="T484" i="1" s="1"/>
  <c r="T485" i="1" a="1"/>
  <c r="T485" i="1"/>
  <c r="T486" i="1" a="1"/>
  <c r="T486" i="1" s="1"/>
  <c r="T487" i="1" a="1"/>
  <c r="T487" i="1" s="1"/>
  <c r="T488" i="1" a="1"/>
  <c r="T488" i="1" s="1"/>
  <c r="T489" i="1" a="1"/>
  <c r="T489" i="1"/>
  <c r="T490" i="1" a="1"/>
  <c r="T490" i="1" s="1"/>
  <c r="T491" i="1" a="1"/>
  <c r="T491" i="1" s="1"/>
  <c r="T492" i="1" a="1"/>
  <c r="T492" i="1" s="1"/>
  <c r="T493" i="1" a="1"/>
  <c r="T493" i="1"/>
  <c r="T494" i="1" a="1"/>
  <c r="T494" i="1" s="1"/>
  <c r="T495" i="1" a="1"/>
  <c r="T495" i="1" s="1"/>
  <c r="T496" i="1" a="1"/>
  <c r="T496" i="1" s="1"/>
  <c r="T497" i="1" a="1"/>
  <c r="T497" i="1"/>
  <c r="T498" i="1" a="1"/>
  <c r="T498" i="1" s="1"/>
  <c r="T499" i="1" a="1"/>
  <c r="T499" i="1" s="1"/>
  <c r="T500" i="1" a="1"/>
  <c r="T500" i="1" s="1"/>
  <c r="T2" i="1" a="1"/>
  <c r="T2" i="1" s="1"/>
  <c r="S3" i="1" a="1"/>
  <c r="S3" i="1" s="1"/>
  <c r="A1" i="6" s="1" a="1"/>
  <c r="A1" i="6" s="1"/>
  <c r="S4" i="1" a="1"/>
  <c r="S4" i="1" s="1"/>
  <c r="S5" i="1" a="1"/>
  <c r="S5" i="1" s="1"/>
  <c r="S6" i="1" a="1"/>
  <c r="S6" i="1"/>
  <c r="S7" i="1" a="1"/>
  <c r="S7" i="1"/>
  <c r="S8" i="1" a="1"/>
  <c r="S8" i="1"/>
  <c r="S9" i="1" a="1"/>
  <c r="S9" i="1" s="1"/>
  <c r="S10" i="1" a="1"/>
  <c r="S10" i="1"/>
  <c r="S11" i="1" a="1"/>
  <c r="S11" i="1" s="1"/>
  <c r="S12" i="1" a="1"/>
  <c r="S12" i="1" s="1"/>
  <c r="S13" i="1" a="1"/>
  <c r="S13" i="1" s="1"/>
  <c r="S14" i="1" a="1"/>
  <c r="S14" i="1"/>
  <c r="S15" i="1" a="1"/>
  <c r="S15" i="1"/>
  <c r="S16" i="1" a="1"/>
  <c r="S16" i="1"/>
  <c r="S17" i="1" a="1"/>
  <c r="S17" i="1" s="1"/>
  <c r="S18" i="1" a="1"/>
  <c r="S18" i="1"/>
  <c r="S19" i="1" a="1"/>
  <c r="S19" i="1" s="1"/>
  <c r="S20" i="1" a="1"/>
  <c r="S20" i="1" s="1"/>
  <c r="S21" i="1" a="1"/>
  <c r="S21" i="1" s="1"/>
  <c r="S22" i="1" a="1"/>
  <c r="S22" i="1"/>
  <c r="S23" i="1" a="1"/>
  <c r="S23" i="1" s="1"/>
  <c r="S24" i="1" a="1"/>
  <c r="S24" i="1"/>
  <c r="S25" i="1" a="1"/>
  <c r="S25" i="1" s="1"/>
  <c r="S26" i="1" a="1"/>
  <c r="S26" i="1"/>
  <c r="S27" i="1" a="1"/>
  <c r="S27" i="1" s="1"/>
  <c r="S28" i="1" a="1"/>
  <c r="S28" i="1" s="1"/>
  <c r="S29" i="1" a="1"/>
  <c r="S29" i="1" s="1"/>
  <c r="S30" i="1" a="1"/>
  <c r="S30" i="1"/>
  <c r="S31" i="1" a="1"/>
  <c r="S31" i="1"/>
  <c r="S32" i="1" a="1"/>
  <c r="S32" i="1" s="1"/>
  <c r="S33" i="1" a="1"/>
  <c r="S33" i="1" s="1"/>
  <c r="S34" i="1" a="1"/>
  <c r="S34" i="1"/>
  <c r="S35" i="1" a="1"/>
  <c r="S35" i="1" s="1"/>
  <c r="S36" i="1" a="1"/>
  <c r="S36" i="1" s="1"/>
  <c r="S37" i="1" a="1"/>
  <c r="S37" i="1" s="1"/>
  <c r="S38" i="1" a="1"/>
  <c r="S38" i="1"/>
  <c r="S39" i="1" a="1"/>
  <c r="S39" i="1"/>
  <c r="S40" i="1" a="1"/>
  <c r="S40" i="1"/>
  <c r="S41" i="1" a="1"/>
  <c r="S41" i="1" s="1"/>
  <c r="S42" i="1" a="1"/>
  <c r="S42" i="1"/>
  <c r="S43" i="1" a="1"/>
  <c r="S43" i="1" s="1"/>
  <c r="S44" i="1" a="1"/>
  <c r="S44" i="1" s="1"/>
  <c r="S45" i="1" a="1"/>
  <c r="S45" i="1" s="1"/>
  <c r="S46" i="1" a="1"/>
  <c r="S46" i="1"/>
  <c r="S47" i="1" a="1"/>
  <c r="S47" i="1"/>
  <c r="S48" i="1" a="1"/>
  <c r="S48" i="1"/>
  <c r="S49" i="1" a="1"/>
  <c r="S49" i="1" s="1"/>
  <c r="S50" i="1" a="1"/>
  <c r="S50" i="1" s="1"/>
  <c r="S51" i="1" a="1"/>
  <c r="S51" i="1" s="1"/>
  <c r="S52" i="1" a="1"/>
  <c r="S52" i="1" s="1"/>
  <c r="S53" i="1" a="1"/>
  <c r="S53" i="1" s="1"/>
  <c r="S54" i="1" a="1"/>
  <c r="S54" i="1"/>
  <c r="S55" i="1" a="1"/>
  <c r="S55" i="1" s="1"/>
  <c r="S56" i="1" a="1"/>
  <c r="S56" i="1"/>
  <c r="S57" i="1" a="1"/>
  <c r="S57" i="1" s="1"/>
  <c r="S58" i="1" a="1"/>
  <c r="S58" i="1" s="1"/>
  <c r="S59" i="1" a="1"/>
  <c r="S59" i="1" s="1"/>
  <c r="S60" i="1" a="1"/>
  <c r="S60" i="1" s="1"/>
  <c r="S61" i="1" a="1"/>
  <c r="S61" i="1" s="1"/>
  <c r="S62" i="1" a="1"/>
  <c r="S62" i="1"/>
  <c r="S63" i="1" a="1"/>
  <c r="S63" i="1"/>
  <c r="S64" i="1" a="1"/>
  <c r="S64" i="1" s="1"/>
  <c r="S65" i="1" a="1"/>
  <c r="S65" i="1" s="1"/>
  <c r="S66" i="1" a="1"/>
  <c r="S66" i="1" s="1"/>
  <c r="S67" i="1" a="1"/>
  <c r="S67" i="1" s="1"/>
  <c r="S68" i="1" a="1"/>
  <c r="S68" i="1" s="1"/>
  <c r="S69" i="1" a="1"/>
  <c r="S69" i="1" s="1"/>
  <c r="S70" i="1" a="1"/>
  <c r="S70" i="1"/>
  <c r="S71" i="1" a="1"/>
  <c r="S71" i="1"/>
  <c r="S72" i="1" a="1"/>
  <c r="S72" i="1"/>
  <c r="S73" i="1" a="1"/>
  <c r="S73" i="1" s="1"/>
  <c r="S74" i="1" a="1"/>
  <c r="S74" i="1" s="1"/>
  <c r="S75" i="1" a="1"/>
  <c r="S75" i="1" s="1"/>
  <c r="S76" i="1" a="1"/>
  <c r="S76" i="1" s="1"/>
  <c r="S77" i="1" a="1"/>
  <c r="S77" i="1" s="1"/>
  <c r="S78" i="1" a="1"/>
  <c r="S78" i="1" s="1"/>
  <c r="S79" i="1" a="1"/>
  <c r="S79" i="1"/>
  <c r="S80" i="1" a="1"/>
  <c r="S80" i="1"/>
  <c r="S81" i="1" a="1"/>
  <c r="S81" i="1" s="1"/>
  <c r="S82" i="1" a="1"/>
  <c r="S82" i="1" s="1"/>
  <c r="S83" i="1" a="1"/>
  <c r="S83" i="1" s="1"/>
  <c r="S84" i="1" a="1"/>
  <c r="S84" i="1" s="1"/>
  <c r="S85" i="1" a="1"/>
  <c r="S85" i="1" s="1"/>
  <c r="S86" i="1" a="1"/>
  <c r="S86" i="1"/>
  <c r="S87" i="1" a="1"/>
  <c r="S87" i="1" s="1"/>
  <c r="S88" i="1" a="1"/>
  <c r="S88" i="1"/>
  <c r="S89" i="1" a="1"/>
  <c r="S89" i="1" s="1"/>
  <c r="S90" i="1" a="1"/>
  <c r="S90" i="1" s="1"/>
  <c r="S91" i="1" a="1"/>
  <c r="S91" i="1" s="1"/>
  <c r="S92" i="1" a="1"/>
  <c r="S92" i="1" s="1"/>
  <c r="S93" i="1" a="1"/>
  <c r="S93" i="1" s="1"/>
  <c r="S94" i="1" a="1"/>
  <c r="S94" i="1"/>
  <c r="S95" i="1" a="1"/>
  <c r="S95" i="1"/>
  <c r="S96" i="1" a="1"/>
  <c r="S96" i="1" s="1"/>
  <c r="S97" i="1" a="1"/>
  <c r="S97" i="1" s="1"/>
  <c r="S98" i="1" a="1"/>
  <c r="S98" i="1" s="1"/>
  <c r="S99" i="1" a="1"/>
  <c r="S99" i="1" s="1"/>
  <c r="S100" i="1" a="1"/>
  <c r="S100" i="1" s="1"/>
  <c r="S101" i="1" a="1"/>
  <c r="S101" i="1" s="1"/>
  <c r="S102" i="1" a="1"/>
  <c r="S102" i="1"/>
  <c r="S103" i="1" a="1"/>
  <c r="S103" i="1"/>
  <c r="S104" i="1" a="1"/>
  <c r="S104" i="1"/>
  <c r="S105" i="1" a="1"/>
  <c r="S105" i="1" s="1"/>
  <c r="S106" i="1" a="1"/>
  <c r="S106" i="1" s="1"/>
  <c r="S107" i="1" a="1"/>
  <c r="S107" i="1" s="1"/>
  <c r="S108" i="1" a="1"/>
  <c r="S108" i="1" s="1"/>
  <c r="S109" i="1" a="1"/>
  <c r="S109" i="1" s="1"/>
  <c r="S110" i="1" a="1"/>
  <c r="S110" i="1" s="1"/>
  <c r="S111" i="1" a="1"/>
  <c r="S111" i="1"/>
  <c r="S112" i="1" a="1"/>
  <c r="S112" i="1"/>
  <c r="S113" i="1" a="1"/>
  <c r="S113" i="1" s="1"/>
  <c r="S114" i="1" a="1"/>
  <c r="S114" i="1" s="1"/>
  <c r="S115" i="1" a="1"/>
  <c r="S115" i="1" s="1"/>
  <c r="S116" i="1" a="1"/>
  <c r="S116" i="1" s="1"/>
  <c r="S117" i="1" a="1"/>
  <c r="S117" i="1" s="1"/>
  <c r="S118" i="1" a="1"/>
  <c r="S118" i="1"/>
  <c r="S119" i="1" a="1"/>
  <c r="S119" i="1" s="1"/>
  <c r="S120" i="1" a="1"/>
  <c r="S120" i="1"/>
  <c r="S121" i="1" a="1"/>
  <c r="S121" i="1" s="1"/>
  <c r="S122" i="1" a="1"/>
  <c r="S122" i="1" s="1"/>
  <c r="S123" i="1" a="1"/>
  <c r="S123" i="1" s="1"/>
  <c r="S124" i="1" a="1"/>
  <c r="S124" i="1" s="1"/>
  <c r="S125" i="1" a="1"/>
  <c r="S125" i="1" s="1"/>
  <c r="S126" i="1" a="1"/>
  <c r="S126" i="1"/>
  <c r="S127" i="1" a="1"/>
  <c r="S127" i="1"/>
  <c r="S128" i="1" a="1"/>
  <c r="S128" i="1" s="1"/>
  <c r="S129" i="1" a="1"/>
  <c r="S129" i="1" s="1"/>
  <c r="S130" i="1" a="1"/>
  <c r="S130" i="1" s="1"/>
  <c r="S131" i="1" a="1"/>
  <c r="S131" i="1" s="1"/>
  <c r="S132" i="1" a="1"/>
  <c r="S132" i="1" s="1"/>
  <c r="S133" i="1" a="1"/>
  <c r="S133" i="1" s="1"/>
  <c r="S134" i="1" a="1"/>
  <c r="S134" i="1"/>
  <c r="S135" i="1" a="1"/>
  <c r="S135" i="1"/>
  <c r="S136" i="1" a="1"/>
  <c r="S136" i="1"/>
  <c r="S137" i="1" a="1"/>
  <c r="S137" i="1" s="1"/>
  <c r="S138" i="1" a="1"/>
  <c r="S138" i="1" s="1"/>
  <c r="S139" i="1" a="1"/>
  <c r="S139" i="1" s="1"/>
  <c r="S140" i="1" a="1"/>
  <c r="S140" i="1" s="1"/>
  <c r="S141" i="1" a="1"/>
  <c r="S141" i="1" s="1"/>
  <c r="S142" i="1" a="1"/>
  <c r="S142" i="1" s="1"/>
  <c r="S143" i="1" a="1"/>
  <c r="S143" i="1"/>
  <c r="S144" i="1" a="1"/>
  <c r="S144" i="1"/>
  <c r="S145" i="1" a="1"/>
  <c r="S145" i="1" s="1"/>
  <c r="S146" i="1" a="1"/>
  <c r="S146" i="1" s="1"/>
  <c r="S147" i="1" a="1"/>
  <c r="S147" i="1" s="1"/>
  <c r="S148" i="1" a="1"/>
  <c r="S148" i="1" s="1"/>
  <c r="S149" i="1" a="1"/>
  <c r="S149" i="1" s="1"/>
  <c r="S150" i="1" a="1"/>
  <c r="S150" i="1"/>
  <c r="S151" i="1" a="1"/>
  <c r="S151" i="1" s="1"/>
  <c r="S152" i="1" a="1"/>
  <c r="S152" i="1"/>
  <c r="S153" i="1" a="1"/>
  <c r="S153" i="1" s="1"/>
  <c r="S154" i="1" a="1"/>
  <c r="S154" i="1" s="1"/>
  <c r="S155" i="1" a="1"/>
  <c r="S155" i="1" s="1"/>
  <c r="S156" i="1" a="1"/>
  <c r="S156" i="1" s="1"/>
  <c r="S157" i="1" a="1"/>
  <c r="S157" i="1" s="1"/>
  <c r="S158" i="1" a="1"/>
  <c r="S158" i="1"/>
  <c r="S159" i="1" a="1"/>
  <c r="S159" i="1"/>
  <c r="S160" i="1" a="1"/>
  <c r="S160" i="1" s="1"/>
  <c r="S161" i="1" a="1"/>
  <c r="S161" i="1" s="1"/>
  <c r="S162" i="1" a="1"/>
  <c r="S162" i="1" s="1"/>
  <c r="S163" i="1" a="1"/>
  <c r="S163" i="1" s="1"/>
  <c r="S164" i="1" a="1"/>
  <c r="S164" i="1" s="1"/>
  <c r="S165" i="1" a="1"/>
  <c r="S165" i="1" s="1"/>
  <c r="S166" i="1" a="1"/>
  <c r="S166" i="1"/>
  <c r="S167" i="1" a="1"/>
  <c r="S167" i="1"/>
  <c r="S168" i="1" a="1"/>
  <c r="S168" i="1"/>
  <c r="S169" i="1" a="1"/>
  <c r="S169" i="1" s="1"/>
  <c r="S170" i="1" a="1"/>
  <c r="S170" i="1" s="1"/>
  <c r="S171" i="1" a="1"/>
  <c r="S171" i="1" s="1"/>
  <c r="S172" i="1" a="1"/>
  <c r="S172" i="1" s="1"/>
  <c r="S173" i="1" a="1"/>
  <c r="S173" i="1" s="1"/>
  <c r="S174" i="1" a="1"/>
  <c r="S174" i="1" s="1"/>
  <c r="S175" i="1" a="1"/>
  <c r="S175" i="1"/>
  <c r="S176" i="1" a="1"/>
  <c r="S176" i="1"/>
  <c r="S177" i="1" a="1"/>
  <c r="S177" i="1" s="1"/>
  <c r="S178" i="1" a="1"/>
  <c r="S178" i="1" s="1"/>
  <c r="S179" i="1" a="1"/>
  <c r="S179" i="1" s="1"/>
  <c r="S180" i="1" a="1"/>
  <c r="S180" i="1" s="1"/>
  <c r="S181" i="1" a="1"/>
  <c r="S181" i="1" s="1"/>
  <c r="S182" i="1" a="1"/>
  <c r="S182" i="1"/>
  <c r="S183" i="1" a="1"/>
  <c r="S183" i="1" s="1"/>
  <c r="S184" i="1" a="1"/>
  <c r="S184" i="1"/>
  <c r="S185" i="1" a="1"/>
  <c r="S185" i="1" s="1"/>
  <c r="S186" i="1" a="1"/>
  <c r="S186" i="1" s="1"/>
  <c r="S187" i="1" a="1"/>
  <c r="S187" i="1" s="1"/>
  <c r="S188" i="1" a="1"/>
  <c r="S188" i="1" s="1"/>
  <c r="S189" i="1" a="1"/>
  <c r="S189" i="1" s="1"/>
  <c r="S190" i="1" a="1"/>
  <c r="S190" i="1"/>
  <c r="S191" i="1" a="1"/>
  <c r="S191" i="1"/>
  <c r="S192" i="1" a="1"/>
  <c r="S192" i="1" s="1"/>
  <c r="S193" i="1" a="1"/>
  <c r="S193" i="1" s="1"/>
  <c r="S194" i="1" a="1"/>
  <c r="S194" i="1" s="1"/>
  <c r="S195" i="1" a="1"/>
  <c r="S195" i="1" s="1"/>
  <c r="S196" i="1" a="1"/>
  <c r="S196" i="1" s="1"/>
  <c r="S197" i="1" a="1"/>
  <c r="S197" i="1" s="1"/>
  <c r="S198" i="1" a="1"/>
  <c r="S198" i="1"/>
  <c r="S199" i="1" a="1"/>
  <c r="S199" i="1"/>
  <c r="S200" i="1" a="1"/>
  <c r="S200" i="1"/>
  <c r="S201" i="1" a="1"/>
  <c r="S201" i="1" s="1"/>
  <c r="S202" i="1" a="1"/>
  <c r="S202" i="1" s="1"/>
  <c r="S203" i="1" a="1"/>
  <c r="S203" i="1" s="1"/>
  <c r="S204" i="1" a="1"/>
  <c r="S204" i="1" s="1"/>
  <c r="S205" i="1" a="1"/>
  <c r="S205" i="1" s="1"/>
  <c r="S206" i="1" a="1"/>
  <c r="S206" i="1" s="1"/>
  <c r="S207" i="1" a="1"/>
  <c r="S207" i="1"/>
  <c r="S208" i="1" a="1"/>
  <c r="S208" i="1"/>
  <c r="S209" i="1" a="1"/>
  <c r="S209" i="1" s="1"/>
  <c r="S210" i="1" a="1"/>
  <c r="S210" i="1"/>
  <c r="S211" i="1" a="1"/>
  <c r="S211" i="1" s="1"/>
  <c r="S212" i="1" a="1"/>
  <c r="S212" i="1" s="1"/>
  <c r="S213" i="1" a="1"/>
  <c r="S213" i="1" s="1"/>
  <c r="S214" i="1" a="1"/>
  <c r="S214" i="1"/>
  <c r="S215" i="1" a="1"/>
  <c r="S215" i="1" s="1"/>
  <c r="S216" i="1" a="1"/>
  <c r="S216" i="1"/>
  <c r="S217" i="1" a="1"/>
  <c r="S217" i="1" s="1"/>
  <c r="S218" i="1" a="1"/>
  <c r="S218" i="1" s="1"/>
  <c r="S219" i="1" a="1"/>
  <c r="S219" i="1"/>
  <c r="S220" i="1" a="1"/>
  <c r="S220" i="1" s="1"/>
  <c r="S221" i="1" a="1"/>
  <c r="S221" i="1" s="1"/>
  <c r="S222" i="1" a="1"/>
  <c r="S222" i="1"/>
  <c r="S223" i="1" a="1"/>
  <c r="S223" i="1"/>
  <c r="S224" i="1" a="1"/>
  <c r="S224" i="1" s="1"/>
  <c r="S225" i="1" a="1"/>
  <c r="S225" i="1" s="1"/>
  <c r="S226" i="1" a="1"/>
  <c r="S226" i="1" s="1"/>
  <c r="S227" i="1" a="1"/>
  <c r="S227" i="1" s="1"/>
  <c r="S228" i="1" a="1"/>
  <c r="S228" i="1"/>
  <c r="S229" i="1" a="1"/>
  <c r="S229" i="1" s="1"/>
  <c r="S230" i="1" a="1"/>
  <c r="S230" i="1"/>
  <c r="S231" i="1" a="1"/>
  <c r="S231" i="1"/>
  <c r="S232" i="1" a="1"/>
  <c r="S232" i="1"/>
  <c r="S233" i="1" a="1"/>
  <c r="S233" i="1" s="1"/>
  <c r="S234" i="1" a="1"/>
  <c r="S234" i="1" s="1"/>
  <c r="S235" i="1" a="1"/>
  <c r="S235" i="1" s="1"/>
  <c r="S236" i="1" a="1"/>
  <c r="S236" i="1" s="1"/>
  <c r="S237" i="1" a="1"/>
  <c r="S237" i="1" s="1"/>
  <c r="S238" i="1" a="1"/>
  <c r="S238" i="1" s="1"/>
  <c r="S239" i="1" a="1"/>
  <c r="S239" i="1"/>
  <c r="S240" i="1" a="1"/>
  <c r="S240" i="1"/>
  <c r="S241" i="1" a="1"/>
  <c r="S241" i="1" s="1"/>
  <c r="S242" i="1" a="1"/>
  <c r="S242" i="1"/>
  <c r="S243" i="1" a="1"/>
  <c r="S243" i="1" s="1"/>
  <c r="S244" i="1" a="1"/>
  <c r="S244" i="1" s="1"/>
  <c r="S245" i="1" a="1"/>
  <c r="S245" i="1" s="1"/>
  <c r="S246" i="1" a="1"/>
  <c r="S246" i="1"/>
  <c r="S247" i="1" a="1"/>
  <c r="S247" i="1" s="1"/>
  <c r="S248" i="1" a="1"/>
  <c r="S248" i="1"/>
  <c r="S249" i="1" a="1"/>
  <c r="S249" i="1" s="1"/>
  <c r="S250" i="1" a="1"/>
  <c r="S250" i="1" s="1"/>
  <c r="S251" i="1" a="1"/>
  <c r="S251" i="1"/>
  <c r="S252" i="1" a="1"/>
  <c r="S252" i="1" s="1"/>
  <c r="S253" i="1" a="1"/>
  <c r="S253" i="1" s="1"/>
  <c r="S254" i="1" a="1"/>
  <c r="S254" i="1"/>
  <c r="S255" i="1" a="1"/>
  <c r="S255" i="1"/>
  <c r="S256" i="1" a="1"/>
  <c r="S256" i="1" s="1"/>
  <c r="S257" i="1" a="1"/>
  <c r="S257" i="1" s="1"/>
  <c r="S258" i="1" a="1"/>
  <c r="S258" i="1" s="1"/>
  <c r="S259" i="1" a="1"/>
  <c r="S259" i="1" s="1"/>
  <c r="S260" i="1" a="1"/>
  <c r="S260" i="1"/>
  <c r="S261" i="1" a="1"/>
  <c r="S261" i="1" s="1"/>
  <c r="S262" i="1" a="1"/>
  <c r="S262" i="1"/>
  <c r="S263" i="1" a="1"/>
  <c r="S263" i="1"/>
  <c r="S264" i="1" a="1"/>
  <c r="S264" i="1"/>
  <c r="S265" i="1" a="1"/>
  <c r="S265" i="1" s="1"/>
  <c r="S266" i="1" a="1"/>
  <c r="S266" i="1" s="1"/>
  <c r="S267" i="1" a="1"/>
  <c r="S267" i="1" s="1"/>
  <c r="S268" i="1" a="1"/>
  <c r="S268" i="1" s="1"/>
  <c r="S269" i="1" a="1"/>
  <c r="S269" i="1" s="1"/>
  <c r="S270" i="1" a="1"/>
  <c r="S270" i="1" s="1"/>
  <c r="S271" i="1" a="1"/>
  <c r="S271" i="1"/>
  <c r="S272" i="1" a="1"/>
  <c r="S272" i="1"/>
  <c r="S273" i="1" a="1"/>
  <c r="S273" i="1" s="1"/>
  <c r="S274" i="1" a="1"/>
  <c r="S274" i="1"/>
  <c r="S275" i="1" a="1"/>
  <c r="S275" i="1" s="1"/>
  <c r="S276" i="1" a="1"/>
  <c r="S276" i="1" s="1"/>
  <c r="S277" i="1" a="1"/>
  <c r="S277" i="1" s="1"/>
  <c r="S278" i="1" a="1"/>
  <c r="S278" i="1"/>
  <c r="S279" i="1" a="1"/>
  <c r="S279" i="1" s="1"/>
  <c r="S280" i="1" a="1"/>
  <c r="S280" i="1"/>
  <c r="S281" i="1" a="1"/>
  <c r="S281" i="1" s="1"/>
  <c r="S282" i="1" a="1"/>
  <c r="S282" i="1" s="1"/>
  <c r="S283" i="1" a="1"/>
  <c r="S283" i="1"/>
  <c r="S284" i="1" a="1"/>
  <c r="S284" i="1" s="1"/>
  <c r="S285" i="1" a="1"/>
  <c r="S285" i="1" s="1"/>
  <c r="S286" i="1" a="1"/>
  <c r="S286" i="1"/>
  <c r="S287" i="1" a="1"/>
  <c r="S287" i="1"/>
  <c r="S288" i="1" a="1"/>
  <c r="S288" i="1" s="1"/>
  <c r="S289" i="1" a="1"/>
  <c r="S289" i="1" s="1"/>
  <c r="S290" i="1" a="1"/>
  <c r="S290" i="1" s="1"/>
  <c r="S291" i="1" a="1"/>
  <c r="S291" i="1" s="1"/>
  <c r="S292" i="1" a="1"/>
  <c r="S292" i="1"/>
  <c r="S293" i="1" a="1"/>
  <c r="S293" i="1" s="1"/>
  <c r="S294" i="1" a="1"/>
  <c r="S294" i="1"/>
  <c r="S295" i="1" a="1"/>
  <c r="S295" i="1"/>
  <c r="S296" i="1" a="1"/>
  <c r="S296" i="1"/>
  <c r="S297" i="1" a="1"/>
  <c r="S297" i="1" s="1"/>
  <c r="S298" i="1" a="1"/>
  <c r="S298" i="1" s="1"/>
  <c r="S299" i="1" a="1"/>
  <c r="S299" i="1" s="1"/>
  <c r="S300" i="1" a="1"/>
  <c r="S300" i="1" s="1"/>
  <c r="S301" i="1" a="1"/>
  <c r="S301" i="1" s="1"/>
  <c r="S302" i="1" a="1"/>
  <c r="S302" i="1" s="1"/>
  <c r="S303" i="1" a="1"/>
  <c r="S303" i="1"/>
  <c r="S304" i="1" a="1"/>
  <c r="S304" i="1"/>
  <c r="S305" i="1" a="1"/>
  <c r="S305" i="1" s="1"/>
  <c r="S306" i="1" a="1"/>
  <c r="S306" i="1"/>
  <c r="S307" i="1" a="1"/>
  <c r="S307" i="1" s="1"/>
  <c r="S308" i="1" a="1"/>
  <c r="S308" i="1" s="1"/>
  <c r="S309" i="1" a="1"/>
  <c r="S309" i="1" s="1"/>
  <c r="S310" i="1" a="1"/>
  <c r="S310" i="1"/>
  <c r="S311" i="1" a="1"/>
  <c r="S311" i="1" s="1"/>
  <c r="S312" i="1" a="1"/>
  <c r="S312" i="1"/>
  <c r="S313" i="1" a="1"/>
  <c r="S313" i="1" s="1"/>
  <c r="S314" i="1" a="1"/>
  <c r="S314" i="1" s="1"/>
  <c r="S315" i="1" a="1"/>
  <c r="S315" i="1"/>
  <c r="S316" i="1" a="1"/>
  <c r="S316" i="1" s="1"/>
  <c r="S317" i="1" a="1"/>
  <c r="S317" i="1" s="1"/>
  <c r="S318" i="1" a="1"/>
  <c r="S318" i="1"/>
  <c r="S319" i="1" a="1"/>
  <c r="S319" i="1"/>
  <c r="S320" i="1" a="1"/>
  <c r="S320" i="1" s="1"/>
  <c r="S321" i="1" a="1"/>
  <c r="S321" i="1" s="1"/>
  <c r="S322" i="1" a="1"/>
  <c r="S322" i="1" s="1"/>
  <c r="S323" i="1" a="1"/>
  <c r="S323" i="1" s="1"/>
  <c r="S324" i="1" a="1"/>
  <c r="S324" i="1"/>
  <c r="S325" i="1" a="1"/>
  <c r="S325" i="1" s="1"/>
  <c r="S326" i="1" a="1"/>
  <c r="S326" i="1"/>
  <c r="S327" i="1" a="1"/>
  <c r="S327" i="1"/>
  <c r="S328" i="1" a="1"/>
  <c r="S328" i="1"/>
  <c r="S329" i="1" a="1"/>
  <c r="S329" i="1" s="1"/>
  <c r="S330" i="1" a="1"/>
  <c r="S330" i="1" s="1"/>
  <c r="S331" i="1" a="1"/>
  <c r="S331" i="1" s="1"/>
  <c r="S332" i="1" a="1"/>
  <c r="S332" i="1" s="1"/>
  <c r="S333" i="1" a="1"/>
  <c r="S333" i="1" s="1"/>
  <c r="S334" i="1" a="1"/>
  <c r="S334" i="1" s="1"/>
  <c r="S335" i="1" a="1"/>
  <c r="S335" i="1"/>
  <c r="S336" i="1" a="1"/>
  <c r="S336" i="1"/>
  <c r="S337" i="1" a="1"/>
  <c r="S337" i="1" s="1"/>
  <c r="S338" i="1" a="1"/>
  <c r="S338" i="1"/>
  <c r="S339" i="1" a="1"/>
  <c r="S339" i="1" s="1"/>
  <c r="S340" i="1" a="1"/>
  <c r="S340" i="1" s="1"/>
  <c r="S341" i="1" a="1"/>
  <c r="S341" i="1" s="1"/>
  <c r="S342" i="1" a="1"/>
  <c r="S342" i="1"/>
  <c r="S343" i="1" a="1"/>
  <c r="S343" i="1" s="1"/>
  <c r="S344" i="1" a="1"/>
  <c r="S344" i="1"/>
  <c r="S345" i="1" a="1"/>
  <c r="S345" i="1"/>
  <c r="S346" i="1" a="1"/>
  <c r="S346" i="1"/>
  <c r="S347" i="1" a="1"/>
  <c r="S347" i="1" s="1"/>
  <c r="S348" i="1" a="1"/>
  <c r="S348" i="1"/>
  <c r="S349" i="1" a="1"/>
  <c r="S349" i="1"/>
  <c r="S350" i="1" a="1"/>
  <c r="S350" i="1"/>
  <c r="S351" i="1" a="1"/>
  <c r="S351" i="1" s="1"/>
  <c r="S352" i="1" a="1"/>
  <c r="S352" i="1"/>
  <c r="S353" i="1" a="1"/>
  <c r="S353" i="1"/>
  <c r="S354" i="1" a="1"/>
  <c r="S354" i="1"/>
  <c r="S355" i="1" a="1"/>
  <c r="S355" i="1" s="1"/>
  <c r="S356" i="1" a="1"/>
  <c r="S356" i="1"/>
  <c r="S357" i="1" a="1"/>
  <c r="S357" i="1"/>
  <c r="S358" i="1" a="1"/>
  <c r="S358" i="1"/>
  <c r="S359" i="1" a="1"/>
  <c r="S359" i="1" s="1"/>
  <c r="S360" i="1" a="1"/>
  <c r="S360" i="1"/>
  <c r="S361" i="1" a="1"/>
  <c r="S361" i="1"/>
  <c r="S362" i="1" a="1"/>
  <c r="S362" i="1"/>
  <c r="S363" i="1" a="1"/>
  <c r="S363" i="1" s="1"/>
  <c r="S364" i="1" a="1"/>
  <c r="S364" i="1"/>
  <c r="S365" i="1" a="1"/>
  <c r="S365" i="1"/>
  <c r="S366" i="1" a="1"/>
  <c r="S366" i="1"/>
  <c r="S367" i="1" a="1"/>
  <c r="S367" i="1" s="1"/>
  <c r="S368" i="1" a="1"/>
  <c r="S368" i="1"/>
  <c r="S369" i="1" a="1"/>
  <c r="S369" i="1"/>
  <c r="S370" i="1" a="1"/>
  <c r="S370" i="1"/>
  <c r="S371" i="1" a="1"/>
  <c r="S371" i="1" s="1"/>
  <c r="S372" i="1" a="1"/>
  <c r="S372" i="1"/>
  <c r="S373" i="1" a="1"/>
  <c r="S373" i="1"/>
  <c r="S374" i="1" a="1"/>
  <c r="S374" i="1"/>
  <c r="S375" i="1" a="1"/>
  <c r="S375" i="1" s="1"/>
  <c r="S376" i="1" a="1"/>
  <c r="S376" i="1"/>
  <c r="S377" i="1" a="1"/>
  <c r="S377" i="1"/>
  <c r="S378" i="1" a="1"/>
  <c r="S378" i="1"/>
  <c r="S379" i="1" a="1"/>
  <c r="S379" i="1" s="1"/>
  <c r="S380" i="1" a="1"/>
  <c r="S380" i="1"/>
  <c r="S381" i="1" a="1"/>
  <c r="S381" i="1"/>
  <c r="S382" i="1" a="1"/>
  <c r="S382" i="1"/>
  <c r="S383" i="1" a="1"/>
  <c r="S383" i="1" s="1"/>
  <c r="S384" i="1" a="1"/>
  <c r="S384" i="1"/>
  <c r="S385" i="1" a="1"/>
  <c r="S385" i="1"/>
  <c r="S386" i="1" a="1"/>
  <c r="S386" i="1"/>
  <c r="S387" i="1" a="1"/>
  <c r="S387" i="1" s="1"/>
  <c r="S388" i="1" a="1"/>
  <c r="S388" i="1"/>
  <c r="S389" i="1" a="1"/>
  <c r="S389" i="1"/>
  <c r="S390" i="1" a="1"/>
  <c r="S390" i="1"/>
  <c r="S391" i="1" a="1"/>
  <c r="S391" i="1" s="1"/>
  <c r="S392" i="1" a="1"/>
  <c r="S392" i="1"/>
  <c r="S393" i="1" a="1"/>
  <c r="S393" i="1"/>
  <c r="S394" i="1" a="1"/>
  <c r="S394" i="1"/>
  <c r="S395" i="1" a="1"/>
  <c r="S395" i="1" s="1"/>
  <c r="S396" i="1" a="1"/>
  <c r="S396" i="1"/>
  <c r="S397" i="1" a="1"/>
  <c r="S397" i="1"/>
  <c r="S398" i="1" a="1"/>
  <c r="S398" i="1"/>
  <c r="S399" i="1" a="1"/>
  <c r="S399" i="1" s="1"/>
  <c r="S400" i="1" a="1"/>
  <c r="S400" i="1"/>
  <c r="S401" i="1" a="1"/>
  <c r="S401" i="1"/>
  <c r="S402" i="1" a="1"/>
  <c r="S402" i="1"/>
  <c r="S403" i="1" a="1"/>
  <c r="S403" i="1" s="1"/>
  <c r="S404" i="1" a="1"/>
  <c r="S404" i="1"/>
  <c r="S405" i="1" a="1"/>
  <c r="S405" i="1"/>
  <c r="S406" i="1" a="1"/>
  <c r="S406" i="1"/>
  <c r="S407" i="1" a="1"/>
  <c r="S407" i="1" s="1"/>
  <c r="S408" i="1" a="1"/>
  <c r="S408" i="1"/>
  <c r="S409" i="1" a="1"/>
  <c r="S409" i="1"/>
  <c r="S410" i="1" a="1"/>
  <c r="S410" i="1"/>
  <c r="S411" i="1" a="1"/>
  <c r="S411" i="1" s="1"/>
  <c r="S412" i="1" a="1"/>
  <c r="S412" i="1"/>
  <c r="S413" i="1" a="1"/>
  <c r="S413" i="1"/>
  <c r="S414" i="1" a="1"/>
  <c r="S414" i="1"/>
  <c r="S415" i="1" a="1"/>
  <c r="S415" i="1" s="1"/>
  <c r="S416" i="1" a="1"/>
  <c r="S416" i="1"/>
  <c r="S417" i="1" a="1"/>
  <c r="S417" i="1"/>
  <c r="S418" i="1" a="1"/>
  <c r="S418" i="1"/>
  <c r="S419" i="1" a="1"/>
  <c r="S419" i="1" s="1"/>
  <c r="S420" i="1" a="1"/>
  <c r="S420" i="1"/>
  <c r="S421" i="1" a="1"/>
  <c r="S421" i="1"/>
  <c r="S422" i="1" a="1"/>
  <c r="S422" i="1"/>
  <c r="S423" i="1" a="1"/>
  <c r="S423" i="1" s="1"/>
  <c r="S424" i="1" a="1"/>
  <c r="S424" i="1"/>
  <c r="S425" i="1" a="1"/>
  <c r="S425" i="1"/>
  <c r="S426" i="1" a="1"/>
  <c r="S426" i="1"/>
  <c r="S427" i="1" a="1"/>
  <c r="S427" i="1" s="1"/>
  <c r="S428" i="1" a="1"/>
  <c r="S428" i="1"/>
  <c r="S429" i="1" a="1"/>
  <c r="S429" i="1"/>
  <c r="S430" i="1" a="1"/>
  <c r="S430" i="1"/>
  <c r="S431" i="1" a="1"/>
  <c r="S431" i="1" s="1"/>
  <c r="S432" i="1" a="1"/>
  <c r="S432" i="1"/>
  <c r="S433" i="1" a="1"/>
  <c r="S433" i="1"/>
  <c r="S434" i="1" a="1"/>
  <c r="S434" i="1"/>
  <c r="S435" i="1" a="1"/>
  <c r="S435" i="1" s="1"/>
  <c r="S436" i="1" a="1"/>
  <c r="S436" i="1"/>
  <c r="S437" i="1" a="1"/>
  <c r="S437" i="1"/>
  <c r="S438" i="1" a="1"/>
  <c r="S438" i="1"/>
  <c r="S439" i="1" a="1"/>
  <c r="S439" i="1" s="1"/>
  <c r="S440" i="1" a="1"/>
  <c r="S440" i="1"/>
  <c r="S441" i="1" a="1"/>
  <c r="S441" i="1"/>
  <c r="S442" i="1" a="1"/>
  <c r="S442" i="1" s="1"/>
  <c r="S443" i="1" a="1"/>
  <c r="S443" i="1" s="1"/>
  <c r="S444" i="1" a="1"/>
  <c r="S444" i="1"/>
  <c r="S445" i="1" a="1"/>
  <c r="S445" i="1"/>
  <c r="S446" i="1" a="1"/>
  <c r="S446" i="1" s="1"/>
  <c r="S447" i="1" a="1"/>
  <c r="S447" i="1" s="1"/>
  <c r="S448" i="1" a="1"/>
  <c r="S448" i="1"/>
  <c r="S449" i="1" a="1"/>
  <c r="S449" i="1"/>
  <c r="S450" i="1" a="1"/>
  <c r="S450" i="1" s="1"/>
  <c r="S451" i="1" a="1"/>
  <c r="S451" i="1" s="1"/>
  <c r="S452" i="1" a="1"/>
  <c r="S452" i="1"/>
  <c r="S453" i="1" a="1"/>
  <c r="S453" i="1"/>
  <c r="S454" i="1" a="1"/>
  <c r="S454" i="1" s="1"/>
  <c r="S455" i="1" a="1"/>
  <c r="S455" i="1" s="1"/>
  <c r="S456" i="1" a="1"/>
  <c r="S456" i="1"/>
  <c r="S457" i="1" a="1"/>
  <c r="S457" i="1"/>
  <c r="S458" i="1" a="1"/>
  <c r="S458" i="1" s="1"/>
  <c r="S459" i="1" a="1"/>
  <c r="S459" i="1" s="1"/>
  <c r="S460" i="1" a="1"/>
  <c r="S460" i="1"/>
  <c r="S461" i="1" a="1"/>
  <c r="S461" i="1"/>
  <c r="S462" i="1" a="1"/>
  <c r="S462" i="1" s="1"/>
  <c r="S463" i="1" a="1"/>
  <c r="S463" i="1" s="1"/>
  <c r="S464" i="1" a="1"/>
  <c r="S464" i="1"/>
  <c r="S465" i="1" a="1"/>
  <c r="S465" i="1"/>
  <c r="S466" i="1" a="1"/>
  <c r="S466" i="1" s="1"/>
  <c r="S467" i="1" a="1"/>
  <c r="S467" i="1" s="1"/>
  <c r="S468" i="1" a="1"/>
  <c r="S468" i="1"/>
  <c r="S469" i="1" a="1"/>
  <c r="S469" i="1"/>
  <c r="S470" i="1" a="1"/>
  <c r="S470" i="1" s="1"/>
  <c r="S471" i="1" a="1"/>
  <c r="S471" i="1" s="1"/>
  <c r="S472" i="1" a="1"/>
  <c r="S472" i="1"/>
  <c r="S473" i="1" a="1"/>
  <c r="S473" i="1"/>
  <c r="S474" i="1" a="1"/>
  <c r="S474" i="1" s="1"/>
  <c r="S475" i="1" a="1"/>
  <c r="S475" i="1" s="1"/>
  <c r="S476" i="1" a="1"/>
  <c r="S476" i="1"/>
  <c r="S477" i="1" a="1"/>
  <c r="S477" i="1"/>
  <c r="S478" i="1" a="1"/>
  <c r="S478" i="1" s="1"/>
  <c r="S479" i="1" a="1"/>
  <c r="S479" i="1" s="1"/>
  <c r="S480" i="1" a="1"/>
  <c r="S480" i="1"/>
  <c r="S481" i="1" a="1"/>
  <c r="S481" i="1"/>
  <c r="S482" i="1" a="1"/>
  <c r="S482" i="1" s="1"/>
  <c r="S483" i="1" a="1"/>
  <c r="S483" i="1" s="1"/>
  <c r="S484" i="1" a="1"/>
  <c r="S484" i="1"/>
  <c r="S485" i="1" a="1"/>
  <c r="S485" i="1"/>
  <c r="S486" i="1" a="1"/>
  <c r="S486" i="1" s="1"/>
  <c r="S487" i="1" a="1"/>
  <c r="S487" i="1" s="1"/>
  <c r="S488" i="1" a="1"/>
  <c r="S488" i="1"/>
  <c r="S489" i="1" a="1"/>
  <c r="S489" i="1"/>
  <c r="S490" i="1" a="1"/>
  <c r="S490" i="1" s="1"/>
  <c r="S491" i="1" a="1"/>
  <c r="S491" i="1" s="1"/>
  <c r="S492" i="1" a="1"/>
  <c r="S492" i="1"/>
  <c r="S493" i="1" a="1"/>
  <c r="S493" i="1"/>
  <c r="S494" i="1" a="1"/>
  <c r="S494" i="1" s="1"/>
  <c r="S495" i="1" a="1"/>
  <c r="S495" i="1" s="1"/>
  <c r="S496" i="1" a="1"/>
  <c r="S496" i="1"/>
  <c r="S497" i="1" a="1"/>
  <c r="S497" i="1"/>
  <c r="S498" i="1" a="1"/>
  <c r="S498" i="1" s="1"/>
  <c r="S499" i="1" a="1"/>
  <c r="S499" i="1" s="1"/>
  <c r="S500" i="1" a="1"/>
  <c r="S500" i="1"/>
  <c r="S2" i="1" a="1"/>
  <c r="S2" i="1"/>
  <c r="A1" i="10" l="1" a="1"/>
  <c r="A1" i="10" s="1"/>
  <c r="A1" i="9" a="1"/>
  <c r="A1" i="9" s="1"/>
  <c r="X11" i="1"/>
  <c r="X10" i="1"/>
  <c r="Q412" i="1" a="1"/>
  <c r="Q412" i="1" s="1"/>
  <c r="R365" i="1" l="1" a="1"/>
  <c r="R365" i="1" s="1"/>
  <c r="R48" i="1" a="1"/>
  <c r="R48" i="1" s="1"/>
  <c r="R187" i="1" a="1"/>
  <c r="R187" i="1" s="1"/>
  <c r="R281" i="1" a="1"/>
  <c r="R281" i="1" s="1"/>
  <c r="R320" i="1" a="1"/>
  <c r="R320" i="1" s="1"/>
  <c r="R402" i="1" a="1"/>
  <c r="R402" i="1" s="1"/>
  <c r="R296" i="1" a="1"/>
  <c r="R296" i="1" s="1"/>
  <c r="R387" i="1" a="1"/>
  <c r="R387" i="1" s="1"/>
  <c r="R216" i="1" a="1"/>
  <c r="R216" i="1" s="1"/>
  <c r="R412" i="1" a="1"/>
  <c r="R412" i="1" s="1"/>
  <c r="R217" i="1" a="1"/>
  <c r="R217" i="1" s="1"/>
  <c r="R148" i="1" a="1"/>
  <c r="R148" i="1" s="1"/>
  <c r="R429" i="1" a="1"/>
  <c r="R429" i="1" s="1"/>
  <c r="R314" i="1" a="1"/>
  <c r="R314" i="1" s="1"/>
  <c r="R3" i="1" a="1"/>
  <c r="R3" i="1" s="1"/>
  <c r="R121" i="1" a="1"/>
  <c r="R121" i="1" s="1"/>
  <c r="R449" i="1" a="1"/>
  <c r="R449" i="1" s="1"/>
  <c r="R262" i="1" a="1"/>
  <c r="R262" i="1" s="1"/>
  <c r="R193" i="1" a="1"/>
  <c r="R193" i="1" s="1"/>
  <c r="R82" i="1" a="1"/>
  <c r="R82" i="1" s="1"/>
  <c r="R197" i="1" a="1"/>
  <c r="R197" i="1" s="1"/>
  <c r="R470" i="1" a="1"/>
  <c r="R470" i="1" s="1"/>
  <c r="R447" i="1" a="1"/>
  <c r="R447" i="1" s="1"/>
  <c r="R274" i="1" a="1"/>
  <c r="R274" i="1" s="1"/>
  <c r="R75" i="1" a="1"/>
  <c r="R75" i="1" s="1"/>
  <c r="R330" i="1" a="1"/>
  <c r="R330" i="1" s="1"/>
  <c r="R278" i="1" a="1"/>
  <c r="R278" i="1" s="1"/>
  <c r="R238" i="1" a="1"/>
  <c r="R238" i="1" s="1"/>
  <c r="R323" i="1" a="1"/>
  <c r="R323" i="1" s="1"/>
  <c r="R462" i="1" a="1"/>
  <c r="R462" i="1" s="1"/>
  <c r="R195" i="1" a="1"/>
  <c r="R195" i="1" s="1"/>
  <c r="R500" i="1" a="1"/>
  <c r="R500" i="1" s="1"/>
  <c r="R142" i="1" a="1"/>
  <c r="R142" i="1" s="1"/>
  <c r="R308" i="1" a="1"/>
  <c r="R308" i="1" s="1"/>
  <c r="R105" i="1" a="1"/>
  <c r="R105" i="1" s="1"/>
  <c r="R409" i="1" a="1"/>
  <c r="R409" i="1" s="1"/>
  <c r="R172" i="1" a="1"/>
  <c r="R172" i="1" s="1"/>
  <c r="R383" i="1" a="1"/>
  <c r="R383" i="1" s="1"/>
  <c r="R177" i="1" a="1"/>
  <c r="R177" i="1" s="1"/>
  <c r="R322" i="1" a="1"/>
  <c r="R322" i="1" s="1"/>
  <c r="R181" i="1" a="1"/>
  <c r="R181" i="1" s="1"/>
  <c r="R259" i="1" a="1"/>
  <c r="R259" i="1" s="1"/>
  <c r="R161" i="1" a="1"/>
  <c r="R161" i="1" s="1"/>
  <c r="R419" i="1" a="1"/>
  <c r="R419" i="1" s="1"/>
  <c r="R130" i="1" a="1"/>
  <c r="R130" i="1" s="1"/>
  <c r="R467" i="1" a="1"/>
  <c r="R467" i="1" s="1"/>
  <c r="R331" i="1" a="1"/>
  <c r="R331" i="1" s="1"/>
  <c r="R371" i="1" a="1"/>
  <c r="R371" i="1" s="1"/>
  <c r="R306" i="1" a="1"/>
  <c r="R306" i="1" s="1"/>
  <c r="R338" i="1" a="1"/>
  <c r="R338" i="1" s="1"/>
  <c r="R164" i="1" a="1"/>
  <c r="R164" i="1" s="1"/>
  <c r="R481" i="1" a="1"/>
  <c r="R481" i="1" s="1"/>
  <c r="R32" i="1" a="1"/>
  <c r="R32" i="1" s="1"/>
  <c r="R214" i="1" a="1"/>
  <c r="R214" i="1" s="1"/>
  <c r="R427" i="1" a="1"/>
  <c r="R427" i="1" s="1"/>
  <c r="R55" i="1" a="1"/>
  <c r="R55" i="1" s="1"/>
  <c r="R422" i="1" a="1"/>
  <c r="R422" i="1" s="1"/>
  <c r="R182" i="1" a="1"/>
  <c r="R182" i="1" s="1"/>
  <c r="R101" i="1" a="1"/>
  <c r="R101" i="1" s="1"/>
  <c r="R234" i="1" a="1"/>
  <c r="R234" i="1" s="1"/>
  <c r="R167" i="1" a="1"/>
  <c r="R167" i="1" s="1"/>
  <c r="R188" i="1" a="1"/>
  <c r="R188" i="1" s="1"/>
  <c r="R453" i="1" a="1"/>
  <c r="R453" i="1" s="1"/>
  <c r="R97" i="1" a="1"/>
  <c r="R97" i="1" s="1"/>
  <c r="R173" i="1" a="1"/>
  <c r="R173" i="1" s="1"/>
  <c r="R309" i="1" a="1"/>
  <c r="R309" i="1" s="1"/>
  <c r="R99" i="1" a="1"/>
  <c r="R99" i="1" s="1"/>
  <c r="R305" i="1" a="1"/>
  <c r="R305" i="1" s="1"/>
  <c r="R390" i="1" a="1"/>
  <c r="R390" i="1" s="1"/>
  <c r="R407" i="1" a="1"/>
  <c r="R407" i="1" s="1"/>
  <c r="R363" i="1" a="1"/>
  <c r="R363" i="1" s="1"/>
  <c r="R74" i="1" a="1"/>
  <c r="R74" i="1" s="1"/>
  <c r="R8" i="1" a="1"/>
  <c r="R8" i="1" s="1"/>
  <c r="R350" i="1" a="1"/>
  <c r="R350" i="1" s="1"/>
  <c r="R358" i="1" a="1"/>
  <c r="R358" i="1" s="1"/>
  <c r="R376" i="1" a="1"/>
  <c r="R376" i="1" s="1"/>
  <c r="R189" i="1" a="1"/>
  <c r="R189" i="1" s="1"/>
  <c r="R485" i="1" a="1"/>
  <c r="R485" i="1" s="1"/>
  <c r="R155" i="1" a="1"/>
  <c r="R155" i="1" s="1"/>
  <c r="R417" i="1" a="1"/>
  <c r="R417" i="1" s="1"/>
  <c r="R213" i="1" a="1"/>
  <c r="R213" i="1" s="1"/>
  <c r="R62" i="1" a="1"/>
  <c r="R62" i="1" s="1"/>
  <c r="R316" i="1" a="1"/>
  <c r="R316" i="1" s="1"/>
  <c r="R25" i="1" a="1"/>
  <c r="R25" i="1" s="1"/>
  <c r="R460" i="1" a="1"/>
  <c r="R460" i="1" s="1"/>
  <c r="R341" i="1" a="1"/>
  <c r="R341" i="1" s="1"/>
  <c r="R472" i="1" a="1"/>
  <c r="R472" i="1" s="1"/>
  <c r="R333" i="1" a="1"/>
  <c r="R333" i="1" s="1"/>
  <c r="R226" i="1" a="1"/>
  <c r="R226" i="1" s="1"/>
  <c r="R20" i="1" a="1"/>
  <c r="R20" i="1" s="1"/>
  <c r="R438" i="1" a="1"/>
  <c r="R438" i="1" s="1"/>
  <c r="R321" i="1" a="1"/>
  <c r="R321" i="1" s="1"/>
  <c r="R212" i="1" a="1"/>
  <c r="R212" i="1" s="1"/>
  <c r="R495" i="1" a="1"/>
  <c r="R495" i="1" s="1"/>
  <c r="R430" i="1" a="1"/>
  <c r="R430" i="1" s="1"/>
  <c r="R284" i="1" a="1"/>
  <c r="R284" i="1" s="1"/>
  <c r="R203" i="1" a="1"/>
  <c r="R203" i="1" s="1"/>
  <c r="R64" i="1" a="1"/>
  <c r="R64" i="1" s="1"/>
  <c r="R218" i="1" a="1"/>
  <c r="R218" i="1" s="1"/>
  <c r="R318" i="1" a="1"/>
  <c r="R318" i="1" s="1"/>
  <c r="R215" i="1" a="1"/>
  <c r="R215" i="1" s="1"/>
  <c r="R268" i="1" a="1"/>
  <c r="R268" i="1" s="1"/>
  <c r="R68" i="1" a="1"/>
  <c r="R68" i="1" s="1"/>
  <c r="R178" i="1" a="1"/>
  <c r="R178" i="1" s="1"/>
  <c r="R163" i="1" a="1"/>
  <c r="R163" i="1" s="1"/>
  <c r="R37" i="1" a="1"/>
  <c r="R37" i="1" s="1"/>
  <c r="R425" i="1" a="1"/>
  <c r="R425" i="1" s="1"/>
  <c r="R332" i="1" a="1"/>
  <c r="R332" i="1" s="1"/>
  <c r="R26" i="1" a="1"/>
  <c r="R26" i="1" s="1"/>
  <c r="R14" i="1" a="1"/>
  <c r="R14" i="1" s="1"/>
  <c r="R411" i="1" a="1"/>
  <c r="R411" i="1" s="1"/>
  <c r="R59" i="1" a="1"/>
  <c r="R59" i="1" s="1"/>
  <c r="R154" i="1" a="1"/>
  <c r="R154" i="1" s="1"/>
  <c r="R297" i="1" a="1"/>
  <c r="R297" i="1" s="1"/>
  <c r="R300" i="1" a="1"/>
  <c r="R300" i="1" s="1"/>
  <c r="R175" i="1" a="1"/>
  <c r="R175" i="1" s="1"/>
  <c r="R377" i="1" a="1"/>
  <c r="R377" i="1" s="1"/>
  <c r="R149" i="1" a="1"/>
  <c r="R149" i="1" s="1"/>
  <c r="R273" i="1" a="1"/>
  <c r="R273" i="1" s="1"/>
  <c r="R264" i="1" a="1"/>
  <c r="R264" i="1" s="1"/>
  <c r="R89" i="1" a="1"/>
  <c r="R89" i="1" s="1"/>
  <c r="R41" i="1" a="1"/>
  <c r="R41" i="1" s="1"/>
  <c r="R311" i="1" a="1"/>
  <c r="R311" i="1" s="1"/>
  <c r="R454" i="1" a="1"/>
  <c r="R454" i="1" s="1"/>
  <c r="R240" i="1" a="1"/>
  <c r="R240" i="1" s="1"/>
  <c r="R156" i="1" a="1"/>
  <c r="R156" i="1" s="1"/>
  <c r="R115" i="1" a="1"/>
  <c r="R115" i="1" s="1"/>
  <c r="R35" i="1" a="1"/>
  <c r="R35" i="1" s="1"/>
  <c r="R351" i="1" a="1"/>
  <c r="R351" i="1" s="1"/>
  <c r="R144" i="1" a="1"/>
  <c r="R144" i="1" s="1"/>
  <c r="R265" i="1" a="1"/>
  <c r="R265" i="1" s="1"/>
  <c r="R171" i="1" a="1"/>
  <c r="R171" i="1" s="1"/>
  <c r="R370" i="1" a="1"/>
  <c r="R370" i="1" s="1"/>
  <c r="R126" i="1" a="1"/>
  <c r="R126" i="1" s="1"/>
  <c r="R104" i="1" a="1"/>
  <c r="R104" i="1" s="1"/>
  <c r="R492" i="1" a="1"/>
  <c r="R492" i="1" s="1"/>
  <c r="R361" i="1" a="1"/>
  <c r="R361" i="1" s="1"/>
  <c r="R139" i="1" a="1"/>
  <c r="R139" i="1" s="1"/>
  <c r="R250" i="1" a="1"/>
  <c r="R250" i="1" s="1"/>
  <c r="R109" i="1" a="1"/>
  <c r="R109" i="1" s="1"/>
  <c r="R36" i="1" a="1"/>
  <c r="R36" i="1" s="1"/>
  <c r="R271" i="1" a="1"/>
  <c r="R271" i="1" s="1"/>
  <c r="R327" i="1" a="1"/>
  <c r="R327" i="1" s="1"/>
  <c r="R373" i="1" a="1"/>
  <c r="R373" i="1" s="1"/>
  <c r="R384" i="1" a="1"/>
  <c r="R384" i="1" s="1"/>
  <c r="R243" i="1" a="1"/>
  <c r="R243" i="1" s="1"/>
  <c r="R168" i="1" a="1"/>
  <c r="R168" i="1" s="1"/>
  <c r="R56" i="1" a="1"/>
  <c r="R56" i="1" s="1"/>
  <c r="R451" i="1" a="1"/>
  <c r="R451" i="1" s="1"/>
  <c r="R310" i="1" a="1"/>
  <c r="R310" i="1" s="1"/>
  <c r="R446" i="1" a="1"/>
  <c r="R446" i="1" s="1"/>
  <c r="R346" i="1" a="1"/>
  <c r="R346" i="1" s="1"/>
  <c r="R275" i="1" a="1"/>
  <c r="R275" i="1" s="1"/>
  <c r="R125" i="1" a="1"/>
  <c r="R125" i="1" s="1"/>
  <c r="R242" i="1" a="1"/>
  <c r="R242" i="1" s="1"/>
  <c r="R133" i="1" a="1"/>
  <c r="R133" i="1" s="1"/>
  <c r="R87" i="1" a="1"/>
  <c r="R87" i="1" s="1"/>
  <c r="R356" i="1" a="1"/>
  <c r="R356" i="1" s="1"/>
  <c r="R408" i="1" a="1"/>
  <c r="R408" i="1" s="1"/>
  <c r="R39" i="1" a="1"/>
  <c r="R39" i="1" s="1"/>
  <c r="R233" i="1" a="1"/>
  <c r="R233" i="1" s="1"/>
  <c r="R480" i="1" a="1"/>
  <c r="R480" i="1" s="1"/>
  <c r="R295" i="1" a="1"/>
  <c r="R295" i="1" s="1"/>
  <c r="R441" i="1" a="1"/>
  <c r="R441" i="1" s="1"/>
  <c r="R147" i="1" a="1"/>
  <c r="R147" i="1" s="1"/>
  <c r="R405" i="1" a="1"/>
  <c r="R405" i="1" s="1"/>
  <c r="R325" i="1" a="1"/>
  <c r="R325" i="1" s="1"/>
  <c r="R73" i="1" a="1"/>
  <c r="R73" i="1" s="1"/>
  <c r="R134" i="1" a="1"/>
  <c r="R134" i="1" s="1"/>
  <c r="R27" i="1" a="1"/>
  <c r="R27" i="1" s="1"/>
  <c r="R258" i="1" a="1"/>
  <c r="R258" i="1" s="1"/>
  <c r="R421" i="1" a="1"/>
  <c r="R421" i="1" s="1"/>
  <c r="R129" i="1" a="1"/>
  <c r="R129" i="1" s="1"/>
  <c r="R474" i="1" a="1"/>
  <c r="R474" i="1" s="1"/>
  <c r="R90" i="1" a="1"/>
  <c r="R90" i="1" s="1"/>
  <c r="R51" i="1" a="1"/>
  <c r="R51" i="1" s="1"/>
  <c r="R5" i="1" a="1"/>
  <c r="R5" i="1" s="1"/>
  <c r="R221" i="1" a="1"/>
  <c r="R221" i="1" s="1"/>
  <c r="R479" i="1" a="1"/>
  <c r="R479" i="1" s="1"/>
  <c r="R461" i="1" a="1"/>
  <c r="R461" i="1" s="1"/>
  <c r="R4" i="1" a="1"/>
  <c r="R4" i="1" s="1"/>
  <c r="R12" i="1" a="1"/>
  <c r="R12" i="1" s="1"/>
  <c r="R107" i="1" a="1"/>
  <c r="R107" i="1" s="1"/>
  <c r="R52" i="1" a="1"/>
  <c r="R52" i="1" s="1"/>
  <c r="R263" i="1" a="1"/>
  <c r="R263" i="1" s="1"/>
  <c r="R245" i="1" a="1"/>
  <c r="R245" i="1" s="1"/>
  <c r="R158" i="1" a="1"/>
  <c r="R158" i="1" s="1"/>
  <c r="R24" i="1" a="1"/>
  <c r="R24" i="1" s="1"/>
  <c r="R131" i="1" a="1"/>
  <c r="R131" i="1" s="1"/>
  <c r="R291" i="1" a="1"/>
  <c r="R291" i="1" s="1"/>
  <c r="R23" i="1" a="1"/>
  <c r="R23" i="1" s="1"/>
  <c r="R465" i="1" a="1"/>
  <c r="R465" i="1" s="1"/>
  <c r="R180" i="1" a="1"/>
  <c r="R180" i="1" s="1"/>
  <c r="R200" i="1" a="1"/>
  <c r="R200" i="1" s="1"/>
  <c r="R362" i="1" a="1"/>
  <c r="R362" i="1" s="1"/>
  <c r="R301" i="1" a="1"/>
  <c r="R301" i="1" s="1"/>
  <c r="R70" i="1" a="1"/>
  <c r="R70" i="1" s="1"/>
  <c r="R40" i="1" a="1"/>
  <c r="R40" i="1" s="1"/>
  <c r="R119" i="1" a="1"/>
  <c r="R119" i="1" s="1"/>
  <c r="R106" i="1" a="1"/>
  <c r="R106" i="1" s="1"/>
  <c r="R463" i="1" a="1"/>
  <c r="R463" i="1" s="1"/>
  <c r="R49" i="1" a="1"/>
  <c r="R49" i="1" s="1"/>
  <c r="R389" i="1" a="1"/>
  <c r="R389" i="1" s="1"/>
  <c r="R303" i="1" a="1"/>
  <c r="R303" i="1" s="1"/>
  <c r="R269" i="1" a="1"/>
  <c r="R269" i="1" s="1"/>
  <c r="R244" i="1" a="1"/>
  <c r="R244" i="1" s="1"/>
  <c r="R251" i="1" a="1"/>
  <c r="R251" i="1" s="1"/>
  <c r="R67" i="1" a="1"/>
  <c r="R67" i="1" s="1"/>
  <c r="R122" i="1" a="1"/>
  <c r="R122" i="1" s="1"/>
  <c r="R436" i="1" a="1"/>
  <c r="R436" i="1" s="1"/>
  <c r="R44" i="1" a="1"/>
  <c r="R44" i="1" s="1"/>
  <c r="R118" i="1" a="1"/>
  <c r="R118" i="1" s="1"/>
  <c r="R94" i="1" a="1"/>
  <c r="R94" i="1" s="1"/>
  <c r="R102" i="1" a="1"/>
  <c r="R102" i="1" s="1"/>
  <c r="R483" i="1" a="1"/>
  <c r="R483" i="1" s="1"/>
  <c r="R392" i="1" a="1"/>
  <c r="R392" i="1" s="1"/>
  <c r="R116" i="1" a="1"/>
  <c r="R116" i="1" s="1"/>
  <c r="R367" i="1" a="1"/>
  <c r="R367" i="1" s="1"/>
  <c r="R336" i="1" a="1"/>
  <c r="R336" i="1" s="1"/>
  <c r="R194" i="1" a="1"/>
  <c r="R194" i="1" s="1"/>
  <c r="R464" i="1" a="1"/>
  <c r="R464" i="1" s="1"/>
  <c r="R435" i="1" a="1"/>
  <c r="R435" i="1" s="1"/>
  <c r="R230" i="1" a="1"/>
  <c r="R230" i="1" s="1"/>
  <c r="R246" i="1" a="1"/>
  <c r="R246" i="1" s="1"/>
  <c r="R53" i="1" a="1"/>
  <c r="R53" i="1" s="1"/>
  <c r="R319" i="1" a="1"/>
  <c r="R319" i="1" s="1"/>
  <c r="R456" i="1" a="1"/>
  <c r="R456" i="1" s="1"/>
  <c r="R366" i="1" a="1"/>
  <c r="R366" i="1" s="1"/>
  <c r="R493" i="1" a="1"/>
  <c r="R493" i="1" s="1"/>
  <c r="R476" i="1" a="1"/>
  <c r="R476" i="1" s="1"/>
  <c r="R227" i="1" a="1"/>
  <c r="R227" i="1" s="1"/>
  <c r="R490" i="1" a="1"/>
  <c r="R490" i="1" s="1"/>
  <c r="R38" i="1" a="1"/>
  <c r="R38" i="1" s="1"/>
  <c r="R253" i="1" a="1"/>
  <c r="R253" i="1" s="1"/>
  <c r="R18" i="1" a="1"/>
  <c r="R18" i="1" s="1"/>
  <c r="R10" i="1" a="1"/>
  <c r="R10" i="1" s="1"/>
  <c r="R22" i="1" a="1"/>
  <c r="R22" i="1" s="1"/>
  <c r="R232" i="1" a="1"/>
  <c r="R232" i="1" s="1"/>
  <c r="R315" i="1" a="1"/>
  <c r="R315" i="1" s="1"/>
  <c r="R29" i="1" a="1"/>
  <c r="R29" i="1" s="1"/>
  <c r="R219" i="1" a="1"/>
  <c r="R219" i="1" s="1"/>
  <c r="R471" i="1" a="1"/>
  <c r="R471" i="1" s="1"/>
  <c r="R270" i="1" a="1"/>
  <c r="R270" i="1" s="1"/>
  <c r="R396" i="1" a="1"/>
  <c r="R396" i="1" s="1"/>
  <c r="R17" i="1" a="1"/>
  <c r="R17" i="1" s="1"/>
  <c r="R378" i="1" a="1"/>
  <c r="R378" i="1" s="1"/>
  <c r="R458" i="1" a="1"/>
  <c r="R458" i="1" s="1"/>
  <c r="R84" i="1" a="1"/>
  <c r="R84" i="1" s="1"/>
  <c r="R391" i="1" a="1"/>
  <c r="R391" i="1" s="1"/>
  <c r="R444" i="1" a="1"/>
  <c r="R444" i="1" s="1"/>
  <c r="R30" i="1" a="1"/>
  <c r="R30" i="1" s="1"/>
  <c r="R208" i="1" a="1"/>
  <c r="R208" i="1" s="1"/>
  <c r="R239" i="1" a="1"/>
  <c r="R239" i="1" s="1"/>
  <c r="R302" i="1" a="1"/>
  <c r="R302" i="1" s="1"/>
  <c r="R141" i="1" a="1"/>
  <c r="R141" i="1" s="1"/>
  <c r="R317" i="1" a="1"/>
  <c r="R317" i="1" s="1"/>
  <c r="R76" i="1" a="1"/>
  <c r="R76" i="1" s="1"/>
  <c r="R473" i="1" a="1"/>
  <c r="R473" i="1" s="1"/>
  <c r="R50" i="1" a="1"/>
  <c r="R50" i="1" s="1"/>
  <c r="R138" i="1" a="1"/>
  <c r="R138" i="1" s="1"/>
  <c r="R357" i="1" a="1"/>
  <c r="R357" i="1" s="1"/>
  <c r="R260" i="1" a="1"/>
  <c r="R260" i="1" s="1"/>
  <c r="R110" i="1" a="1"/>
  <c r="R110" i="1" s="1"/>
  <c r="R77" i="1" a="1"/>
  <c r="R77" i="1" s="1"/>
  <c r="R406" i="1" a="1"/>
  <c r="R406" i="1" s="1"/>
  <c r="R19" i="1" a="1"/>
  <c r="R19" i="1" s="1"/>
  <c r="R459" i="1" a="1"/>
  <c r="R459" i="1" s="1"/>
  <c r="R78" i="1" a="1"/>
  <c r="R78" i="1" s="1"/>
  <c r="R369" i="1" a="1"/>
  <c r="R369" i="1" s="1"/>
  <c r="R440" i="1" a="1"/>
  <c r="R440" i="1" s="1"/>
  <c r="R80" i="1" a="1"/>
  <c r="R80" i="1" s="1"/>
  <c r="R379" i="1" a="1"/>
  <c r="R379" i="1" s="1"/>
  <c r="R448" i="1" a="1"/>
  <c r="R448" i="1" s="1"/>
  <c r="R279" i="1" a="1"/>
  <c r="R279" i="1" s="1"/>
  <c r="R205" i="1" a="1"/>
  <c r="R205" i="1" s="1"/>
  <c r="R293" i="1" a="1"/>
  <c r="R293" i="1" s="1"/>
  <c r="R169" i="1" a="1"/>
  <c r="R169" i="1" s="1"/>
  <c r="R450" i="1" a="1"/>
  <c r="R450" i="1" s="1"/>
  <c r="R353" i="1" a="1"/>
  <c r="R353" i="1" s="1"/>
  <c r="R283" i="1" a="1"/>
  <c r="R283" i="1" s="1"/>
  <c r="R170" i="1" a="1"/>
  <c r="R170" i="1" s="1"/>
  <c r="R433" i="1" a="1"/>
  <c r="R433" i="1" s="1"/>
  <c r="R204" i="1" a="1"/>
  <c r="R204" i="1" s="1"/>
  <c r="R280" i="1" a="1"/>
  <c r="R280" i="1" s="1"/>
  <c r="R28" i="1" a="1"/>
  <c r="R28" i="1" s="1"/>
  <c r="R272" i="1" a="1"/>
  <c r="R272" i="1" s="1"/>
  <c r="R477" i="1" a="1"/>
  <c r="R477" i="1" s="1"/>
  <c r="R235" i="1" a="1"/>
  <c r="R235" i="1" s="1"/>
  <c r="R312" i="1" a="1"/>
  <c r="R312" i="1" s="1"/>
  <c r="R431" i="1" a="1"/>
  <c r="R431" i="1" s="1"/>
  <c r="R231" i="1" a="1"/>
  <c r="R231" i="1" s="1"/>
  <c r="R403" i="1" a="1"/>
  <c r="R403" i="1" s="1"/>
  <c r="R399" i="1" a="1"/>
  <c r="R399" i="1" s="1"/>
  <c r="R482" i="1" a="1"/>
  <c r="R482" i="1" s="1"/>
  <c r="R81" i="1" a="1"/>
  <c r="R81" i="1" s="1"/>
  <c r="R58" i="1" a="1"/>
  <c r="R58" i="1" s="1"/>
  <c r="R241" i="1" a="1"/>
  <c r="R241" i="1" s="1"/>
  <c r="R186" i="1" a="1"/>
  <c r="R186" i="1" s="1"/>
  <c r="R416" i="1" a="1"/>
  <c r="R416" i="1" s="1"/>
  <c r="R152" i="1" a="1"/>
  <c r="R152" i="1" s="1"/>
  <c r="R337" i="1" a="1"/>
  <c r="R337" i="1" s="1"/>
  <c r="R224" i="1" a="1"/>
  <c r="R224" i="1" s="1"/>
  <c r="R418" i="1" a="1"/>
  <c r="R418" i="1" s="1"/>
  <c r="R46" i="1" a="1"/>
  <c r="R46" i="1" s="1"/>
  <c r="R153" i="1" a="1"/>
  <c r="R153" i="1" s="1"/>
  <c r="R349" i="1" a="1"/>
  <c r="R349" i="1" s="1"/>
  <c r="R486" i="1" a="1"/>
  <c r="R486" i="1" s="1"/>
  <c r="R174" i="1" a="1"/>
  <c r="R174" i="1" s="1"/>
  <c r="R466" i="1" a="1"/>
  <c r="R466" i="1" s="1"/>
  <c r="R496" i="1" a="1"/>
  <c r="R496" i="1" s="1"/>
  <c r="R304" i="1" a="1"/>
  <c r="R304" i="1" s="1"/>
  <c r="R247" i="1" a="1"/>
  <c r="R247" i="1" s="1"/>
  <c r="R103" i="1" a="1"/>
  <c r="R103" i="1" s="1"/>
  <c r="R150" i="1" a="1"/>
  <c r="R150" i="1" s="1"/>
  <c r="R201" i="1" a="1"/>
  <c r="R201" i="1" s="1"/>
  <c r="R228" i="1" a="1"/>
  <c r="R228" i="1" s="1"/>
  <c r="R292" i="1" a="1"/>
  <c r="R292" i="1" s="1"/>
  <c r="R6" i="1" a="1"/>
  <c r="R6" i="1" s="1"/>
  <c r="R248" i="1" a="1"/>
  <c r="R248" i="1" s="1"/>
  <c r="R380" i="1" a="1"/>
  <c r="R380" i="1" s="1"/>
  <c r="R111" i="1" a="1"/>
  <c r="R111" i="1" s="1"/>
  <c r="R424" i="1" a="1"/>
  <c r="R424" i="1" s="1"/>
  <c r="R457" i="1" a="1"/>
  <c r="R457" i="1" s="1"/>
  <c r="R100" i="1" a="1"/>
  <c r="R100" i="1" s="1"/>
  <c r="R398" i="1" a="1"/>
  <c r="R398" i="1" s="1"/>
  <c r="R381" i="1" a="1"/>
  <c r="R381" i="1" s="1"/>
  <c r="R342" i="1" a="1"/>
  <c r="R342" i="1" s="1"/>
  <c r="R191" i="1" a="1"/>
  <c r="R191" i="1" s="1"/>
  <c r="R42" i="1" a="1"/>
  <c r="R42" i="1" s="1"/>
  <c r="R11" i="1" a="1"/>
  <c r="R11" i="1" s="1"/>
  <c r="R13" i="1" a="1"/>
  <c r="R13" i="1" s="1"/>
  <c r="R61" i="1" a="1"/>
  <c r="R61" i="1" s="1"/>
  <c r="R372" i="1" a="1"/>
  <c r="R372" i="1" s="1"/>
  <c r="R127" i="1" a="1"/>
  <c r="R127" i="1" s="1"/>
  <c r="R397" i="1" a="1"/>
  <c r="R397" i="1" s="1"/>
  <c r="R69" i="1" a="1"/>
  <c r="R69" i="1" s="1"/>
  <c r="R368" i="1" a="1"/>
  <c r="R368" i="1" s="1"/>
  <c r="R286" i="1" a="1"/>
  <c r="R286" i="1" s="1"/>
  <c r="R307" i="1" a="1"/>
  <c r="R307" i="1" s="1"/>
  <c r="R294" i="1" a="1"/>
  <c r="R294" i="1" s="1"/>
  <c r="R165" i="1" a="1"/>
  <c r="R165" i="1" s="1"/>
  <c r="R71" i="1" a="1"/>
  <c r="R71" i="1" s="1"/>
  <c r="R16" i="1" a="1"/>
  <c r="R16" i="1" s="1"/>
  <c r="R414" i="1" a="1"/>
  <c r="R414" i="1" s="1"/>
  <c r="R31" i="1" a="1"/>
  <c r="R31" i="1" s="1"/>
  <c r="R420" i="1" a="1"/>
  <c r="R420" i="1" s="1"/>
  <c r="R146" i="1" a="1"/>
  <c r="R146" i="1" s="1"/>
  <c r="R117" i="1" a="1"/>
  <c r="R117" i="1" s="1"/>
  <c r="R288" i="1" a="1"/>
  <c r="R288" i="1" s="1"/>
  <c r="R199" i="1" a="1"/>
  <c r="R199" i="1" s="1"/>
  <c r="R54" i="1" a="1"/>
  <c r="R54" i="1" s="1"/>
  <c r="R229" i="1" a="1"/>
  <c r="R229" i="1" s="1"/>
  <c r="R45" i="1" a="1"/>
  <c r="R45" i="1" s="1"/>
  <c r="R313" i="1" a="1"/>
  <c r="R313" i="1" s="1"/>
  <c r="R491" i="1" a="1"/>
  <c r="R491" i="1" s="1"/>
  <c r="R113" i="1" a="1"/>
  <c r="R113" i="1" s="1"/>
  <c r="R209" i="1" a="1"/>
  <c r="R209" i="1" s="1"/>
  <c r="R183" i="1" a="1"/>
  <c r="R183" i="1" s="1"/>
  <c r="R96" i="1" a="1"/>
  <c r="R96" i="1" s="1"/>
  <c r="R344" i="1" a="1"/>
  <c r="R344" i="1" s="1"/>
  <c r="R400" i="1" a="1"/>
  <c r="R400" i="1" s="1"/>
  <c r="R15" i="1" a="1"/>
  <c r="R15" i="1" s="1"/>
  <c r="R354" i="1" a="1"/>
  <c r="R354" i="1" s="1"/>
  <c r="R124" i="1" a="1"/>
  <c r="R124" i="1" s="1"/>
  <c r="R334" i="1" a="1"/>
  <c r="R334" i="1" s="1"/>
  <c r="R434" i="1" a="1"/>
  <c r="R434" i="1" s="1"/>
  <c r="R136" i="1" a="1"/>
  <c r="R136" i="1" s="1"/>
  <c r="R404" i="1" a="1"/>
  <c r="R404" i="1" s="1"/>
  <c r="R478" i="1" a="1"/>
  <c r="R478" i="1" s="1"/>
  <c r="R254" i="1" a="1"/>
  <c r="R254" i="1" s="1"/>
  <c r="R65" i="1" a="1"/>
  <c r="R65" i="1" s="1"/>
  <c r="R261" i="1" a="1"/>
  <c r="R261" i="1" s="1"/>
  <c r="R452" i="1" a="1"/>
  <c r="R452" i="1" s="1"/>
  <c r="R432" i="1" a="1"/>
  <c r="R432" i="1" s="1"/>
  <c r="R160" i="1" a="1"/>
  <c r="R160" i="1" s="1"/>
  <c r="R207" i="1" a="1"/>
  <c r="R207" i="1" s="1"/>
  <c r="R267" i="1" a="1"/>
  <c r="R267" i="1" s="1"/>
  <c r="R423" i="1" a="1"/>
  <c r="R423" i="1" s="1"/>
  <c r="R401" i="1" a="1"/>
  <c r="R401" i="1" s="1"/>
  <c r="R487" i="1" a="1"/>
  <c r="R487" i="1" s="1"/>
  <c r="R499" i="1" a="1"/>
  <c r="R499" i="1" s="1"/>
  <c r="R374" i="1" a="1"/>
  <c r="R374" i="1" s="1"/>
  <c r="R287" i="1" a="1"/>
  <c r="R287" i="1" s="1"/>
  <c r="R290" i="1" a="1"/>
  <c r="R290" i="1" s="1"/>
  <c r="R206" i="1" a="1"/>
  <c r="R206" i="1" s="1"/>
  <c r="R385" i="1" a="1"/>
  <c r="R385" i="1" s="1"/>
  <c r="R211" i="1" a="1"/>
  <c r="R211" i="1" s="1"/>
  <c r="R151" i="1" a="1"/>
  <c r="R151" i="1" s="1"/>
  <c r="R166" i="1" a="1"/>
  <c r="R166" i="1" s="1"/>
  <c r="R192" i="1" a="1"/>
  <c r="R192" i="1" s="1"/>
  <c r="R223" i="1" a="1"/>
  <c r="R223" i="1" s="1"/>
  <c r="R66" i="1" a="1"/>
  <c r="R66" i="1" s="1"/>
  <c r="R210" i="1" a="1"/>
  <c r="R210" i="1" s="1"/>
  <c r="R437" i="1" a="1"/>
  <c r="R437" i="1" s="1"/>
  <c r="R282" i="1" a="1"/>
  <c r="R282" i="1" s="1"/>
  <c r="R289" i="1" a="1"/>
  <c r="R289" i="1" s="1"/>
  <c r="R475" i="1" a="1"/>
  <c r="R475" i="1" s="1"/>
  <c r="R91" i="1" a="1"/>
  <c r="R91" i="1" s="1"/>
  <c r="R484" i="1" a="1"/>
  <c r="R484" i="1" s="1"/>
  <c r="R92" i="1" a="1"/>
  <c r="R92" i="1" s="1"/>
  <c r="R439" i="1" a="1"/>
  <c r="R439" i="1" s="1"/>
  <c r="R114" i="1" a="1"/>
  <c r="R114" i="1" s="1"/>
  <c r="R120" i="1" a="1"/>
  <c r="R120" i="1" s="1"/>
  <c r="R394" i="1" a="1"/>
  <c r="R394" i="1" s="1"/>
  <c r="R348" i="1" a="1"/>
  <c r="R348" i="1" s="1"/>
  <c r="R442" i="1" a="1"/>
  <c r="R442" i="1" s="1"/>
  <c r="R299" i="1" a="1"/>
  <c r="R299" i="1" s="1"/>
  <c r="R93" i="1" a="1"/>
  <c r="R93" i="1" s="1"/>
  <c r="R326" i="1" a="1"/>
  <c r="R326" i="1" s="1"/>
  <c r="R277" i="1" a="1"/>
  <c r="R277" i="1" s="1"/>
  <c r="R57" i="1" a="1"/>
  <c r="R57" i="1" s="1"/>
  <c r="R252" i="1" a="1"/>
  <c r="R252" i="1" s="1"/>
  <c r="R60" i="1" a="1"/>
  <c r="R60" i="1" s="1"/>
  <c r="R9" i="1" a="1"/>
  <c r="R9" i="1" s="1"/>
  <c r="R79" i="1" a="1"/>
  <c r="R79" i="1" s="1"/>
  <c r="R339" i="1" a="1"/>
  <c r="R339" i="1" s="1"/>
  <c r="R276" i="1" a="1"/>
  <c r="R276" i="1" s="1"/>
  <c r="R340" i="1" a="1"/>
  <c r="R340" i="1" s="1"/>
  <c r="R359" i="1" a="1"/>
  <c r="R359" i="1" s="1"/>
  <c r="R95" i="1" a="1"/>
  <c r="R95" i="1" s="1"/>
  <c r="R86" i="1" a="1"/>
  <c r="R86" i="1" s="1"/>
  <c r="R395" i="1" a="1"/>
  <c r="R395" i="1" s="1"/>
  <c r="R497" i="1" a="1"/>
  <c r="R497" i="1" s="1"/>
  <c r="R135" i="1" a="1"/>
  <c r="R135" i="1" s="1"/>
  <c r="R257" i="1" a="1"/>
  <c r="R257" i="1" s="1"/>
  <c r="R347" i="1" a="1"/>
  <c r="R347" i="1" s="1"/>
  <c r="R72" i="1" a="1"/>
  <c r="R72" i="1" s="1"/>
  <c r="R237" i="1" a="1"/>
  <c r="R237" i="1" s="1"/>
  <c r="R236" i="1" a="1"/>
  <c r="R236" i="1" s="1"/>
  <c r="R157" i="1" a="1"/>
  <c r="R157" i="1" s="1"/>
  <c r="R324" i="1" a="1"/>
  <c r="R324" i="1" s="1"/>
  <c r="R198" i="1" a="1"/>
  <c r="R198" i="1" s="1"/>
  <c r="R489" i="1" a="1"/>
  <c r="R489" i="1" s="1"/>
  <c r="R225" i="1" a="1"/>
  <c r="R225" i="1" s="1"/>
  <c r="R364" i="1" a="1"/>
  <c r="R364" i="1" s="1"/>
  <c r="R343" i="1" a="1"/>
  <c r="R343" i="1" s="1"/>
  <c r="R2" i="1" a="1"/>
  <c r="R2" i="1" s="1"/>
  <c r="R21" i="1" a="1"/>
  <c r="R21" i="1" s="1"/>
  <c r="R222" i="1" a="1"/>
  <c r="R222" i="1" s="1"/>
  <c r="R145" i="1" a="1"/>
  <c r="R145" i="1" s="1"/>
  <c r="R393" i="1" a="1"/>
  <c r="R393" i="1" s="1"/>
  <c r="R220" i="1" a="1"/>
  <c r="R220" i="1" s="1"/>
  <c r="R426" i="1" a="1"/>
  <c r="R426" i="1" s="1"/>
  <c r="R285" i="1" a="1"/>
  <c r="R285" i="1" s="1"/>
  <c r="R128" i="1" a="1"/>
  <c r="R128" i="1" s="1"/>
  <c r="R445" i="1" a="1"/>
  <c r="R445" i="1" s="1"/>
  <c r="R7" i="1" a="1"/>
  <c r="R7" i="1" s="1"/>
  <c r="R83" i="1" a="1"/>
  <c r="R83" i="1" s="1"/>
  <c r="R184" i="1" a="1"/>
  <c r="R184" i="1" s="1"/>
  <c r="R428" i="1" a="1"/>
  <c r="R428" i="1" s="1"/>
  <c r="R140" i="1" a="1"/>
  <c r="R140" i="1" s="1"/>
  <c r="R98" i="1" a="1"/>
  <c r="R98" i="1" s="1"/>
  <c r="R132" i="1" a="1"/>
  <c r="R132" i="1" s="1"/>
  <c r="R382" i="1" a="1"/>
  <c r="R382" i="1" s="1"/>
  <c r="R255" i="1" a="1"/>
  <c r="R255" i="1" s="1"/>
  <c r="R386" i="1" a="1"/>
  <c r="R386" i="1" s="1"/>
  <c r="R123" i="1" a="1"/>
  <c r="R123" i="1" s="1"/>
  <c r="R328" i="1" a="1"/>
  <c r="R328" i="1" s="1"/>
  <c r="R488" i="1" a="1"/>
  <c r="R488" i="1" s="1"/>
  <c r="R43" i="1" a="1"/>
  <c r="R43" i="1" s="1"/>
  <c r="R202" i="1" a="1"/>
  <c r="R202" i="1" s="1"/>
  <c r="R455" i="1" a="1"/>
  <c r="R455" i="1" s="1"/>
  <c r="R108" i="1" a="1"/>
  <c r="R108" i="1" s="1"/>
  <c r="R256" i="1" a="1"/>
  <c r="R256" i="1" s="1"/>
  <c r="R298" i="1" a="1"/>
  <c r="R298" i="1" s="1"/>
  <c r="R33" i="1" a="1"/>
  <c r="R33" i="1" s="1"/>
  <c r="R375" i="1" a="1"/>
  <c r="R375" i="1" s="1"/>
  <c r="R355" i="1" a="1"/>
  <c r="R355" i="1" s="1"/>
  <c r="R137" i="1" a="1"/>
  <c r="R137" i="1" s="1"/>
  <c r="R47" i="1" a="1"/>
  <c r="R47" i="1" s="1"/>
  <c r="R494" i="1" a="1"/>
  <c r="R494" i="1" s="1"/>
  <c r="R443" i="1" a="1"/>
  <c r="R443" i="1" s="1"/>
  <c r="R498" i="1" a="1"/>
  <c r="R498" i="1" s="1"/>
  <c r="R179" i="1" a="1"/>
  <c r="R179" i="1" s="1"/>
  <c r="R85" i="1" a="1"/>
  <c r="R85" i="1" s="1"/>
  <c r="R413" i="1" a="1"/>
  <c r="R413" i="1" s="1"/>
  <c r="R112" i="1" a="1"/>
  <c r="R112" i="1" s="1"/>
  <c r="R63" i="1" a="1"/>
  <c r="R63" i="1" s="1"/>
  <c r="R469" i="1" a="1"/>
  <c r="R469" i="1" s="1"/>
  <c r="R266" i="1" a="1"/>
  <c r="R266" i="1" s="1"/>
  <c r="R352" i="1" a="1"/>
  <c r="R352" i="1" s="1"/>
  <c r="R329" i="1" a="1"/>
  <c r="R329" i="1" s="1"/>
  <c r="R360" i="1" a="1"/>
  <c r="R360" i="1" s="1"/>
  <c r="R345" i="1" a="1"/>
  <c r="R345" i="1" s="1"/>
  <c r="R415" i="1" a="1"/>
  <c r="R415" i="1" s="1"/>
  <c r="R162" i="1" a="1"/>
  <c r="R162" i="1" s="1"/>
  <c r="R190" i="1" a="1"/>
  <c r="R190" i="1" s="1"/>
  <c r="R468" i="1" a="1"/>
  <c r="R468" i="1" s="1"/>
  <c r="R388" i="1" a="1"/>
  <c r="R388" i="1" s="1"/>
  <c r="R176" i="1" a="1"/>
  <c r="R176" i="1" s="1"/>
  <c r="R88" i="1" a="1"/>
  <c r="R88" i="1" s="1"/>
  <c r="R185" i="1" a="1"/>
  <c r="R185" i="1" s="1"/>
  <c r="R410" i="1" a="1"/>
  <c r="R410" i="1" s="1"/>
  <c r="R335" i="1" a="1"/>
  <c r="R335" i="1" s="1"/>
  <c r="R143" i="1" a="1"/>
  <c r="R143" i="1" s="1"/>
  <c r="R196" i="1" a="1"/>
  <c r="R196" i="1" s="1"/>
  <c r="R159" i="1" a="1"/>
  <c r="R159" i="1" s="1"/>
  <c r="R34" i="1" a="1"/>
  <c r="R34" i="1" s="1"/>
  <c r="R249" i="1" a="1"/>
  <c r="R249" i="1" s="1"/>
  <c r="Q313" i="1" a="1"/>
  <c r="Q313" i="1" s="1"/>
  <c r="Q350" i="1" a="1"/>
  <c r="Q350" i="1" s="1"/>
  <c r="Q57" i="1" a="1"/>
  <c r="Q57" i="1" s="1"/>
  <c r="Q452" i="1" a="1"/>
  <c r="Q452" i="1" s="1"/>
  <c r="Q79" i="1" a="1"/>
  <c r="Q79" i="1" s="1"/>
  <c r="Q26" i="1" a="1"/>
  <c r="Q26" i="1" s="1"/>
  <c r="Q276" i="1" a="1"/>
  <c r="Q276" i="1" s="1"/>
  <c r="Q172" i="1" a="1"/>
  <c r="Q172" i="1" s="1"/>
  <c r="Q429" i="1" a="1"/>
  <c r="Q429" i="1" s="1"/>
  <c r="Q25" i="1" a="1"/>
  <c r="Q25" i="1" s="1"/>
  <c r="Q474" i="1" a="1"/>
  <c r="Q474" i="1" s="1"/>
  <c r="Q54" i="1" a="1"/>
  <c r="Q54" i="1" s="1"/>
  <c r="Q149" i="1" a="1"/>
  <c r="Q149" i="1" s="1"/>
  <c r="Q364" i="1" a="1"/>
  <c r="Q364" i="1" s="1"/>
  <c r="Q5" i="1" a="1"/>
  <c r="Q5" i="1" s="1"/>
  <c r="Q287" i="1" a="1"/>
  <c r="Q287" i="1" s="1"/>
  <c r="Q150" i="1" a="1"/>
  <c r="Q150" i="1" s="1"/>
  <c r="Q102" i="1" a="1"/>
  <c r="Q102" i="1" s="1"/>
  <c r="Q446" i="1" a="1"/>
  <c r="Q446" i="1" s="1"/>
  <c r="Q217" i="1" a="1"/>
  <c r="Q217" i="1" s="1"/>
  <c r="Q124" i="1" a="1"/>
  <c r="Q124" i="1" s="1"/>
  <c r="Q334" i="1" a="1"/>
  <c r="Q334" i="1" s="1"/>
  <c r="Q98" i="1" a="1"/>
  <c r="Q98" i="1" s="1"/>
  <c r="Q379" i="1" a="1"/>
  <c r="Q379" i="1" s="1"/>
  <c r="Q372" i="1" a="1"/>
  <c r="Q372" i="1" s="1"/>
  <c r="Q290" i="1" a="1"/>
  <c r="Q290" i="1" s="1"/>
  <c r="Q65" i="1" a="1"/>
  <c r="Q65" i="1" s="1"/>
  <c r="Q356" i="1" a="1"/>
  <c r="Q356" i="1" s="1"/>
  <c r="Q431" i="1" a="1"/>
  <c r="Q431" i="1" s="1"/>
  <c r="Q302" i="1" a="1"/>
  <c r="Q302" i="1" s="1"/>
  <c r="Q7" i="1" a="1"/>
  <c r="Q7" i="1" s="1"/>
  <c r="Q336" i="1" a="1"/>
  <c r="Q336" i="1" s="1"/>
  <c r="Q432" i="1" a="1"/>
  <c r="Q432" i="1" s="1"/>
  <c r="Q202" i="1" a="1"/>
  <c r="Q202" i="1" s="1"/>
  <c r="Q237" i="1" a="1"/>
  <c r="Q237" i="1" s="1"/>
  <c r="Q499" i="1" a="1"/>
  <c r="Q499" i="1" s="1"/>
  <c r="Q173" i="1" a="1"/>
  <c r="Q173" i="1" s="1"/>
  <c r="Q440" i="1" a="1"/>
  <c r="Q440" i="1" s="1"/>
  <c r="Q402" i="1" a="1"/>
  <c r="Q402" i="1" s="1"/>
  <c r="Q461" i="1" a="1"/>
  <c r="Q461" i="1" s="1"/>
  <c r="Q477" i="1" a="1"/>
  <c r="Q477" i="1" s="1"/>
  <c r="Q433" i="1" a="1"/>
  <c r="Q433" i="1" s="1"/>
  <c r="Q59" i="1" a="1"/>
  <c r="Q59" i="1" s="1"/>
  <c r="Q306" i="1" a="1"/>
  <c r="Q306" i="1" s="1"/>
  <c r="Q252" i="1" a="1"/>
  <c r="Q252" i="1" s="1"/>
  <c r="Q309" i="1" a="1"/>
  <c r="Q309" i="1" s="1"/>
  <c r="Q288" i="1" a="1"/>
  <c r="Q288" i="1" s="1"/>
  <c r="Q72" i="1" a="1"/>
  <c r="Q72" i="1" s="1"/>
  <c r="Q413" i="1" a="1"/>
  <c r="Q413" i="1" s="1"/>
  <c r="Q298" i="1" a="1"/>
  <c r="Q298" i="1" s="1"/>
  <c r="Q345" i="1" a="1"/>
  <c r="Q345" i="1" s="1"/>
  <c r="Q20" i="1" a="1"/>
  <c r="Q20" i="1" s="1"/>
  <c r="Q218" i="1" a="1"/>
  <c r="Q218" i="1" s="1"/>
  <c r="Q63" i="1" a="1"/>
  <c r="Q63" i="1" s="1"/>
  <c r="Q418" i="1" a="1"/>
  <c r="Q418" i="1" s="1"/>
  <c r="Q286" i="1" a="1"/>
  <c r="Q286" i="1" s="1"/>
  <c r="Q307" i="1" a="1"/>
  <c r="Q307" i="1" s="1"/>
  <c r="Q239" i="1" a="1"/>
  <c r="Q239" i="1" s="1"/>
  <c r="Q62" i="1" a="1"/>
  <c r="Q62" i="1" s="1"/>
  <c r="Q120" i="1" a="1"/>
  <c r="Q120" i="1" s="1"/>
  <c r="Q114" i="1" a="1"/>
  <c r="Q114" i="1" s="1"/>
  <c r="Q170" i="1" a="1"/>
  <c r="Q170" i="1" s="1"/>
  <c r="Q200" i="1" a="1"/>
  <c r="Q200" i="1" s="1"/>
  <c r="Q348" i="1" a="1"/>
  <c r="Q348" i="1" s="1"/>
  <c r="Q285" i="1" a="1"/>
  <c r="Q285" i="1" s="1"/>
  <c r="Q269" i="1" a="1"/>
  <c r="Q269" i="1" s="1"/>
  <c r="Q158" i="1" a="1"/>
  <c r="Q158" i="1" s="1"/>
  <c r="Q480" i="1" a="1"/>
  <c r="Q480" i="1" s="1"/>
  <c r="Q383" i="1" a="1"/>
  <c r="Q383" i="1" s="1"/>
  <c r="Q46" i="1" a="1"/>
  <c r="Q46" i="1" s="1"/>
  <c r="Q145" i="1" a="1"/>
  <c r="Q145" i="1" s="1"/>
  <c r="Q32" i="1" a="1"/>
  <c r="Q32" i="1" s="1"/>
  <c r="Q221" i="1" a="1"/>
  <c r="Q221" i="1" s="1"/>
  <c r="Q324" i="1" a="1"/>
  <c r="Q324" i="1" s="1"/>
  <c r="Q497" i="1" a="1"/>
  <c r="Q497" i="1" s="1"/>
  <c r="Q460" i="1" a="1"/>
  <c r="Q460" i="1" s="1"/>
  <c r="Q10" i="1" a="1"/>
  <c r="Q10" i="1" s="1"/>
  <c r="Q284" i="1" a="1"/>
  <c r="Q284" i="1" s="1"/>
  <c r="Q130" i="1" a="1"/>
  <c r="Q130" i="1" s="1"/>
  <c r="Q101" i="1" a="1"/>
  <c r="Q101" i="1" s="1"/>
  <c r="Q154" i="1" a="1"/>
  <c r="Q154" i="1" s="1"/>
  <c r="Q442" i="1" a="1"/>
  <c r="Q442" i="1" s="1"/>
  <c r="Q184" i="1" a="1"/>
  <c r="Q184" i="1" s="1"/>
  <c r="Q253" i="1" a="1"/>
  <c r="Q253" i="1" s="1"/>
  <c r="Q191" i="1" a="1"/>
  <c r="Q191" i="1" s="1"/>
  <c r="Q492" i="1" a="1"/>
  <c r="Q492" i="1" s="1"/>
  <c r="Q214" i="1" a="1"/>
  <c r="Q214" i="1" s="1"/>
  <c r="Q16" i="1" a="1"/>
  <c r="Q16" i="1" s="1"/>
  <c r="Q87" i="1" a="1"/>
  <c r="Q87" i="1" s="1"/>
  <c r="Q374" i="1" a="1"/>
  <c r="Q374" i="1" s="1"/>
  <c r="Q123" i="1" a="1"/>
  <c r="Q123" i="1" s="1"/>
  <c r="Q342" i="1" a="1"/>
  <c r="Q342" i="1" s="1"/>
  <c r="Q323" i="1" a="1"/>
  <c r="Q323" i="1" s="1"/>
  <c r="Q186" i="1" a="1"/>
  <c r="Q186" i="1" s="1"/>
  <c r="Q260" i="1" a="1"/>
  <c r="Q260" i="1" s="1"/>
  <c r="Q478" i="1" a="1"/>
  <c r="Q478" i="1" s="1"/>
  <c r="Q34" i="1" a="1"/>
  <c r="Q34" i="1" s="1"/>
  <c r="Q403" i="1" a="1"/>
  <c r="Q403" i="1" s="1"/>
  <c r="Q265" i="1" a="1"/>
  <c r="Q265" i="1" s="1"/>
  <c r="Q199" i="1" a="1"/>
  <c r="Q199" i="1" s="1"/>
  <c r="Q465" i="1" a="1"/>
  <c r="Q465" i="1" s="1"/>
  <c r="Q153" i="1" a="1"/>
  <c r="Q153" i="1" s="1"/>
  <c r="Q37" i="1" a="1"/>
  <c r="Q37" i="1" s="1"/>
  <c r="Q396" i="1" a="1"/>
  <c r="Q396" i="1" s="1"/>
  <c r="Q385" i="1" a="1"/>
  <c r="Q385" i="1" s="1"/>
  <c r="Q367" i="1" a="1"/>
  <c r="Q367" i="1" s="1"/>
  <c r="Q177" i="1" a="1"/>
  <c r="Q177" i="1" s="1"/>
  <c r="Q484" i="1" a="1"/>
  <c r="Q484" i="1" s="1"/>
  <c r="Q71" i="1" a="1"/>
  <c r="Q71" i="1" s="1"/>
  <c r="Q275" i="1" a="1"/>
  <c r="Q275" i="1" s="1"/>
  <c r="Q462" i="1" a="1"/>
  <c r="Q462" i="1" s="1"/>
  <c r="Q261" i="1" a="1"/>
  <c r="Q261" i="1" s="1"/>
  <c r="Q318" i="1" a="1"/>
  <c r="Q318" i="1" s="1"/>
  <c r="Q171" i="1" a="1"/>
  <c r="Q171" i="1" s="1"/>
  <c r="Q125" i="1" a="1"/>
  <c r="Q125" i="1" s="1"/>
  <c r="Q278" i="1" a="1"/>
  <c r="Q278" i="1" s="1"/>
  <c r="Q247" i="1" a="1"/>
  <c r="Q247" i="1" s="1"/>
  <c r="Q279" i="1" a="1"/>
  <c r="Q279" i="1" s="1"/>
  <c r="Q190" i="1" a="1"/>
  <c r="Q190" i="1" s="1"/>
  <c r="Q183" i="1" a="1"/>
  <c r="Q183" i="1" s="1"/>
  <c r="Q151" i="1" a="1"/>
  <c r="Q151" i="1" s="1"/>
  <c r="Q330" i="1" a="1"/>
  <c r="Q330" i="1" s="1"/>
  <c r="Q14" i="1" a="1"/>
  <c r="Q14" i="1" s="1"/>
  <c r="Q407" i="1" a="1"/>
  <c r="Q407" i="1" s="1"/>
  <c r="Q438" i="1" a="1"/>
  <c r="Q438" i="1" s="1"/>
  <c r="Q135" i="1" a="1"/>
  <c r="Q135" i="1" s="1"/>
  <c r="Q250" i="1" a="1"/>
  <c r="Q250" i="1" s="1"/>
  <c r="Q417" i="1" a="1"/>
  <c r="Q417" i="1" s="1"/>
  <c r="Q129" i="1" a="1"/>
  <c r="Q129" i="1" s="1"/>
  <c r="Q457" i="1" a="1"/>
  <c r="Q457" i="1" s="1"/>
  <c r="Q6" i="1" a="1"/>
  <c r="Q6" i="1" s="1"/>
  <c r="Q203" i="1" a="1"/>
  <c r="Q203" i="1" s="1"/>
  <c r="Q355" i="1" a="1"/>
  <c r="Q355" i="1" s="1"/>
  <c r="Q210" i="1" a="1"/>
  <c r="Q210" i="1" s="1"/>
  <c r="Q271" i="1" a="1"/>
  <c r="Q271" i="1" s="1"/>
  <c r="Q127" i="1" a="1"/>
  <c r="Q127" i="1" s="1"/>
  <c r="Q220" i="1" a="1"/>
  <c r="Q220" i="1" s="1"/>
  <c r="Q249" i="1" a="1"/>
  <c r="Q249" i="1" s="1"/>
  <c r="Q391" i="1" a="1"/>
  <c r="Q391" i="1" s="1"/>
  <c r="Q485" i="1" a="1"/>
  <c r="Q485" i="1" s="1"/>
  <c r="Q420" i="1" a="1"/>
  <c r="Q420" i="1" s="1"/>
  <c r="Q319" i="1" a="1"/>
  <c r="Q319" i="1" s="1"/>
  <c r="Q308" i="1" a="1"/>
  <c r="Q308" i="1" s="1"/>
  <c r="Q3" i="1" a="1"/>
  <c r="Q3" i="1" s="1"/>
  <c r="Q96" i="1" a="1"/>
  <c r="Q96" i="1" s="1"/>
  <c r="Q99" i="1" a="1"/>
  <c r="Q99" i="1" s="1"/>
  <c r="Q163" i="1" a="1"/>
  <c r="Q163" i="1" s="1"/>
  <c r="Q109" i="1" a="1"/>
  <c r="Q109" i="1" s="1"/>
  <c r="Q410" i="1" a="1"/>
  <c r="Q410" i="1" s="1"/>
  <c r="Q222" i="1" a="1"/>
  <c r="Q222" i="1" s="1"/>
  <c r="Q400" i="1" a="1"/>
  <c r="Q400" i="1" s="1"/>
  <c r="Q487" i="1" a="1"/>
  <c r="Q487" i="1" s="1"/>
  <c r="Q416" i="1" a="1"/>
  <c r="Q416" i="1" s="1"/>
  <c r="Q94" i="1" a="1"/>
  <c r="Q94" i="1" s="1"/>
  <c r="Q196" i="1" a="1"/>
  <c r="Q196" i="1" s="1"/>
  <c r="Q17" i="1" a="1"/>
  <c r="Q17" i="1" s="1"/>
  <c r="Q467" i="1" a="1"/>
  <c r="Q467" i="1" s="1"/>
  <c r="Q106" i="1" a="1"/>
  <c r="Q106" i="1" s="1"/>
  <c r="Q219" i="1" a="1"/>
  <c r="Q219" i="1" s="1"/>
  <c r="Q243" i="1" a="1"/>
  <c r="Q243" i="1" s="1"/>
  <c r="Q426" i="1" a="1"/>
  <c r="Q426" i="1" s="1"/>
  <c r="Q152" i="1" a="1"/>
  <c r="Q152" i="1" s="1"/>
  <c r="Q486" i="1" a="1"/>
  <c r="Q486" i="1" s="1"/>
  <c r="Q15" i="1" a="1"/>
  <c r="Q15" i="1" s="1"/>
  <c r="Q224" i="1" a="1"/>
  <c r="Q224" i="1" s="1"/>
  <c r="Q238" i="1" a="1"/>
  <c r="Q238" i="1" s="1"/>
  <c r="Q380" i="1" a="1"/>
  <c r="Q380" i="1" s="1"/>
  <c r="Q360" i="1" a="1"/>
  <c r="Q360" i="1" s="1"/>
  <c r="Q335" i="1" a="1"/>
  <c r="Q335" i="1" s="1"/>
  <c r="Q205" i="1" a="1"/>
  <c r="Q205" i="1" s="1"/>
  <c r="Q13" i="1" a="1"/>
  <c r="Q13" i="1" s="1"/>
  <c r="Q259" i="1" a="1"/>
  <c r="Q259" i="1" s="1"/>
  <c r="Q393" i="1" a="1"/>
  <c r="Q393" i="1" s="1"/>
  <c r="Q164" i="1" a="1"/>
  <c r="Q164" i="1" s="1"/>
  <c r="Q406" i="1" a="1"/>
  <c r="Q406" i="1" s="1"/>
  <c r="Q471" i="1" a="1"/>
  <c r="Q471" i="1" s="1"/>
  <c r="Q69" i="1" a="1"/>
  <c r="Q69" i="1" s="1"/>
  <c r="Q100" i="1" a="1"/>
  <c r="Q100" i="1" s="1"/>
  <c r="Q428" i="1" a="1"/>
  <c r="Q428" i="1" s="1"/>
  <c r="Q378" i="1" a="1"/>
  <c r="Q378" i="1" s="1"/>
  <c r="Q422" i="1" a="1"/>
  <c r="Q422" i="1" s="1"/>
  <c r="Q77" i="1" a="1"/>
  <c r="Q77" i="1" s="1"/>
  <c r="Q131" i="1" a="1"/>
  <c r="Q131" i="1" s="1"/>
  <c r="Q316" i="1" a="1"/>
  <c r="Q316" i="1" s="1"/>
  <c r="Q382" i="1" a="1"/>
  <c r="Q382" i="1" s="1"/>
  <c r="Q235" i="1" a="1"/>
  <c r="Q235" i="1" s="1"/>
  <c r="Q266" i="1" a="1"/>
  <c r="Q266" i="1" s="1"/>
  <c r="Q132" i="1" a="1"/>
  <c r="Q132" i="1" s="1"/>
  <c r="Q414" i="1" a="1"/>
  <c r="Q414" i="1" s="1"/>
  <c r="Q67" i="1" a="1"/>
  <c r="Q67" i="1" s="1"/>
  <c r="Q421" i="1" a="1"/>
  <c r="Q421" i="1" s="1"/>
  <c r="Q273" i="1" a="1"/>
  <c r="Q273" i="1" s="1"/>
  <c r="Q48" i="1" a="1"/>
  <c r="Q48" i="1" s="1"/>
  <c r="Q29" i="1" a="1"/>
  <c r="Q29" i="1" s="1"/>
  <c r="Q399" i="1" a="1"/>
  <c r="Q399" i="1" s="1"/>
  <c r="Q464" i="1" a="1"/>
  <c r="Q464" i="1" s="1"/>
  <c r="Q262" i="1" a="1"/>
  <c r="Q262" i="1" s="1"/>
  <c r="Q76" i="1" a="1"/>
  <c r="Q76" i="1" s="1"/>
  <c r="Q434" i="1" a="1"/>
  <c r="Q434" i="1" s="1"/>
  <c r="Q299" i="1" a="1"/>
  <c r="Q299" i="1" s="1"/>
  <c r="Q110" i="1" a="1"/>
  <c r="Q110" i="1" s="1"/>
  <c r="Q134" i="1" a="1"/>
  <c r="Q134" i="1" s="1"/>
  <c r="Q353" i="1" a="1"/>
  <c r="Q353" i="1" s="1"/>
  <c r="Q136" i="1" a="1"/>
  <c r="Q136" i="1" s="1"/>
  <c r="Q454" i="1" a="1"/>
  <c r="Q454" i="1" s="1"/>
  <c r="Q267" i="1" a="1"/>
  <c r="Q267" i="1" s="1"/>
  <c r="Q329" i="1" a="1"/>
  <c r="Q329" i="1" s="1"/>
  <c r="Q73" i="1" a="1"/>
  <c r="Q73" i="1" s="1"/>
  <c r="Q340" i="1" a="1"/>
  <c r="Q340" i="1" s="1"/>
  <c r="Q122" i="1" a="1"/>
  <c r="Q122" i="1" s="1"/>
  <c r="Q28" i="1" a="1"/>
  <c r="Q28" i="1" s="1"/>
  <c r="Q169" i="1" a="1"/>
  <c r="Q169" i="1" s="1"/>
  <c r="Q198" i="1" a="1"/>
  <c r="Q198" i="1" s="1"/>
  <c r="Q459" i="1" a="1"/>
  <c r="Q459" i="1" s="1"/>
  <c r="Q244" i="1" a="1"/>
  <c r="Q244" i="1" s="1"/>
  <c r="Q21" i="1" a="1"/>
  <c r="Q21" i="1" s="1"/>
  <c r="Q223" i="1" a="1"/>
  <c r="Q223" i="1" s="1"/>
  <c r="Q300" i="1" a="1"/>
  <c r="Q300" i="1" s="1"/>
  <c r="Q456" i="1" a="1"/>
  <c r="Q456" i="1" s="1"/>
  <c r="Q303" i="1" a="1"/>
  <c r="Q303" i="1" s="1"/>
  <c r="Q41" i="1" a="1"/>
  <c r="Q41" i="1" s="1"/>
  <c r="Q245" i="1" a="1"/>
  <c r="Q245" i="1" s="1"/>
  <c r="Q292" i="1" a="1"/>
  <c r="Q292" i="1" s="1"/>
  <c r="Q436" i="1" a="1"/>
  <c r="Q436" i="1" s="1"/>
  <c r="Q9" i="1" a="1"/>
  <c r="Q9" i="1" s="1"/>
  <c r="Q349" i="1" a="1"/>
  <c r="Q349" i="1" s="1"/>
  <c r="Q90" i="1" a="1"/>
  <c r="Q90" i="1" s="1"/>
  <c r="Q115" i="1" a="1"/>
  <c r="Q115" i="1" s="1"/>
  <c r="Q44" i="1" a="1"/>
  <c r="Q44" i="1" s="1"/>
  <c r="Q270" i="1" a="1"/>
  <c r="Q270" i="1" s="1"/>
  <c r="Q463" i="1" a="1"/>
  <c r="Q463" i="1" s="1"/>
  <c r="Q233" i="1" a="1"/>
  <c r="Q233" i="1" s="1"/>
  <c r="Q93" i="1" a="1"/>
  <c r="Q93" i="1" s="1"/>
  <c r="Q337" i="1" a="1"/>
  <c r="Q337" i="1" s="1"/>
  <c r="Q295" i="1" a="1"/>
  <c r="Q295" i="1" s="1"/>
  <c r="Q491" i="1" a="1"/>
  <c r="Q491" i="1" s="1"/>
  <c r="Q64" i="1" a="1"/>
  <c r="Q64" i="1" s="1"/>
  <c r="Q42" i="1" a="1"/>
  <c r="Q42" i="1" s="1"/>
  <c r="Q55" i="1" a="1"/>
  <c r="Q55" i="1" s="1"/>
  <c r="Q483" i="1" a="1"/>
  <c r="Q483" i="1" s="1"/>
  <c r="Q232" i="1" a="1"/>
  <c r="Q232" i="1" s="1"/>
  <c r="Q344" i="1" a="1"/>
  <c r="Q344" i="1" s="1"/>
  <c r="Q86" i="1" a="1"/>
  <c r="Q86" i="1" s="1"/>
  <c r="Q468" i="1" a="1"/>
  <c r="Q468" i="1" s="1"/>
  <c r="Q489" i="1" a="1"/>
  <c r="Q489" i="1" s="1"/>
  <c r="Q143" i="1" a="1"/>
  <c r="Q143" i="1" s="1"/>
  <c r="Q405" i="1" a="1"/>
  <c r="Q405" i="1" s="1"/>
  <c r="Q112" i="1" a="1"/>
  <c r="Q112" i="1" s="1"/>
  <c r="Q227" i="1" a="1"/>
  <c r="Q227" i="1" s="1"/>
  <c r="Q192" i="1" a="1"/>
  <c r="Q192" i="1" s="1"/>
  <c r="Q359" i="1" a="1"/>
  <c r="Q359" i="1" s="1"/>
  <c r="Q373" i="1" a="1"/>
  <c r="Q373" i="1" s="1"/>
  <c r="Q415" i="1" a="1"/>
  <c r="Q415" i="1" s="1"/>
  <c r="Q481" i="1" a="1"/>
  <c r="Q481" i="1" s="1"/>
  <c r="Q458" i="1" a="1"/>
  <c r="Q458" i="1" s="1"/>
  <c r="Q156" i="1" a="1"/>
  <c r="Q156" i="1" s="1"/>
  <c r="Q435" i="1" a="1"/>
  <c r="Q435" i="1" s="1"/>
  <c r="Q31" i="1" a="1"/>
  <c r="Q31" i="1" s="1"/>
  <c r="Q207" i="1" a="1"/>
  <c r="Q207" i="1" s="1"/>
  <c r="Q236" i="1" a="1"/>
  <c r="Q236" i="1" s="1"/>
  <c r="Q354" i="1" a="1"/>
  <c r="Q354" i="1" s="1"/>
  <c r="Q242" i="1" a="1"/>
  <c r="Q242" i="1" s="1"/>
  <c r="Q240" i="1" a="1"/>
  <c r="Q240" i="1" s="1"/>
  <c r="Q448" i="1" a="1"/>
  <c r="Q448" i="1" s="1"/>
  <c r="Q311" i="1" a="1"/>
  <c r="Q311" i="1" s="1"/>
  <c r="Q148" i="1" a="1"/>
  <c r="Q148" i="1" s="1"/>
  <c r="Q358" i="1" a="1"/>
  <c r="Q358" i="1" s="1"/>
  <c r="Q322" i="1" a="1"/>
  <c r="Q322" i="1" s="1"/>
  <c r="Q119" i="1" a="1"/>
  <c r="Q119" i="1" s="1"/>
  <c r="Q321" i="1" a="1"/>
  <c r="Q321" i="1" s="1"/>
  <c r="Q157" i="1" a="1"/>
  <c r="Q157" i="1" s="1"/>
  <c r="Q60" i="1" a="1"/>
  <c r="Q60" i="1" s="1"/>
  <c r="Q304" i="1" a="1"/>
  <c r="Q304" i="1" s="1"/>
  <c r="Q166" i="1" a="1"/>
  <c r="Q166" i="1" s="1"/>
  <c r="Q35" i="1" a="1"/>
  <c r="Q35" i="1" s="1"/>
  <c r="Q204" i="1" a="1"/>
  <c r="Q204" i="1" s="1"/>
  <c r="Q111" i="1" a="1"/>
  <c r="Q111" i="1" s="1"/>
  <c r="Q4" i="1" a="1"/>
  <c r="Q4" i="1" s="1"/>
  <c r="Q376" i="1" a="1"/>
  <c r="Q376" i="1" s="1"/>
  <c r="Q228" i="1" a="1"/>
  <c r="Q228" i="1" s="1"/>
  <c r="Q168" i="1" a="1"/>
  <c r="Q168" i="1" s="1"/>
  <c r="Q212" i="1" a="1"/>
  <c r="Q212" i="1" s="1"/>
  <c r="Q211" i="1" a="1"/>
  <c r="Q211" i="1" s="1"/>
  <c r="Q58" i="1" a="1"/>
  <c r="Q58" i="1" s="1"/>
  <c r="Q118" i="1" a="1"/>
  <c r="Q118" i="1" s="1"/>
  <c r="Q291" i="1" a="1"/>
  <c r="Q291" i="1" s="1"/>
  <c r="Q470" i="1" a="1"/>
  <c r="Q470" i="1" s="1"/>
  <c r="Q66" i="1" a="1"/>
  <c r="Q66" i="1" s="1"/>
  <c r="Q49" i="1" a="1"/>
  <c r="Q49" i="1" s="1"/>
  <c r="Q281" i="1" a="1"/>
  <c r="Q281" i="1" s="1"/>
  <c r="Q188" i="1" a="1"/>
  <c r="Q188" i="1" s="1"/>
  <c r="Q296" i="1" a="1"/>
  <c r="Q296" i="1" s="1"/>
  <c r="Q189" i="1" a="1"/>
  <c r="Q189" i="1" s="1"/>
  <c r="Q423" i="1" a="1"/>
  <c r="Q423" i="1" s="1"/>
  <c r="Q91" i="1" a="1"/>
  <c r="Q91" i="1" s="1"/>
  <c r="Q27" i="1" a="1"/>
  <c r="Q27" i="1" s="1"/>
  <c r="Q176" i="1" a="1"/>
  <c r="Q176" i="1" s="1"/>
  <c r="Q257" i="1" a="1"/>
  <c r="Q257" i="1" s="1"/>
  <c r="Q117" i="1" a="1"/>
  <c r="Q117" i="1" s="1"/>
  <c r="Q56" i="1" a="1"/>
  <c r="Q56" i="1" s="1"/>
  <c r="Q479" i="1" a="1"/>
  <c r="Q479" i="1" s="1"/>
  <c r="Q392" i="1" a="1"/>
  <c r="Q392" i="1" s="1"/>
  <c r="Q22" i="1" a="1"/>
  <c r="Q22" i="1" s="1"/>
  <c r="Q201" i="1" a="1"/>
  <c r="Q201" i="1" s="1"/>
  <c r="Q371" i="1" a="1"/>
  <c r="Q371" i="1" s="1"/>
  <c r="Q193" i="1" a="1"/>
  <c r="Q193" i="1" s="1"/>
  <c r="Q315" i="1" a="1"/>
  <c r="Q315" i="1" s="1"/>
  <c r="Q88" i="1" a="1"/>
  <c r="Q88" i="1" s="1"/>
  <c r="Q113" i="1" a="1"/>
  <c r="Q113" i="1" s="1"/>
  <c r="Q161" i="1" a="1"/>
  <c r="Q161" i="1" s="1"/>
  <c r="Q395" i="1" a="1"/>
  <c r="Q395" i="1" s="1"/>
  <c r="Q496" i="1" a="1"/>
  <c r="Q496" i="1" s="1"/>
  <c r="Q264" i="1" a="1"/>
  <c r="Q264" i="1" s="1"/>
  <c r="Q326" i="1" a="1"/>
  <c r="Q326" i="1" s="1"/>
  <c r="Q351" i="1" a="1"/>
  <c r="Q351" i="1" s="1"/>
  <c r="Q272" i="1" a="1"/>
  <c r="Q272" i="1" s="1"/>
  <c r="Q187" i="1" a="1"/>
  <c r="Q187" i="1" s="1"/>
  <c r="Q162" i="1" a="1"/>
  <c r="Q162" i="1" s="1"/>
  <c r="Q389" i="1" a="1"/>
  <c r="Q389" i="1" s="1"/>
  <c r="Q411" i="1" a="1"/>
  <c r="Q411" i="1" s="1"/>
  <c r="Q116" i="1" a="1"/>
  <c r="Q116" i="1" s="1"/>
  <c r="Q366" i="1" a="1"/>
  <c r="Q366" i="1" s="1"/>
  <c r="Q495" i="1" a="1"/>
  <c r="Q495" i="1" s="1"/>
  <c r="Q447" i="1" a="1"/>
  <c r="Q447" i="1" s="1"/>
  <c r="Q138" i="1" a="1"/>
  <c r="Q138" i="1" s="1"/>
  <c r="Q449" i="1" a="1"/>
  <c r="Q449" i="1" s="1"/>
  <c r="Q397" i="1" a="1"/>
  <c r="Q397" i="1" s="1"/>
  <c r="Q24" i="1" a="1"/>
  <c r="Q24" i="1" s="1"/>
  <c r="Q11" i="1" a="1"/>
  <c r="Q11" i="1" s="1"/>
  <c r="Q314" i="1" a="1"/>
  <c r="Q314" i="1" s="1"/>
  <c r="Q175" i="1" a="1"/>
  <c r="Q175" i="1" s="1"/>
  <c r="Q346" i="1" a="1"/>
  <c r="Q346" i="1" s="1"/>
  <c r="Q70" i="1" a="1"/>
  <c r="Q70" i="1" s="1"/>
  <c r="Q338" i="1" a="1"/>
  <c r="Q338" i="1" s="1"/>
  <c r="Q408" i="1" a="1"/>
  <c r="Q408" i="1" s="1"/>
  <c r="Q289" i="1" a="1"/>
  <c r="Q289" i="1" s="1"/>
  <c r="Q128" i="1" a="1"/>
  <c r="Q128" i="1" s="1"/>
  <c r="Q427" i="1" a="1"/>
  <c r="Q427" i="1" s="1"/>
  <c r="Q339" i="1" a="1"/>
  <c r="Q339" i="1" s="1"/>
  <c r="Q466" i="1" a="1"/>
  <c r="Q466" i="1" s="1"/>
  <c r="Q19" i="1" a="1"/>
  <c r="Q19" i="1" s="1"/>
  <c r="Q394" i="1" a="1"/>
  <c r="Q394" i="1" s="1"/>
  <c r="Q370" i="1" a="1"/>
  <c r="Q370" i="1" s="1"/>
  <c r="Q206" i="1" a="1"/>
  <c r="Q206" i="1" s="1"/>
  <c r="Q347" i="1" a="1"/>
  <c r="Q347" i="1" s="1"/>
  <c r="Q61" i="1" a="1"/>
  <c r="Q61" i="1" s="1"/>
  <c r="Q18" i="1" a="1"/>
  <c r="Q18" i="1" s="1"/>
  <c r="Q78" i="1" a="1"/>
  <c r="Q78" i="1" s="1"/>
  <c r="Q80" i="1" a="1"/>
  <c r="Q80" i="1" s="1"/>
  <c r="Q2" i="1" a="1"/>
  <c r="Q2" i="1" s="1"/>
  <c r="Q441" i="1" a="1"/>
  <c r="Q441" i="1" s="1"/>
  <c r="Q341" i="1" a="1"/>
  <c r="Q341" i="1" s="1"/>
  <c r="Q36" i="1" a="1"/>
  <c r="Q36" i="1" s="1"/>
  <c r="Q181" i="1" a="1"/>
  <c r="Q181" i="1" s="1"/>
  <c r="Q377" i="1" a="1"/>
  <c r="Q377" i="1" s="1"/>
  <c r="Q282" i="1" a="1"/>
  <c r="Q282" i="1" s="1"/>
  <c r="Q182" i="1" a="1"/>
  <c r="Q182" i="1" s="1"/>
  <c r="Q398" i="1" a="1"/>
  <c r="Q398" i="1" s="1"/>
  <c r="Q229" i="1" a="1"/>
  <c r="Q229" i="1" s="1"/>
  <c r="Q137" i="1" a="1"/>
  <c r="Q137" i="1" s="1"/>
  <c r="Q297" i="1" a="1"/>
  <c r="Q297" i="1" s="1"/>
  <c r="Q52" i="1" a="1"/>
  <c r="Q52" i="1" s="1"/>
  <c r="Q388" i="1" a="1"/>
  <c r="Q388" i="1" s="1"/>
  <c r="Q369" i="1" a="1"/>
  <c r="Q369" i="1" s="1"/>
  <c r="Q352" i="1" a="1"/>
  <c r="Q352" i="1" s="1"/>
  <c r="Q147" i="1" a="1"/>
  <c r="Q147" i="1" s="1"/>
  <c r="Q255" i="1" a="1"/>
  <c r="Q255" i="1" s="1"/>
  <c r="Q332" i="1" a="1"/>
  <c r="Q332" i="1" s="1"/>
  <c r="Q234" i="1" a="1"/>
  <c r="Q234" i="1" s="1"/>
  <c r="Q43" i="1" a="1"/>
  <c r="Q43" i="1" s="1"/>
  <c r="Q493" i="1" a="1"/>
  <c r="Q493" i="1" s="1"/>
  <c r="Q455" i="1" a="1"/>
  <c r="Q455" i="1" s="1"/>
  <c r="Q384" i="1" a="1"/>
  <c r="Q384" i="1" s="1"/>
  <c r="Q328" i="1" a="1"/>
  <c r="Q328" i="1" s="1"/>
  <c r="Q160" i="1" a="1"/>
  <c r="Q160" i="1" s="1"/>
  <c r="Q246" i="1" a="1"/>
  <c r="Q246" i="1" s="1"/>
  <c r="Q82" i="1" a="1"/>
  <c r="Q82" i="1" s="1"/>
  <c r="Q361" i="1" a="1"/>
  <c r="Q361" i="1" s="1"/>
  <c r="Q141" i="1" a="1"/>
  <c r="Q141" i="1" s="1"/>
  <c r="Q146" i="1" a="1"/>
  <c r="Q146" i="1" s="1"/>
  <c r="Q386" i="1" a="1"/>
  <c r="Q386" i="1" s="1"/>
  <c r="Q473" i="1" a="1"/>
  <c r="Q473" i="1" s="1"/>
  <c r="Q126" i="1" a="1"/>
  <c r="Q126" i="1" s="1"/>
  <c r="Q488" i="1" a="1"/>
  <c r="Q488" i="1" s="1"/>
  <c r="Q357" i="1" a="1"/>
  <c r="Q357" i="1" s="1"/>
  <c r="Q327" i="1" a="1"/>
  <c r="Q327" i="1" s="1"/>
  <c r="Q75" i="1" a="1"/>
  <c r="Q75" i="1" s="1"/>
  <c r="Q241" i="1" a="1"/>
  <c r="Q241" i="1" s="1"/>
  <c r="Q294" i="1" a="1"/>
  <c r="Q294" i="1" s="1"/>
  <c r="Q121" i="1" a="1"/>
  <c r="Q121" i="1" s="1"/>
  <c r="Q343" i="1" a="1"/>
  <c r="Q343" i="1" s="1"/>
  <c r="Q444" i="1" a="1"/>
  <c r="Q444" i="1" s="1"/>
  <c r="Q144" i="1" a="1"/>
  <c r="Q144" i="1" s="1"/>
  <c r="Q197" i="1" a="1"/>
  <c r="Q197" i="1" s="1"/>
  <c r="Q83" i="1" a="1"/>
  <c r="Q83" i="1" s="1"/>
  <c r="Q293" i="1" a="1"/>
  <c r="Q293" i="1" s="1"/>
  <c r="Q437" i="1" a="1"/>
  <c r="Q437" i="1" s="1"/>
  <c r="Q107" i="1" a="1"/>
  <c r="Q107" i="1" s="1"/>
  <c r="Q105" i="1" a="1"/>
  <c r="Q105" i="1" s="1"/>
  <c r="Q40" i="1" a="1"/>
  <c r="Q40" i="1" s="1"/>
  <c r="Q387" i="1" a="1"/>
  <c r="Q387" i="1" s="1"/>
  <c r="Q226" i="1" a="1"/>
  <c r="Q226" i="1" s="1"/>
  <c r="Q301" i="1" a="1"/>
  <c r="Q301" i="1" s="1"/>
  <c r="Q89" i="1" a="1"/>
  <c r="Q89" i="1" s="1"/>
  <c r="Q251" i="1" a="1"/>
  <c r="Q251" i="1" s="1"/>
  <c r="Q74" i="1" a="1"/>
  <c r="Q74" i="1" s="1"/>
  <c r="Q317" i="1" a="1"/>
  <c r="Q317" i="1" s="1"/>
  <c r="Q277" i="1" a="1"/>
  <c r="Q277" i="1" s="1"/>
  <c r="Q45" i="1" a="1"/>
  <c r="Q45" i="1" s="1"/>
  <c r="Q47" i="1" a="1"/>
  <c r="Q47" i="1" s="1"/>
  <c r="Q283" i="1" a="1"/>
  <c r="Q283" i="1" s="1"/>
  <c r="Q451" i="1" a="1"/>
  <c r="Q451" i="1" s="1"/>
  <c r="Q305" i="1" a="1"/>
  <c r="Q305" i="1" s="1"/>
  <c r="Q142" i="1" a="1"/>
  <c r="Q142" i="1" s="1"/>
  <c r="Q179" i="1" a="1"/>
  <c r="Q179" i="1" s="1"/>
  <c r="Q363" i="1" a="1"/>
  <c r="Q363" i="1" s="1"/>
  <c r="Q280" i="1" a="1"/>
  <c r="Q280" i="1" s="1"/>
  <c r="Q195" i="1" a="1"/>
  <c r="Q195" i="1" s="1"/>
  <c r="Q39" i="1" a="1"/>
  <c r="Q39" i="1" s="1"/>
  <c r="Q165" i="1" a="1"/>
  <c r="Q165" i="1" s="1"/>
  <c r="Q443" i="1" a="1"/>
  <c r="Q443" i="1" s="1"/>
  <c r="Q167" i="1" a="1"/>
  <c r="Q167" i="1" s="1"/>
  <c r="Q390" i="1" a="1"/>
  <c r="Q390" i="1" s="1"/>
  <c r="Q104" i="1" a="1"/>
  <c r="Q104" i="1" s="1"/>
  <c r="Q194" i="1" a="1"/>
  <c r="Q194" i="1" s="1"/>
  <c r="Q140" i="1" a="1"/>
  <c r="Q140" i="1" s="1"/>
  <c r="Q482" i="1" a="1"/>
  <c r="Q482" i="1" s="1"/>
  <c r="Q215" i="1" a="1"/>
  <c r="Q215" i="1" s="1"/>
  <c r="Q248" i="1" a="1"/>
  <c r="Q248" i="1" s="1"/>
  <c r="Q225" i="1" a="1"/>
  <c r="Q225" i="1" s="1"/>
  <c r="Q498" i="1" a="1"/>
  <c r="Q498" i="1" s="1"/>
  <c r="Q50" i="1" a="1"/>
  <c r="Q50" i="1" s="1"/>
  <c r="Q331" i="1" a="1"/>
  <c r="Q331" i="1" s="1"/>
  <c r="Q453" i="1" a="1"/>
  <c r="Q453" i="1" s="1"/>
  <c r="Q84" i="1" a="1"/>
  <c r="Q84" i="1" s="1"/>
  <c r="Q231" i="1" a="1"/>
  <c r="Q231" i="1" s="1"/>
  <c r="Q424" i="1" a="1"/>
  <c r="Q424" i="1" s="1"/>
  <c r="Q425" i="1" a="1"/>
  <c r="Q425" i="1" s="1"/>
  <c r="Q472" i="1" a="1"/>
  <c r="Q472" i="1" s="1"/>
  <c r="Q155" i="1" a="1"/>
  <c r="Q155" i="1" s="1"/>
  <c r="Q500" i="1" a="1"/>
  <c r="Q500" i="1" s="1"/>
  <c r="Q268" i="1" a="1"/>
  <c r="Q268" i="1" s="1"/>
  <c r="Q490" i="1" a="1"/>
  <c r="Q490" i="1" s="1"/>
  <c r="Q23" i="1" a="1"/>
  <c r="Q23" i="1" s="1"/>
  <c r="Q333" i="1" a="1"/>
  <c r="Q333" i="1" s="1"/>
  <c r="Q51" i="1" a="1"/>
  <c r="Q51" i="1" s="1"/>
  <c r="Q97" i="1" a="1"/>
  <c r="Q97" i="1" s="1"/>
  <c r="Q133" i="1" a="1"/>
  <c r="Q133" i="1" s="1"/>
  <c r="Q310" i="1" a="1"/>
  <c r="Q310" i="1" s="1"/>
  <c r="Q180" i="1" a="1"/>
  <c r="Q180" i="1" s="1"/>
  <c r="Q362" i="1" a="1"/>
  <c r="Q362" i="1" s="1"/>
  <c r="Q8" i="1" a="1"/>
  <c r="Q8" i="1" s="1"/>
  <c r="Q312" i="1" a="1"/>
  <c r="Q312" i="1" s="1"/>
  <c r="Q404" i="1" a="1"/>
  <c r="Q404" i="1" s="1"/>
  <c r="Q325" i="1" a="1"/>
  <c r="Q325" i="1" s="1"/>
  <c r="Q213" i="1" a="1"/>
  <c r="Q213" i="1" s="1"/>
  <c r="Q174" i="1" a="1"/>
  <c r="Q174" i="1" s="1"/>
  <c r="Q185" i="1" a="1"/>
  <c r="Q185" i="1" s="1"/>
  <c r="Q469" i="1" a="1"/>
  <c r="Q469" i="1" s="1"/>
  <c r="Q445" i="1" a="1"/>
  <c r="Q445" i="1" s="1"/>
  <c r="Q430" i="1" a="1"/>
  <c r="Q430" i="1" s="1"/>
  <c r="Q258" i="1" a="1"/>
  <c r="Q258" i="1" s="1"/>
  <c r="Q401" i="1" a="1"/>
  <c r="Q401" i="1" s="1"/>
  <c r="Q368" i="1" a="1"/>
  <c r="Q368" i="1" s="1"/>
  <c r="Q263" i="1" a="1"/>
  <c r="Q263" i="1" s="1"/>
  <c r="Q256" i="1" a="1"/>
  <c r="Q256" i="1" s="1"/>
  <c r="Q375" i="1" a="1"/>
  <c r="Q375" i="1" s="1"/>
  <c r="Q68" i="1" a="1"/>
  <c r="Q68" i="1" s="1"/>
  <c r="Q450" i="1" a="1"/>
  <c r="Q450" i="1" s="1"/>
  <c r="Q95" i="1" a="1"/>
  <c r="Q95" i="1" s="1"/>
  <c r="Q33" i="1" a="1"/>
  <c r="Q33" i="1" s="1"/>
  <c r="Q108" i="1" a="1"/>
  <c r="Q108" i="1" s="1"/>
  <c r="Q178" i="1" a="1"/>
  <c r="Q178" i="1" s="1"/>
  <c r="Q274" i="1" a="1"/>
  <c r="Q274" i="1" s="1"/>
  <c r="Q30" i="1" a="1"/>
  <c r="Q30" i="1" s="1"/>
  <c r="Q494" i="1" a="1"/>
  <c r="Q494" i="1" s="1"/>
  <c r="Q475" i="1" a="1"/>
  <c r="Q475" i="1" s="1"/>
  <c r="Q419" i="1" a="1"/>
  <c r="Q419" i="1" s="1"/>
  <c r="Q81" i="1" a="1"/>
  <c r="Q81" i="1" s="1"/>
  <c r="Q92" i="1" a="1"/>
  <c r="Q92" i="1" s="1"/>
  <c r="Q103" i="1" a="1"/>
  <c r="Q103" i="1" s="1"/>
  <c r="Q409" i="1" a="1"/>
  <c r="Q409" i="1" s="1"/>
  <c r="Q208" i="1" a="1"/>
  <c r="Q208" i="1" s="1"/>
  <c r="Q216" i="1" a="1"/>
  <c r="Q216" i="1" s="1"/>
  <c r="Q439" i="1" a="1"/>
  <c r="Q439" i="1" s="1"/>
  <c r="Q139" i="1" a="1"/>
  <c r="Q139" i="1" s="1"/>
  <c r="Q38" i="1" a="1"/>
  <c r="Q38" i="1" s="1"/>
  <c r="Q365" i="1" a="1"/>
  <c r="Q365" i="1" s="1"/>
  <c r="Q230" i="1" a="1"/>
  <c r="Q230" i="1" s="1"/>
  <c r="Q159" i="1" a="1"/>
  <c r="Q159" i="1" s="1"/>
  <c r="Q254" i="1" a="1"/>
  <c r="Q254" i="1" s="1"/>
  <c r="Q320" i="1" a="1"/>
  <c r="Q320" i="1" s="1"/>
  <c r="Q381" i="1" a="1"/>
  <c r="Q381" i="1" s="1"/>
  <c r="Q12" i="1" a="1"/>
  <c r="Q12" i="1" s="1"/>
  <c r="Q209" i="1" a="1"/>
  <c r="Q209" i="1" s="1"/>
  <c r="Q85" i="1" a="1"/>
  <c r="Q85" i="1" s="1"/>
  <c r="Q53" i="1" a="1"/>
  <c r="Q53" i="1" s="1"/>
  <c r="Q476" i="1" a="1"/>
  <c r="Q476" i="1" s="1"/>
  <c r="P476" i="1" a="1"/>
  <c r="P476" i="1" s="1"/>
  <c r="P492" i="1" a="1"/>
  <c r="P492" i="1" s="1"/>
  <c r="P214" i="1" a="1"/>
  <c r="P214" i="1" s="1"/>
  <c r="P121" i="1" a="1"/>
  <c r="P121" i="1" s="1"/>
  <c r="P354" i="1" a="1"/>
  <c r="P354" i="1" s="1"/>
  <c r="P210" i="1" a="1"/>
  <c r="P210" i="1" s="1"/>
  <c r="P393" i="1" a="1"/>
  <c r="P393" i="1" s="1"/>
  <c r="P59" i="1" a="1"/>
  <c r="P59" i="1" s="1"/>
  <c r="P53" i="1" a="1"/>
  <c r="P53" i="1" s="1"/>
  <c r="P433" i="1" a="1"/>
  <c r="P433" i="1" s="1"/>
  <c r="P223" i="1" a="1"/>
  <c r="P223" i="1" s="1"/>
  <c r="P355" i="1" a="1"/>
  <c r="P355" i="1" s="1"/>
  <c r="P203" i="1" a="1"/>
  <c r="P203" i="1" s="1"/>
  <c r="P244" i="1" a="1"/>
  <c r="P244" i="1" s="1"/>
  <c r="P21" i="1" a="1"/>
  <c r="P21" i="1" s="1"/>
  <c r="P85" i="1" a="1"/>
  <c r="P85" i="1" s="1"/>
  <c r="P6" i="1" a="1"/>
  <c r="P6" i="1" s="1"/>
  <c r="P88" i="1" a="1"/>
  <c r="P88" i="1" s="1"/>
  <c r="P13" i="1" a="1"/>
  <c r="P13" i="1" s="1"/>
  <c r="P253" i="1" a="1"/>
  <c r="P253" i="1" s="1"/>
  <c r="P209" i="1" a="1"/>
  <c r="P209" i="1" s="1"/>
  <c r="P259" i="1" a="1"/>
  <c r="P259" i="1" s="1"/>
  <c r="P169" i="1" a="1"/>
  <c r="P169" i="1" s="1"/>
  <c r="P198" i="1" a="1"/>
  <c r="P198" i="1" s="1"/>
  <c r="P191" i="1" a="1"/>
  <c r="P191" i="1" s="1"/>
  <c r="P459" i="1" a="1"/>
  <c r="P459" i="1" s="1"/>
  <c r="P294" i="1" a="1"/>
  <c r="P294" i="1" s="1"/>
  <c r="P236" i="1" a="1"/>
  <c r="P236" i="1" s="1"/>
  <c r="P490" i="1" a="1"/>
  <c r="P490" i="1" s="1"/>
  <c r="P12" i="1" a="1"/>
  <c r="P12" i="1" s="1"/>
  <c r="P28" i="1" a="1"/>
  <c r="P28" i="1" s="1"/>
  <c r="P477" i="1" a="1"/>
  <c r="P477" i="1" s="1"/>
  <c r="P402" i="1" a="1"/>
  <c r="P402" i="1" s="1"/>
  <c r="P360" i="1" a="1"/>
  <c r="P360" i="1" s="1"/>
  <c r="P461" i="1" a="1"/>
  <c r="P461" i="1" s="1"/>
  <c r="P335" i="1" a="1"/>
  <c r="P335" i="1" s="1"/>
  <c r="P155" i="1" a="1"/>
  <c r="P155" i="1" s="1"/>
  <c r="P500" i="1" a="1"/>
  <c r="P500" i="1" s="1"/>
  <c r="P315" i="1" a="1"/>
  <c r="P315" i="1" s="1"/>
  <c r="P207" i="1" a="1"/>
  <c r="P207" i="1" s="1"/>
  <c r="P205" i="1" a="1"/>
  <c r="P205" i="1" s="1"/>
  <c r="P268" i="1" a="1"/>
  <c r="P268" i="1" s="1"/>
  <c r="P193" i="1" a="1"/>
  <c r="P193" i="1" s="1"/>
  <c r="P238" i="1" a="1"/>
  <c r="P238" i="1" s="1"/>
  <c r="P472" i="1" a="1"/>
  <c r="P472" i="1" s="1"/>
  <c r="P440" i="1" a="1"/>
  <c r="P440" i="1" s="1"/>
  <c r="P129" i="1" a="1"/>
  <c r="P129" i="1" s="1"/>
  <c r="P73" i="1" a="1"/>
  <c r="P73" i="1" s="1"/>
  <c r="P340" i="1" a="1"/>
  <c r="P340" i="1" s="1"/>
  <c r="P184" i="1" a="1"/>
  <c r="P184" i="1" s="1"/>
  <c r="P122" i="1" a="1"/>
  <c r="P122" i="1" s="1"/>
  <c r="P457" i="1" a="1"/>
  <c r="P457" i="1" s="1"/>
  <c r="P380" i="1" a="1"/>
  <c r="P380" i="1" s="1"/>
  <c r="P201" i="1" a="1"/>
  <c r="P201" i="1" s="1"/>
  <c r="P371" i="1" a="1"/>
  <c r="P371" i="1" s="1"/>
  <c r="P31" i="1" a="1"/>
  <c r="P31" i="1" s="1"/>
  <c r="P442" i="1" a="1"/>
  <c r="P442" i="1" s="1"/>
  <c r="P381" i="1" a="1"/>
  <c r="P381" i="1" s="1"/>
  <c r="P173" i="1" a="1"/>
  <c r="P173" i="1" s="1"/>
  <c r="P241" i="1" a="1"/>
  <c r="P241" i="1" s="1"/>
  <c r="P22" i="1" a="1"/>
  <c r="P22" i="1" s="1"/>
  <c r="P154" i="1" a="1"/>
  <c r="P154" i="1" s="1"/>
  <c r="P425" i="1" a="1"/>
  <c r="P425" i="1" s="1"/>
  <c r="P320" i="1" a="1"/>
  <c r="P320" i="1" s="1"/>
  <c r="P78" i="1" a="1"/>
  <c r="P78" i="1" s="1"/>
  <c r="P392" i="1" a="1"/>
  <c r="P392" i="1" s="1"/>
  <c r="P75" i="1" a="1"/>
  <c r="P75" i="1" s="1"/>
  <c r="P80" i="1" a="1"/>
  <c r="P80" i="1" s="1"/>
  <c r="P231" i="1" a="1"/>
  <c r="P231" i="1" s="1"/>
  <c r="P424" i="1" a="1"/>
  <c r="P424" i="1" s="1"/>
  <c r="P101" i="1" a="1"/>
  <c r="P101" i="1" s="1"/>
  <c r="P329" i="1" a="1"/>
  <c r="P329" i="1" s="1"/>
  <c r="P237" i="1" a="1"/>
  <c r="P237" i="1" s="1"/>
  <c r="P156" i="1" a="1"/>
  <c r="P156" i="1" s="1"/>
  <c r="P479" i="1" a="1"/>
  <c r="P479" i="1" s="1"/>
  <c r="P435" i="1" a="1"/>
  <c r="P435" i="1" s="1"/>
  <c r="P499" i="1" a="1"/>
  <c r="P499" i="1" s="1"/>
  <c r="P230" i="1" a="1"/>
  <c r="P230" i="1" s="1"/>
  <c r="P159" i="1" a="1"/>
  <c r="P159" i="1" s="1"/>
  <c r="P327" i="1" a="1"/>
  <c r="P327" i="1" s="1"/>
  <c r="P254" i="1" a="1"/>
  <c r="P254" i="1" s="1"/>
  <c r="P284" i="1" a="1"/>
  <c r="P284" i="1" s="1"/>
  <c r="P130" i="1" a="1"/>
  <c r="P130" i="1" s="1"/>
  <c r="P18" i="1" a="1"/>
  <c r="P18" i="1" s="1"/>
  <c r="P202" i="1" a="1"/>
  <c r="P202" i="1" s="1"/>
  <c r="P267" i="1" a="1"/>
  <c r="P267" i="1" s="1"/>
  <c r="P250" i="1" a="1"/>
  <c r="P250" i="1" s="1"/>
  <c r="P417" i="1" a="1"/>
  <c r="P417" i="1" s="1"/>
  <c r="P347" i="1" a="1"/>
  <c r="P347" i="1" s="1"/>
  <c r="P458" i="1" a="1"/>
  <c r="P458" i="1" s="1"/>
  <c r="P61" i="1" a="1"/>
  <c r="P61" i="1" s="1"/>
  <c r="P432" i="1" a="1"/>
  <c r="P432" i="1" s="1"/>
  <c r="P454" i="1" a="1"/>
  <c r="P454" i="1" s="1"/>
  <c r="P365" i="1" a="1"/>
  <c r="P365" i="1" s="1"/>
  <c r="P357" i="1" a="1"/>
  <c r="P357" i="1" s="1"/>
  <c r="P415" i="1" a="1"/>
  <c r="P415" i="1" s="1"/>
  <c r="P481" i="1" a="1"/>
  <c r="P481" i="1" s="1"/>
  <c r="P453" i="1" a="1"/>
  <c r="P453" i="1" s="1"/>
  <c r="P10" i="1" a="1"/>
  <c r="P10" i="1" s="1"/>
  <c r="P84" i="1" a="1"/>
  <c r="P84" i="1" s="1"/>
  <c r="P135" i="1" a="1"/>
  <c r="P135" i="1" s="1"/>
  <c r="P50" i="1" a="1"/>
  <c r="P50" i="1" s="1"/>
  <c r="P488" i="1" a="1"/>
  <c r="P488" i="1" s="1"/>
  <c r="P331" i="1" a="1"/>
  <c r="P331" i="1" s="1"/>
  <c r="P136" i="1" a="1"/>
  <c r="P136" i="1" s="1"/>
  <c r="P336" i="1" a="1"/>
  <c r="P336" i="1" s="1"/>
  <c r="P224" i="1" a="1"/>
  <c r="P224" i="1" s="1"/>
  <c r="P257" i="1" a="1"/>
  <c r="P257" i="1" s="1"/>
  <c r="P117" i="1" a="1"/>
  <c r="P117" i="1" s="1"/>
  <c r="P56" i="1" a="1"/>
  <c r="P56" i="1" s="1"/>
  <c r="P126" i="1" a="1"/>
  <c r="P126" i="1" s="1"/>
  <c r="P324" i="1" a="1"/>
  <c r="P324" i="1" s="1"/>
  <c r="P7" i="1" a="1"/>
  <c r="P7" i="1" s="1"/>
  <c r="P497" i="1" a="1"/>
  <c r="P497" i="1" s="1"/>
  <c r="P438" i="1" a="1"/>
  <c r="P438" i="1" s="1"/>
  <c r="P176" i="1" a="1"/>
  <c r="P176" i="1" s="1"/>
  <c r="P486" i="1" a="1"/>
  <c r="P486" i="1" s="1"/>
  <c r="P15" i="1" a="1"/>
  <c r="P15" i="1" s="1"/>
  <c r="P460" i="1" a="1"/>
  <c r="P460" i="1" s="1"/>
  <c r="P498" i="1" a="1"/>
  <c r="P498" i="1" s="1"/>
  <c r="P473" i="1" a="1"/>
  <c r="P473" i="1" s="1"/>
  <c r="P426" i="1" a="1"/>
  <c r="P426" i="1" s="1"/>
  <c r="P215" i="1" a="1"/>
  <c r="P215" i="1" s="1"/>
  <c r="P302" i="1" a="1"/>
  <c r="P302" i="1" s="1"/>
  <c r="P407" i="1" a="1"/>
  <c r="P407" i="1" s="1"/>
  <c r="P248" i="1" a="1"/>
  <c r="P248" i="1" s="1"/>
  <c r="P370" i="1" a="1"/>
  <c r="P370" i="1" s="1"/>
  <c r="P359" i="1" a="1"/>
  <c r="P359" i="1" s="1"/>
  <c r="P206" i="1" a="1"/>
  <c r="P206" i="1" s="1"/>
  <c r="P225" i="1" a="1"/>
  <c r="P225" i="1" s="1"/>
  <c r="P221" i="1" a="1"/>
  <c r="P221" i="1" s="1"/>
  <c r="P152" i="1" a="1"/>
  <c r="P152" i="1" s="1"/>
  <c r="P373" i="1" a="1"/>
  <c r="P373" i="1" s="1"/>
  <c r="P353" i="1" a="1"/>
  <c r="P353" i="1" s="1"/>
  <c r="P431" i="1" a="1"/>
  <c r="P431" i="1" s="1"/>
  <c r="P243" i="1" a="1"/>
  <c r="P243" i="1" s="1"/>
  <c r="P14" i="1" a="1"/>
  <c r="P14" i="1" s="1"/>
  <c r="P394" i="1" a="1"/>
  <c r="P394" i="1" s="1"/>
  <c r="P482" i="1" a="1"/>
  <c r="P482" i="1" s="1"/>
  <c r="P140" i="1" a="1"/>
  <c r="P140" i="1" s="1"/>
  <c r="P134" i="1" a="1"/>
  <c r="P134" i="1" s="1"/>
  <c r="P330" i="1" a="1"/>
  <c r="P330" i="1" s="1"/>
  <c r="P386" i="1" a="1"/>
  <c r="P386" i="1" s="1"/>
  <c r="P146" i="1" a="1"/>
  <c r="P146" i="1" s="1"/>
  <c r="P27" i="1" a="1"/>
  <c r="P27" i="1" s="1"/>
  <c r="P194" i="1" a="1"/>
  <c r="P194" i="1" s="1"/>
  <c r="P106" i="1" a="1"/>
  <c r="P106" i="1" s="1"/>
  <c r="P219" i="1" a="1"/>
  <c r="P219" i="1" s="1"/>
  <c r="P356" i="1" a="1"/>
  <c r="P356" i="1" s="1"/>
  <c r="P192" i="1" a="1"/>
  <c r="P192" i="1" s="1"/>
  <c r="P290" i="1" a="1"/>
  <c r="P290" i="1" s="1"/>
  <c r="P466" i="1" a="1"/>
  <c r="P466" i="1" s="1"/>
  <c r="P145" i="1" a="1"/>
  <c r="P145" i="1" s="1"/>
  <c r="P65" i="1" a="1"/>
  <c r="P65" i="1" s="1"/>
  <c r="P32" i="1" a="1"/>
  <c r="P32" i="1" s="1"/>
  <c r="P19" i="1" a="1"/>
  <c r="P19" i="1" s="1"/>
  <c r="P227" i="1" a="1"/>
  <c r="P227" i="1" s="1"/>
  <c r="P104" i="1" a="1"/>
  <c r="P104" i="1" s="1"/>
  <c r="P339" i="1" a="1"/>
  <c r="P339" i="1" s="1"/>
  <c r="P112" i="1" a="1"/>
  <c r="P112" i="1" s="1"/>
  <c r="P38" i="1" a="1"/>
  <c r="P38" i="1" s="1"/>
  <c r="P467" i="1" a="1"/>
  <c r="P467" i="1" s="1"/>
  <c r="P110" i="1" a="1"/>
  <c r="P110" i="1" s="1"/>
  <c r="P390" i="1" a="1"/>
  <c r="P390" i="1" s="1"/>
  <c r="P141" i="1" a="1"/>
  <c r="P141" i="1" s="1"/>
  <c r="P17" i="1" a="1"/>
  <c r="P17" i="1" s="1"/>
  <c r="P190" i="1" a="1"/>
  <c r="P190" i="1" s="1"/>
  <c r="P183" i="1" a="1"/>
  <c r="P183" i="1" s="1"/>
  <c r="P151" i="1" a="1"/>
  <c r="P151" i="1" s="1"/>
  <c r="P39" i="1" a="1"/>
  <c r="P39" i="1" s="1"/>
  <c r="P427" i="1" a="1"/>
  <c r="P427" i="1" s="1"/>
  <c r="P165" i="1" a="1"/>
  <c r="P165" i="1" s="1"/>
  <c r="P443" i="1" a="1"/>
  <c r="P443" i="1" s="1"/>
  <c r="P167" i="1" a="1"/>
  <c r="P167" i="1" s="1"/>
  <c r="P94" i="1" a="1"/>
  <c r="P94" i="1" s="1"/>
  <c r="P128" i="1" a="1"/>
  <c r="P128" i="1" s="1"/>
  <c r="P372" i="1" a="1"/>
  <c r="P372" i="1" s="1"/>
  <c r="P299" i="1" a="1"/>
  <c r="P299" i="1" s="1"/>
  <c r="P383" i="1" a="1"/>
  <c r="P383" i="1" s="1"/>
  <c r="P46" i="1" a="1"/>
  <c r="P46" i="1" s="1"/>
  <c r="P361" i="1" a="1"/>
  <c r="P361" i="1" s="1"/>
  <c r="P196" i="1" a="1"/>
  <c r="P196" i="1" s="1"/>
  <c r="P363" i="1" a="1"/>
  <c r="P363" i="1" s="1"/>
  <c r="P280" i="1" a="1"/>
  <c r="P280" i="1" s="1"/>
  <c r="P247" i="1" a="1"/>
  <c r="P247" i="1" s="1"/>
  <c r="P379" i="1" a="1"/>
  <c r="P379" i="1" s="1"/>
  <c r="P439" i="1" a="1"/>
  <c r="P439" i="1" s="1"/>
  <c r="P195" i="1" a="1"/>
  <c r="P195" i="1" s="1"/>
  <c r="P139" i="1" a="1"/>
  <c r="P139" i="1" s="1"/>
  <c r="P434" i="1" a="1"/>
  <c r="P434" i="1" s="1"/>
  <c r="P279" i="1" a="1"/>
  <c r="P279" i="1" s="1"/>
  <c r="P189" i="1" a="1"/>
  <c r="P189" i="1" s="1"/>
  <c r="P98" i="1" a="1"/>
  <c r="P98" i="1" s="1"/>
  <c r="P423" i="1" a="1"/>
  <c r="P423" i="1" s="1"/>
  <c r="P76" i="1" a="1"/>
  <c r="P76" i="1" s="1"/>
  <c r="P91" i="1" a="1"/>
  <c r="P91" i="1" s="1"/>
  <c r="P82" i="1" a="1"/>
  <c r="P82" i="1" s="1"/>
  <c r="P464" i="1" a="1"/>
  <c r="P464" i="1" s="1"/>
  <c r="P281" i="1" a="1"/>
  <c r="P281" i="1" s="1"/>
  <c r="P262" i="1" a="1"/>
  <c r="P262" i="1" s="1"/>
  <c r="P188" i="1" a="1"/>
  <c r="P188" i="1" s="1"/>
  <c r="P125" i="1" a="1"/>
  <c r="P125" i="1" s="1"/>
  <c r="P278" i="1" a="1"/>
  <c r="P278" i="1" s="1"/>
  <c r="P246" i="1" a="1"/>
  <c r="P246" i="1" s="1"/>
  <c r="P216" i="1" a="1"/>
  <c r="P216" i="1" s="1"/>
  <c r="P158" i="1" a="1"/>
  <c r="P158" i="1" s="1"/>
  <c r="P296" i="1" a="1"/>
  <c r="P296" i="1" s="1"/>
  <c r="P334" i="1" a="1"/>
  <c r="P334" i="1" s="1"/>
  <c r="P480" i="1" a="1"/>
  <c r="P480" i="1" s="1"/>
  <c r="P208" i="1" a="1"/>
  <c r="P208" i="1" s="1"/>
  <c r="P399" i="1" a="1"/>
  <c r="P399" i="1" s="1"/>
  <c r="P269" i="1" a="1"/>
  <c r="P269" i="1" s="1"/>
  <c r="P49" i="1" a="1"/>
  <c r="P49" i="1" s="1"/>
  <c r="P160" i="1" a="1"/>
  <c r="P160" i="1" s="1"/>
  <c r="P289" i="1" a="1"/>
  <c r="P289" i="1" s="1"/>
  <c r="P103" i="1" a="1"/>
  <c r="P103" i="1" s="1"/>
  <c r="P408" i="1" a="1"/>
  <c r="P408" i="1" s="1"/>
  <c r="P409" i="1" a="1"/>
  <c r="P409" i="1" s="1"/>
  <c r="P66" i="1" a="1"/>
  <c r="P66" i="1" s="1"/>
  <c r="P405" i="1" a="1"/>
  <c r="P405" i="1" s="1"/>
  <c r="P328" i="1" a="1"/>
  <c r="P328" i="1" s="1"/>
  <c r="P29" i="1" a="1"/>
  <c r="P29" i="1" s="1"/>
  <c r="P124" i="1" a="1"/>
  <c r="P124" i="1" s="1"/>
  <c r="P273" i="1" a="1"/>
  <c r="P273" i="1" s="1"/>
  <c r="P143" i="1" a="1"/>
  <c r="P143" i="1" s="1"/>
  <c r="P285" i="1" a="1"/>
  <c r="P285" i="1" s="1"/>
  <c r="P338" i="1" a="1"/>
  <c r="P338" i="1" s="1"/>
  <c r="P48" i="1" a="1"/>
  <c r="P48" i="1" s="1"/>
  <c r="P171" i="1" a="1"/>
  <c r="P171" i="1" s="1"/>
  <c r="P179" i="1" a="1"/>
  <c r="P179" i="1" s="1"/>
  <c r="P470" i="1" a="1"/>
  <c r="P470" i="1" s="1"/>
  <c r="P142" i="1" a="1"/>
  <c r="P142" i="1" s="1"/>
  <c r="P67" i="1" a="1"/>
  <c r="P67" i="1" s="1"/>
  <c r="P421" i="1" a="1"/>
  <c r="P421" i="1" s="1"/>
  <c r="P217" i="1" a="1"/>
  <c r="P217" i="1" s="1"/>
  <c r="P92" i="1" a="1"/>
  <c r="P92" i="1" s="1"/>
  <c r="P291" i="1" a="1"/>
  <c r="P291" i="1" s="1"/>
  <c r="P416" i="1" a="1"/>
  <c r="P416" i="1" s="1"/>
  <c r="P305" i="1" a="1"/>
  <c r="P305" i="1" s="1"/>
  <c r="P348" i="1" a="1"/>
  <c r="P348" i="1" s="1"/>
  <c r="P346" i="1" a="1"/>
  <c r="P346" i="1" s="1"/>
  <c r="P468" i="1" a="1"/>
  <c r="P468" i="1" s="1"/>
  <c r="P419" i="1" a="1"/>
  <c r="P419" i="1" s="1"/>
  <c r="P118" i="1" a="1"/>
  <c r="P118" i="1" s="1"/>
  <c r="P451" i="1" a="1"/>
  <c r="P451" i="1" s="1"/>
  <c r="P70" i="1" a="1"/>
  <c r="P70" i="1" s="1"/>
  <c r="P81" i="1" a="1"/>
  <c r="P81" i="1" s="1"/>
  <c r="P489" i="1" a="1"/>
  <c r="P489" i="1" s="1"/>
  <c r="P446" i="1" a="1"/>
  <c r="P446" i="1" s="1"/>
  <c r="P86" i="1" a="1"/>
  <c r="P86" i="1" s="1"/>
  <c r="P170" i="1" a="1"/>
  <c r="P170" i="1" s="1"/>
  <c r="P384" i="1" a="1"/>
  <c r="P384" i="1" s="1"/>
  <c r="P274" i="1" a="1"/>
  <c r="P274" i="1" s="1"/>
  <c r="P314" i="1" a="1"/>
  <c r="P314" i="1" s="1"/>
  <c r="P200" i="1" a="1"/>
  <c r="P200" i="1" s="1"/>
  <c r="P400" i="1" a="1"/>
  <c r="P400" i="1" s="1"/>
  <c r="P30" i="1" a="1"/>
  <c r="P30" i="1" s="1"/>
  <c r="P175" i="1" a="1"/>
  <c r="P175" i="1" s="1"/>
  <c r="P494" i="1" a="1"/>
  <c r="P494" i="1" s="1"/>
  <c r="P487" i="1" a="1"/>
  <c r="P487" i="1" s="1"/>
  <c r="P475" i="1" a="1"/>
  <c r="P475" i="1" s="1"/>
  <c r="P222" i="1" a="1"/>
  <c r="P222" i="1" s="1"/>
  <c r="P102" i="1" a="1"/>
  <c r="P102" i="1" s="1"/>
  <c r="P449" i="1" a="1"/>
  <c r="P449" i="1" s="1"/>
  <c r="P412" i="1" a="1"/>
  <c r="P412" i="1" s="1"/>
  <c r="P318" i="1" a="1"/>
  <c r="P318" i="1" s="1"/>
  <c r="P397" i="1" a="1"/>
  <c r="P397" i="1" s="1"/>
  <c r="P24" i="1" a="1"/>
  <c r="P24" i="1" s="1"/>
  <c r="P283" i="1" a="1"/>
  <c r="P283" i="1" s="1"/>
  <c r="P11" i="1" a="1"/>
  <c r="P11" i="1" s="1"/>
  <c r="P58" i="1" a="1"/>
  <c r="P58" i="1" s="1"/>
  <c r="P150" i="1" a="1"/>
  <c r="P150" i="1" s="1"/>
  <c r="P410" i="1" a="1"/>
  <c r="P410" i="1" s="1"/>
  <c r="P414" i="1" a="1"/>
  <c r="P414" i="1" s="1"/>
  <c r="P178" i="1" a="1"/>
  <c r="P178" i="1" s="1"/>
  <c r="P261" i="1" a="1"/>
  <c r="P261" i="1" s="1"/>
  <c r="P232" i="1" a="1"/>
  <c r="P232" i="1" s="1"/>
  <c r="P287" i="1" a="1"/>
  <c r="P287" i="1" s="1"/>
  <c r="P462" i="1" a="1"/>
  <c r="P462" i="1" s="1"/>
  <c r="P344" i="1" a="1"/>
  <c r="P344" i="1" s="1"/>
  <c r="P364" i="1" a="1"/>
  <c r="P364" i="1" s="1"/>
  <c r="P109" i="1" a="1"/>
  <c r="P109" i="1" s="1"/>
  <c r="P483" i="1" a="1"/>
  <c r="P483" i="1" s="1"/>
  <c r="P114" i="1" a="1"/>
  <c r="P114" i="1" s="1"/>
  <c r="P108" i="1" a="1"/>
  <c r="P108" i="1" s="1"/>
  <c r="P455" i="1" a="1"/>
  <c r="P455" i="1" s="1"/>
  <c r="P5" i="1" a="1"/>
  <c r="P5" i="1" s="1"/>
  <c r="P68" i="1" a="1"/>
  <c r="P68" i="1" s="1"/>
  <c r="P163" i="1" a="1"/>
  <c r="P163" i="1" s="1"/>
  <c r="P450" i="1" a="1"/>
  <c r="P450" i="1" s="1"/>
  <c r="P95" i="1" a="1"/>
  <c r="P95" i="1" s="1"/>
  <c r="P120" i="1" a="1"/>
  <c r="P120" i="1" s="1"/>
  <c r="P33" i="1" a="1"/>
  <c r="P33" i="1" s="1"/>
  <c r="P62" i="1" a="1"/>
  <c r="P62" i="1" s="1"/>
  <c r="P132" i="1" a="1"/>
  <c r="P132" i="1" s="1"/>
  <c r="P55" i="1" a="1"/>
  <c r="P55" i="1" s="1"/>
  <c r="P47" i="1" a="1"/>
  <c r="P47" i="1" s="1"/>
  <c r="P375" i="1" a="1"/>
  <c r="P375" i="1" s="1"/>
  <c r="P99" i="1" a="1"/>
  <c r="P99" i="1" s="1"/>
  <c r="P138" i="1" a="1"/>
  <c r="P138" i="1" s="1"/>
  <c r="P275" i="1" a="1"/>
  <c r="P275" i="1" s="1"/>
  <c r="P495" i="1" a="1"/>
  <c r="P495" i="1" s="1"/>
  <c r="P45" i="1" a="1"/>
  <c r="P45" i="1" s="1"/>
  <c r="P484" i="1" a="1"/>
  <c r="P484" i="1" s="1"/>
  <c r="P212" i="1" a="1"/>
  <c r="P212" i="1" s="1"/>
  <c r="P239" i="1" a="1"/>
  <c r="P239" i="1" s="1"/>
  <c r="P71" i="1" a="1"/>
  <c r="P71" i="1" s="1"/>
  <c r="P447" i="1" a="1"/>
  <c r="P447" i="1" s="1"/>
  <c r="P211" i="1" a="1"/>
  <c r="P211" i="1" s="1"/>
  <c r="P277" i="1" a="1"/>
  <c r="P277" i="1" s="1"/>
  <c r="P42" i="1" a="1"/>
  <c r="P42" i="1" s="1"/>
  <c r="P266" i="1" a="1"/>
  <c r="P266" i="1" s="1"/>
  <c r="P149" i="1" a="1"/>
  <c r="P149" i="1" s="1"/>
  <c r="P177" i="1" a="1"/>
  <c r="P177" i="1" s="1"/>
  <c r="P366" i="1" a="1"/>
  <c r="P366" i="1" s="1"/>
  <c r="P168" i="1" a="1"/>
  <c r="P168" i="1" s="1"/>
  <c r="P3" i="1" a="1"/>
  <c r="P3" i="1" s="1"/>
  <c r="P317" i="1" a="1"/>
  <c r="P317" i="1" s="1"/>
  <c r="P96" i="1" a="1"/>
  <c r="P96" i="1" s="1"/>
  <c r="P491" i="1" a="1"/>
  <c r="P491" i="1" s="1"/>
  <c r="P64" i="1" a="1"/>
  <c r="P64" i="1" s="1"/>
  <c r="P235" i="1" a="1"/>
  <c r="P235" i="1" s="1"/>
  <c r="P376" i="1" a="1"/>
  <c r="P376" i="1" s="1"/>
  <c r="P54" i="1" a="1"/>
  <c r="P54" i="1" s="1"/>
  <c r="P116" i="1" a="1"/>
  <c r="P116" i="1" s="1"/>
  <c r="P307" i="1" a="1"/>
  <c r="P307" i="1" s="1"/>
  <c r="P228" i="1" a="1"/>
  <c r="P228" i="1" s="1"/>
  <c r="P74" i="1" a="1"/>
  <c r="P74" i="1" s="1"/>
  <c r="P367" i="1" a="1"/>
  <c r="P367" i="1" s="1"/>
  <c r="P474" i="1" a="1"/>
  <c r="P474" i="1" s="1"/>
  <c r="P308" i="1" a="1"/>
  <c r="P308" i="1" s="1"/>
  <c r="P295" i="1" a="1"/>
  <c r="P295" i="1" s="1"/>
  <c r="P319" i="1" a="1"/>
  <c r="P319" i="1" s="1"/>
  <c r="P251" i="1" a="1"/>
  <c r="P251" i="1" s="1"/>
  <c r="P385" i="1" a="1"/>
  <c r="P385" i="1" s="1"/>
  <c r="P493" i="1" a="1"/>
  <c r="P493" i="1" s="1"/>
  <c r="P301" i="1" a="1"/>
  <c r="P301" i="1" s="1"/>
  <c r="P396" i="1" a="1"/>
  <c r="P396" i="1" s="1"/>
  <c r="P411" i="1" a="1"/>
  <c r="P411" i="1" s="1"/>
  <c r="P286" i="1" a="1"/>
  <c r="P286" i="1" s="1"/>
  <c r="P256" i="1" a="1"/>
  <c r="P256" i="1" s="1"/>
  <c r="P89" i="1" a="1"/>
  <c r="P89" i="1" s="1"/>
  <c r="P337" i="1" a="1"/>
  <c r="P337" i="1" s="1"/>
  <c r="P234" i="1" a="1"/>
  <c r="P234" i="1" s="1"/>
  <c r="P37" i="1" a="1"/>
  <c r="P37" i="1" s="1"/>
  <c r="P43" i="1" a="1"/>
  <c r="P43" i="1" s="1"/>
  <c r="P485" i="1" a="1"/>
  <c r="P485" i="1" s="1"/>
  <c r="P4" i="1" a="1"/>
  <c r="P4" i="1" s="1"/>
  <c r="P420" i="1" a="1"/>
  <c r="P420" i="1" s="1"/>
  <c r="P153" i="1" a="1"/>
  <c r="P153" i="1" s="1"/>
  <c r="P25" i="1" a="1"/>
  <c r="P25" i="1" s="1"/>
  <c r="P332" i="1" a="1"/>
  <c r="P332" i="1" s="1"/>
  <c r="P111" i="1" a="1"/>
  <c r="P111" i="1" s="1"/>
  <c r="P199" i="1" a="1"/>
  <c r="P199" i="1" s="1"/>
  <c r="P263" i="1" a="1"/>
  <c r="P263" i="1" s="1"/>
  <c r="P226" i="1" a="1"/>
  <c r="P226" i="1" s="1"/>
  <c r="P382" i="1" a="1"/>
  <c r="P382" i="1" s="1"/>
  <c r="P465" i="1" a="1"/>
  <c r="P465" i="1" s="1"/>
  <c r="P93" i="1" a="1"/>
  <c r="P93" i="1" s="1"/>
  <c r="P63" i="1" a="1"/>
  <c r="P63" i="1" s="1"/>
  <c r="P166" i="1" a="1"/>
  <c r="P166" i="1" s="1"/>
  <c r="P35" i="1" a="1"/>
  <c r="P35" i="1" s="1"/>
  <c r="P418" i="1" a="1"/>
  <c r="P418" i="1" s="1"/>
  <c r="P233" i="1" a="1"/>
  <c r="P233" i="1" s="1"/>
  <c r="P204" i="1" a="1"/>
  <c r="P204" i="1" s="1"/>
  <c r="P389" i="1" a="1"/>
  <c r="P389" i="1" s="1"/>
  <c r="P131" i="1" a="1"/>
  <c r="P131" i="1" s="1"/>
  <c r="P316" i="1" a="1"/>
  <c r="P316" i="1" s="1"/>
  <c r="P463" i="1" a="1"/>
  <c r="P463" i="1" s="1"/>
  <c r="P265" i="1" a="1"/>
  <c r="P265" i="1" s="1"/>
  <c r="P77" i="1" a="1"/>
  <c r="P77" i="1" s="1"/>
  <c r="P304" i="1" a="1"/>
  <c r="P304" i="1" s="1"/>
  <c r="P387" i="1" a="1"/>
  <c r="P387" i="1" s="1"/>
  <c r="P401" i="1" a="1"/>
  <c r="P401" i="1" s="1"/>
  <c r="P368" i="1" a="1"/>
  <c r="P368" i="1" s="1"/>
  <c r="P258" i="1" a="1"/>
  <c r="P258" i="1" s="1"/>
  <c r="P147" i="1" a="1"/>
  <c r="P147" i="1" s="1"/>
  <c r="P105" i="1" a="1"/>
  <c r="P105" i="1" s="1"/>
  <c r="P391" i="1" a="1"/>
  <c r="P391" i="1" s="1"/>
  <c r="P255" i="1" a="1"/>
  <c r="P255" i="1" s="1"/>
  <c r="P40" i="1" a="1"/>
  <c r="P40" i="1" s="1"/>
  <c r="P430" i="1" a="1"/>
  <c r="P430" i="1" s="1"/>
  <c r="P162" i="1" a="1"/>
  <c r="P162" i="1" s="1"/>
  <c r="P378" i="1" a="1"/>
  <c r="P378" i="1" s="1"/>
  <c r="P369" i="1" a="1"/>
  <c r="P369" i="1" s="1"/>
  <c r="P352" i="1" a="1"/>
  <c r="P352" i="1" s="1"/>
  <c r="P270" i="1" a="1"/>
  <c r="P270" i="1" s="1"/>
  <c r="P422" i="1" a="1"/>
  <c r="P422" i="1" s="1"/>
  <c r="P249" i="1" a="1"/>
  <c r="P249" i="1" s="1"/>
  <c r="P60" i="1" a="1"/>
  <c r="P60" i="1" s="1"/>
  <c r="P469" i="1" a="1"/>
  <c r="P469" i="1" s="1"/>
  <c r="P272" i="1" a="1"/>
  <c r="P272" i="1" s="1"/>
  <c r="P34" i="1" a="1"/>
  <c r="P34" i="1" s="1"/>
  <c r="P44" i="1" a="1"/>
  <c r="P44" i="1" s="1"/>
  <c r="P429" i="1" a="1"/>
  <c r="P429" i="1" s="1"/>
  <c r="P403" i="1" a="1"/>
  <c r="P403" i="1" s="1"/>
  <c r="P428" i="1" a="1"/>
  <c r="P428" i="1" s="1"/>
  <c r="P445" i="1" a="1"/>
  <c r="P445" i="1" s="1"/>
  <c r="P218" i="1" a="1"/>
  <c r="P218" i="1" s="1"/>
  <c r="P187" i="1" a="1"/>
  <c r="P187" i="1" s="1"/>
  <c r="P345" i="1" a="1"/>
  <c r="P345" i="1" s="1"/>
  <c r="P260" i="1" a="1"/>
  <c r="P260" i="1" s="1"/>
  <c r="P174" i="1" a="1"/>
  <c r="P174" i="1" s="1"/>
  <c r="P276" i="1" a="1"/>
  <c r="P276" i="1" s="1"/>
  <c r="P115" i="1" a="1"/>
  <c r="P115" i="1" s="1"/>
  <c r="P478" i="1" a="1"/>
  <c r="P478" i="1" s="1"/>
  <c r="P185" i="1" a="1"/>
  <c r="P185" i="1" s="1"/>
  <c r="P172" i="1" a="1"/>
  <c r="P172" i="1" s="1"/>
  <c r="P20" i="1" a="1"/>
  <c r="P20" i="1" s="1"/>
  <c r="P90" i="1" a="1"/>
  <c r="P90" i="1" s="1"/>
  <c r="P437" i="1" a="1"/>
  <c r="P437" i="1" s="1"/>
  <c r="P404" i="1" a="1"/>
  <c r="P404" i="1" s="1"/>
  <c r="P186" i="1" a="1"/>
  <c r="P186" i="1" s="1"/>
  <c r="P298" i="1" a="1"/>
  <c r="P298" i="1" s="1"/>
  <c r="P52" i="1" a="1"/>
  <c r="P52" i="1" s="1"/>
  <c r="P325" i="1" a="1"/>
  <c r="P325" i="1" s="1"/>
  <c r="P388" i="1" a="1"/>
  <c r="P388" i="1" s="1"/>
  <c r="P107" i="1" a="1"/>
  <c r="P107" i="1" s="1"/>
  <c r="P213" i="1" a="1"/>
  <c r="P213" i="1" s="1"/>
  <c r="P349" i="1" a="1"/>
  <c r="P349" i="1" s="1"/>
  <c r="P157" i="1" a="1"/>
  <c r="P157" i="1" s="1"/>
  <c r="P323" i="1" a="1"/>
  <c r="P323" i="1" s="1"/>
  <c r="P100" i="1" a="1"/>
  <c r="P100" i="1" s="1"/>
  <c r="P351" i="1" a="1"/>
  <c r="P351" i="1" s="1"/>
  <c r="P312" i="1" a="1"/>
  <c r="P312" i="1" s="1"/>
  <c r="P220" i="1" a="1"/>
  <c r="P220" i="1" s="1"/>
  <c r="P293" i="1" a="1"/>
  <c r="P293" i="1" s="1"/>
  <c r="P137" i="1" a="1"/>
  <c r="P137" i="1" s="1"/>
  <c r="P362" i="1" a="1"/>
  <c r="P362" i="1" s="1"/>
  <c r="P26" i="1" a="1"/>
  <c r="P26" i="1" s="1"/>
  <c r="P8" i="1" a="1"/>
  <c r="P8" i="1" s="1"/>
  <c r="P297" i="1" a="1"/>
  <c r="P297" i="1" s="1"/>
  <c r="P197" i="1" a="1"/>
  <c r="P197" i="1" s="1"/>
  <c r="P9" i="1" a="1"/>
  <c r="P9" i="1" s="1"/>
  <c r="P83" i="1" a="1"/>
  <c r="P83" i="1" s="1"/>
  <c r="P180" i="1" a="1"/>
  <c r="P180" i="1" s="1"/>
  <c r="P119" i="1" a="1"/>
  <c r="P119" i="1" s="1"/>
  <c r="P144" i="1" a="1"/>
  <c r="P144" i="1" s="1"/>
  <c r="P342" i="1" a="1"/>
  <c r="P342" i="1" s="1"/>
  <c r="P321" i="1" a="1"/>
  <c r="P321" i="1" s="1"/>
  <c r="P229" i="1" a="1"/>
  <c r="P229" i="1" s="1"/>
  <c r="P79" i="1" a="1"/>
  <c r="P79" i="1" s="1"/>
  <c r="P322" i="1" a="1"/>
  <c r="P322" i="1" s="1"/>
  <c r="P326" i="1" a="1"/>
  <c r="P326" i="1" s="1"/>
  <c r="P444" i="1" a="1"/>
  <c r="P444" i="1" s="1"/>
  <c r="P127" i="1" a="1"/>
  <c r="P127" i="1" s="1"/>
  <c r="P264" i="1" a="1"/>
  <c r="P264" i="1" s="1"/>
  <c r="P133" i="1" a="1"/>
  <c r="P133" i="1" s="1"/>
  <c r="P436" i="1" a="1"/>
  <c r="P436" i="1" s="1"/>
  <c r="P310" i="1" a="1"/>
  <c r="P310" i="1" s="1"/>
  <c r="P398" i="1" a="1"/>
  <c r="P398" i="1" s="1"/>
  <c r="P123" i="1" a="1"/>
  <c r="P123" i="1" s="1"/>
  <c r="P358" i="1" a="1"/>
  <c r="P358" i="1" s="1"/>
  <c r="P182" i="1" a="1"/>
  <c r="P182" i="1" s="1"/>
  <c r="P57" i="1" a="1"/>
  <c r="P57" i="1" s="1"/>
  <c r="P452" i="1" a="1"/>
  <c r="P452" i="1" s="1"/>
  <c r="P69" i="1" a="1"/>
  <c r="P69" i="1" s="1"/>
  <c r="P271" i="1" a="1"/>
  <c r="P271" i="1" s="1"/>
  <c r="P374" i="1" a="1"/>
  <c r="P374" i="1" s="1"/>
  <c r="P413" i="1" a="1"/>
  <c r="P413" i="1" s="1"/>
  <c r="P148" i="1" a="1"/>
  <c r="P148" i="1" s="1"/>
  <c r="P292" i="1" a="1"/>
  <c r="P292" i="1" s="1"/>
  <c r="P41" i="1" a="1"/>
  <c r="P41" i="1" s="1"/>
  <c r="P245" i="1" a="1"/>
  <c r="P245" i="1" s="1"/>
  <c r="P496" i="1" a="1"/>
  <c r="P496" i="1" s="1"/>
  <c r="P97" i="1" a="1"/>
  <c r="P97" i="1" s="1"/>
  <c r="P350" i="1" a="1"/>
  <c r="P350" i="1" s="1"/>
  <c r="P406" i="1" a="1"/>
  <c r="P406" i="1" s="1"/>
  <c r="P471" i="1" a="1"/>
  <c r="P471" i="1" s="1"/>
  <c r="P288" i="1" a="1"/>
  <c r="P288" i="1" s="1"/>
  <c r="P72" i="1" a="1"/>
  <c r="P72" i="1" s="1"/>
  <c r="P343" i="1" a="1"/>
  <c r="P343" i="1" s="1"/>
  <c r="P309" i="1" a="1"/>
  <c r="P309" i="1" s="1"/>
  <c r="P16" i="1" a="1"/>
  <c r="P16" i="1" s="1"/>
  <c r="P333" i="1" a="1"/>
  <c r="P333" i="1" s="1"/>
  <c r="P161" i="1" a="1"/>
  <c r="P161" i="1" s="1"/>
  <c r="P311" i="1" a="1"/>
  <c r="P311" i="1" s="1"/>
  <c r="P395" i="1" a="1"/>
  <c r="P395" i="1" s="1"/>
  <c r="P303" i="1" a="1"/>
  <c r="P303" i="1" s="1"/>
  <c r="P51" i="1" a="1"/>
  <c r="P51" i="1" s="1"/>
  <c r="P164" i="1" a="1"/>
  <c r="P164" i="1" s="1"/>
  <c r="P87" i="1" a="1"/>
  <c r="P87" i="1" s="1"/>
  <c r="P23" i="1" a="1"/>
  <c r="P23" i="1" s="1"/>
  <c r="P242" i="1" a="1"/>
  <c r="P242" i="1" s="1"/>
  <c r="P240" i="1" a="1"/>
  <c r="P240" i="1" s="1"/>
  <c r="P448" i="1" a="1"/>
  <c r="P448" i="1" s="1"/>
  <c r="P313" i="1" a="1"/>
  <c r="P313" i="1" s="1"/>
  <c r="P252" i="1" a="1"/>
  <c r="P252" i="1" s="1"/>
  <c r="P113" i="1" a="1"/>
  <c r="P113" i="1" s="1"/>
  <c r="P456" i="1" a="1"/>
  <c r="P456" i="1" s="1"/>
  <c r="P377" i="1" a="1"/>
  <c r="P377" i="1" s="1"/>
  <c r="P282" i="1" a="1"/>
  <c r="P282" i="1" s="1"/>
  <c r="P341" i="1" a="1"/>
  <c r="P341" i="1" s="1"/>
  <c r="P306" i="1" a="1"/>
  <c r="P306" i="1" s="1"/>
  <c r="P36" i="1" a="1"/>
  <c r="P36" i="1" s="1"/>
  <c r="P300" i="1" a="1"/>
  <c r="P300" i="1" s="1"/>
  <c r="P181" i="1" a="1"/>
  <c r="P181" i="1" s="1"/>
  <c r="P441" i="1" a="1"/>
  <c r="P441" i="1" s="1"/>
  <c r="Y8" i="1"/>
  <c r="Y5" i="1"/>
  <c r="X8" i="1"/>
  <c r="X5" i="1"/>
  <c r="X7" i="1"/>
  <c r="X4" i="1"/>
  <c r="N96" i="1" l="1"/>
  <c r="O372" i="1"/>
  <c r="N78" i="1"/>
  <c r="N68" i="1"/>
  <c r="N439" i="1"/>
  <c r="N114" i="1"/>
  <c r="N347" i="1"/>
  <c r="N235" i="1"/>
  <c r="N469" i="1"/>
  <c r="N186" i="1"/>
  <c r="N371" i="1"/>
  <c r="N67" i="1"/>
  <c r="N260" i="1"/>
  <c r="N318" i="1"/>
  <c r="N324" i="1"/>
  <c r="N351" i="1"/>
  <c r="N189" i="1"/>
  <c r="N103" i="1"/>
  <c r="N33" i="1"/>
  <c r="N339" i="1"/>
  <c r="N372" i="1"/>
  <c r="N25" i="1"/>
  <c r="N277" i="1"/>
  <c r="N92" i="1"/>
  <c r="N195" i="1"/>
  <c r="N4" i="1"/>
  <c r="N26" i="1"/>
  <c r="N295" i="1"/>
  <c r="N197" i="1"/>
  <c r="N375" i="1"/>
  <c r="N144" i="1"/>
  <c r="N222" i="1"/>
  <c r="N264" i="1"/>
  <c r="N56" i="1"/>
  <c r="N333" i="1"/>
  <c r="N376" i="1"/>
  <c r="N179" i="1"/>
  <c r="N437" i="1"/>
  <c r="N281" i="1"/>
  <c r="N230" i="1"/>
  <c r="N241" i="1"/>
  <c r="N476" i="1"/>
  <c r="N323" i="1"/>
  <c r="N343" i="1"/>
  <c r="O334" i="1"/>
  <c r="N145" i="1"/>
  <c r="N156" i="1"/>
  <c r="N385" i="1"/>
  <c r="N43" i="1"/>
  <c r="N299" i="1"/>
  <c r="O42" i="1"/>
  <c r="O96" i="1"/>
  <c r="O343" i="1"/>
  <c r="O185" i="1"/>
  <c r="O223" i="1"/>
  <c r="O183" i="1"/>
  <c r="O179" i="1"/>
  <c r="O308" i="1"/>
  <c r="O89" i="1"/>
  <c r="O191" i="1"/>
  <c r="O26" i="1"/>
  <c r="O148" i="1"/>
  <c r="O338" i="1"/>
  <c r="O342" i="1"/>
  <c r="O144" i="1"/>
  <c r="O381" i="1"/>
  <c r="O116" i="1"/>
  <c r="O243" i="1"/>
  <c r="O351" i="1"/>
  <c r="O119" i="1"/>
  <c r="O113" i="1"/>
  <c r="O298" i="1"/>
  <c r="O318" i="1"/>
  <c r="O100" i="1"/>
  <c r="O418" i="1"/>
  <c r="O81" i="1"/>
  <c r="O497" i="1"/>
  <c r="O200" i="1"/>
  <c r="O9" i="1"/>
  <c r="O428" i="1"/>
  <c r="O129" i="1"/>
  <c r="O440" i="1"/>
  <c r="O492" i="1"/>
  <c r="O359" i="1"/>
  <c r="O161" i="1"/>
  <c r="O154" i="1"/>
  <c r="O403" i="1"/>
  <c r="O435" i="1"/>
  <c r="O335" i="1"/>
  <c r="O429" i="1"/>
  <c r="O105" i="1"/>
  <c r="O13" i="1"/>
  <c r="O331" i="1"/>
  <c r="O406" i="1"/>
  <c r="O449" i="1"/>
  <c r="O157" i="1"/>
  <c r="O245" i="1"/>
  <c r="O330" i="1"/>
  <c r="O244" i="1"/>
  <c r="O433" i="1"/>
  <c r="O484" i="1"/>
  <c r="O232" i="1"/>
  <c r="O146" i="1"/>
  <c r="O62" i="1"/>
  <c r="O165" i="1"/>
  <c r="O272" i="1"/>
  <c r="O280" i="1"/>
  <c r="O109" i="1"/>
  <c r="O215" i="1"/>
  <c r="O464" i="1"/>
  <c r="O346" i="1"/>
  <c r="O454" i="1"/>
  <c r="O208" i="1"/>
  <c r="O38" i="1"/>
  <c r="O5" i="1"/>
  <c r="O181" i="1"/>
  <c r="O15" i="1"/>
  <c r="O297" i="1"/>
  <c r="O300" i="1"/>
  <c r="O72" i="1"/>
  <c r="O192" i="1"/>
  <c r="O361" i="1"/>
  <c r="O366" i="1"/>
  <c r="O321" i="1"/>
  <c r="O122" i="1"/>
  <c r="O101" i="1"/>
  <c r="O480" i="1"/>
  <c r="O397" i="1"/>
  <c r="O267" i="1"/>
  <c r="O207" i="1"/>
  <c r="O202" i="1"/>
  <c r="O296" i="1"/>
  <c r="O61" i="1"/>
  <c r="O19" i="1"/>
  <c r="O445" i="1"/>
  <c r="O149" i="1"/>
  <c r="O383" i="1"/>
  <c r="O110" i="1"/>
  <c r="O356" i="1"/>
  <c r="O225" i="1"/>
  <c r="O206" i="1"/>
  <c r="O73" i="1"/>
  <c r="O315" i="1"/>
  <c r="O311" i="1"/>
  <c r="O405" i="1"/>
  <c r="O130" i="1"/>
  <c r="O178" i="1"/>
  <c r="O112" i="1"/>
  <c r="O450" i="1"/>
  <c r="O431" i="1"/>
  <c r="O155" i="1"/>
  <c r="O163" i="1"/>
  <c r="O399" i="1"/>
  <c r="O253" i="1"/>
  <c r="O481" i="1"/>
  <c r="O310" i="1"/>
  <c r="O483" i="1"/>
  <c r="O240" i="1"/>
  <c r="O341" i="1"/>
  <c r="O379" i="1"/>
  <c r="O229" i="1"/>
  <c r="O133" i="1"/>
  <c r="O491" i="1"/>
  <c r="O367" i="1"/>
  <c r="O167" i="1"/>
  <c r="O258" i="1"/>
  <c r="O423" i="1"/>
  <c r="O94" i="1"/>
  <c r="O201" i="1"/>
  <c r="O468" i="1"/>
  <c r="O162" i="1"/>
  <c r="O426" i="1"/>
  <c r="O353" i="1"/>
  <c r="O466" i="1"/>
  <c r="O140" i="1"/>
  <c r="O63" i="1"/>
  <c r="O204" i="1"/>
  <c r="O211" i="1"/>
  <c r="O107" i="1"/>
  <c r="O11" i="1"/>
  <c r="O124" i="1"/>
  <c r="O459" i="1"/>
  <c r="O305" i="1"/>
  <c r="O420" i="1"/>
  <c r="O83" i="1"/>
  <c r="O289" i="1"/>
  <c r="O486" i="1"/>
  <c r="O328" i="1"/>
  <c r="O413" i="1"/>
  <c r="O256" i="1"/>
  <c r="O85" i="1"/>
  <c r="O239" i="1"/>
  <c r="O358" i="1"/>
  <c r="O177" i="1"/>
  <c r="O382" i="1"/>
  <c r="O227" i="1"/>
  <c r="O340" i="1"/>
  <c r="O336" i="1"/>
  <c r="O303" i="1"/>
  <c r="O54" i="1"/>
  <c r="O99" i="1"/>
  <c r="O482" i="1"/>
  <c r="O400" i="1"/>
  <c r="O226" i="1"/>
  <c r="O266" i="1"/>
  <c r="O354" i="1"/>
  <c r="O411" i="1"/>
  <c r="O219" i="1"/>
  <c r="O369" i="1"/>
  <c r="O425" i="1"/>
  <c r="O278" i="1"/>
  <c r="O220" i="1"/>
  <c r="O288" i="1"/>
  <c r="O254" i="1"/>
  <c r="O294" i="1"/>
  <c r="O238" i="1"/>
  <c r="O64" i="1"/>
  <c r="O416" i="1"/>
  <c r="O27" i="1"/>
  <c r="O147" i="1"/>
  <c r="O102" i="1"/>
  <c r="O117" i="1"/>
  <c r="O251" i="1"/>
  <c r="O34" i="1"/>
  <c r="O378" i="1"/>
  <c r="O37" i="1"/>
  <c r="O337" i="1"/>
  <c r="O127" i="1"/>
  <c r="O237" i="1"/>
  <c r="O301" i="1"/>
  <c r="O98" i="1"/>
  <c r="O302" i="1"/>
  <c r="O427" i="1"/>
  <c r="O387" i="1"/>
  <c r="O473" i="1"/>
  <c r="O203" i="1"/>
  <c r="O265" i="1"/>
  <c r="O389" i="1"/>
  <c r="O31" i="1"/>
  <c r="O498" i="1"/>
  <c r="O446" i="1"/>
  <c r="O355" i="1"/>
  <c r="O172" i="1"/>
  <c r="O141" i="1"/>
  <c r="O187" i="1"/>
  <c r="O168" i="1"/>
  <c r="O493" i="1"/>
  <c r="O380" i="1"/>
  <c r="O457" i="1"/>
  <c r="O24" i="1"/>
  <c r="O36" i="1"/>
  <c r="O401" i="1"/>
  <c r="O52" i="1"/>
  <c r="O261" i="1"/>
  <c r="O432" i="1"/>
  <c r="O344" i="1"/>
  <c r="O82" i="1"/>
  <c r="O231" i="1"/>
  <c r="O97" i="1"/>
  <c r="O49" i="1"/>
  <c r="O138" i="1"/>
  <c r="O499" i="1"/>
  <c r="O158" i="1"/>
  <c r="O18" i="1"/>
  <c r="O236" i="1"/>
  <c r="O70" i="1"/>
  <c r="O496" i="1"/>
  <c r="O326" i="1"/>
  <c r="O485" i="1"/>
  <c r="O274" i="1"/>
  <c r="O169" i="1"/>
  <c r="O121" i="1"/>
  <c r="O95" i="1"/>
  <c r="O414" i="1"/>
  <c r="O108" i="1"/>
  <c r="O271" i="1"/>
  <c r="O143" i="1"/>
  <c r="O66" i="1"/>
  <c r="O7" i="1"/>
  <c r="O471" i="1"/>
  <c r="O150" i="1"/>
  <c r="O142" i="1"/>
  <c r="O412" i="1"/>
  <c r="O88" i="1"/>
  <c r="O69" i="1"/>
  <c r="O44" i="1"/>
  <c r="O452" i="1"/>
  <c r="O409" i="1"/>
  <c r="O248" i="1"/>
  <c r="O242" i="1"/>
  <c r="O247" i="1"/>
  <c r="O392" i="1"/>
  <c r="O188" i="1"/>
  <c r="O443" i="1"/>
  <c r="O23" i="1"/>
  <c r="O53" i="1"/>
  <c r="O39" i="1"/>
  <c r="O441" i="1"/>
  <c r="O193" i="1"/>
  <c r="O58" i="1"/>
  <c r="O189" i="1"/>
  <c r="O78" i="1"/>
  <c r="O320" i="1"/>
  <c r="O292" i="1"/>
  <c r="O475" i="1"/>
  <c r="O478" i="1"/>
  <c r="O348" i="1"/>
  <c r="O249" i="1"/>
  <c r="O447" i="1"/>
  <c r="O218" i="1"/>
  <c r="O463" i="1"/>
  <c r="O350" i="1"/>
  <c r="O104" i="1"/>
  <c r="O325" i="1"/>
  <c r="O217" i="1"/>
  <c r="O424" i="1"/>
  <c r="O164" i="1"/>
  <c r="O465" i="1"/>
  <c r="O421" i="1"/>
  <c r="O175" i="1"/>
  <c r="O317" i="1"/>
  <c r="O111" i="1"/>
  <c r="O2" i="1"/>
  <c r="O269" i="1"/>
  <c r="O276" i="1"/>
  <c r="O316" i="1"/>
  <c r="O91" i="1"/>
  <c r="O395" i="1"/>
  <c r="O393" i="1"/>
  <c r="O21" i="1"/>
  <c r="O35" i="1"/>
  <c r="O451" i="1"/>
  <c r="O65" i="1"/>
  <c r="O384" i="1"/>
  <c r="O472" i="1"/>
  <c r="O404" i="1"/>
  <c r="O293" i="1"/>
  <c r="O22" i="1"/>
  <c r="O284" i="1"/>
  <c r="O410" i="1"/>
  <c r="O47" i="1"/>
  <c r="O180" i="1"/>
  <c r="O76" i="1"/>
  <c r="O174" i="1"/>
  <c r="O287" i="1"/>
  <c r="O79" i="1"/>
  <c r="O357" i="1"/>
  <c r="O479" i="1"/>
  <c r="O257" i="1"/>
  <c r="O17" i="1"/>
  <c r="O408" i="1"/>
  <c r="O16" i="1"/>
  <c r="O74" i="1"/>
  <c r="O407" i="1"/>
  <c r="O444" i="1"/>
  <c r="O57" i="1"/>
  <c r="O332" i="1"/>
  <c r="O126" i="1"/>
  <c r="O402" i="1"/>
  <c r="O304" i="1"/>
  <c r="O77" i="1"/>
  <c r="O6" i="1"/>
  <c r="O363" i="1"/>
  <c r="O290" i="1"/>
  <c r="O460" i="1"/>
  <c r="O213" i="1"/>
  <c r="O487" i="1"/>
  <c r="O455" i="1"/>
  <c r="O151" i="1"/>
  <c r="O196" i="1"/>
  <c r="O115" i="1"/>
  <c r="O388" i="1"/>
  <c r="O494" i="1"/>
  <c r="O312" i="1"/>
  <c r="O71" i="1"/>
  <c r="O173" i="1"/>
  <c r="O46" i="1"/>
  <c r="O250" i="1"/>
  <c r="O286" i="1"/>
  <c r="O307" i="1"/>
  <c r="O270" i="1"/>
  <c r="O160" i="1"/>
  <c r="O285" i="1"/>
  <c r="O80" i="1"/>
  <c r="O252" i="1"/>
  <c r="O198" i="1"/>
  <c r="O489" i="1"/>
  <c r="O139" i="1"/>
  <c r="O467" i="1"/>
  <c r="O221" i="1"/>
  <c r="O374" i="1"/>
  <c r="O131" i="1"/>
  <c r="O462" i="1"/>
  <c r="O171" i="1"/>
  <c r="O500" i="1"/>
  <c r="O214" i="1"/>
  <c r="O166" i="1"/>
  <c r="O322" i="1"/>
  <c r="O448" i="1"/>
  <c r="O259" i="1"/>
  <c r="O209" i="1"/>
  <c r="O75" i="1"/>
  <c r="O386" i="1"/>
  <c r="O212" i="1"/>
  <c r="O136" i="1"/>
  <c r="O458" i="1"/>
  <c r="O436" i="1"/>
  <c r="O3" i="1"/>
  <c r="O470" i="1"/>
  <c r="O273" i="1"/>
  <c r="O327" i="1"/>
  <c r="O159" i="1"/>
  <c r="O55" i="1"/>
  <c r="O132" i="1"/>
  <c r="O128" i="1"/>
  <c r="O461" i="1"/>
  <c r="O262" i="1"/>
  <c r="O319" i="1"/>
  <c r="O182" i="1"/>
  <c r="O41" i="1"/>
  <c r="O50" i="1"/>
  <c r="O430" i="1"/>
  <c r="O134" i="1"/>
  <c r="O364" i="1"/>
  <c r="O14" i="1"/>
  <c r="O495" i="1"/>
  <c r="O417" i="1"/>
  <c r="N58" i="1"/>
  <c r="N193" i="1"/>
  <c r="N441" i="1"/>
  <c r="N39" i="1"/>
  <c r="N53" i="1"/>
  <c r="N23" i="1"/>
  <c r="N443" i="1"/>
  <c r="N188" i="1"/>
  <c r="N392" i="1"/>
  <c r="N247" i="1"/>
  <c r="N242" i="1"/>
  <c r="N248" i="1"/>
  <c r="N409" i="1"/>
  <c r="N452" i="1"/>
  <c r="N44" i="1"/>
  <c r="N69" i="1"/>
  <c r="N88" i="1"/>
  <c r="N412" i="1"/>
  <c r="N142" i="1"/>
  <c r="N150" i="1"/>
  <c r="N471" i="1"/>
  <c r="N7" i="1"/>
  <c r="N66" i="1"/>
  <c r="N143" i="1"/>
  <c r="N271" i="1"/>
  <c r="N108" i="1"/>
  <c r="N414" i="1"/>
  <c r="N95" i="1"/>
  <c r="N121" i="1"/>
  <c r="N169" i="1"/>
  <c r="N274" i="1"/>
  <c r="N485" i="1"/>
  <c r="N326" i="1"/>
  <c r="N496" i="1"/>
  <c r="N70" i="1"/>
  <c r="N236" i="1"/>
  <c r="N18" i="1"/>
  <c r="N158" i="1"/>
  <c r="N97" i="1"/>
  <c r="N432" i="1"/>
  <c r="N36" i="1"/>
  <c r="N493" i="1"/>
  <c r="N172" i="1"/>
  <c r="O135" i="1"/>
  <c r="O309" i="1"/>
  <c r="O170" i="1"/>
  <c r="O199" i="1"/>
  <c r="O370" i="1"/>
  <c r="O194" i="1"/>
  <c r="O398" i="1"/>
  <c r="O246" i="1"/>
  <c r="O314" i="1"/>
  <c r="O123" i="1"/>
  <c r="O30" i="1"/>
  <c r="O184" i="1"/>
  <c r="O268" i="1"/>
  <c r="O422" i="1"/>
  <c r="O60" i="1"/>
  <c r="O282" i="1"/>
  <c r="N31" i="1"/>
  <c r="N389" i="1"/>
  <c r="N265" i="1"/>
  <c r="N203" i="1"/>
  <c r="N473" i="1"/>
  <c r="N387" i="1"/>
  <c r="N427" i="1"/>
  <c r="N302" i="1"/>
  <c r="N98" i="1"/>
  <c r="N301" i="1"/>
  <c r="N237" i="1"/>
  <c r="N127" i="1"/>
  <c r="N337" i="1"/>
  <c r="N37" i="1"/>
  <c r="N378" i="1"/>
  <c r="N34" i="1"/>
  <c r="N251" i="1"/>
  <c r="N117" i="1"/>
  <c r="N102" i="1"/>
  <c r="N147" i="1"/>
  <c r="N27" i="1"/>
  <c r="N416" i="1"/>
  <c r="N64" i="1"/>
  <c r="N238" i="1"/>
  <c r="N294" i="1"/>
  <c r="N254" i="1"/>
  <c r="N288" i="1"/>
  <c r="N220" i="1"/>
  <c r="N278" i="1"/>
  <c r="N425" i="1"/>
  <c r="N369" i="1"/>
  <c r="N219" i="1"/>
  <c r="N411" i="1"/>
  <c r="N354" i="1"/>
  <c r="N266" i="1"/>
  <c r="N226" i="1"/>
  <c r="N400" i="1"/>
  <c r="N482" i="1"/>
  <c r="N99" i="1"/>
  <c r="N54" i="1"/>
  <c r="N499" i="1"/>
  <c r="N231" i="1"/>
  <c r="N261" i="1"/>
  <c r="N24" i="1"/>
  <c r="N168" i="1"/>
  <c r="N355" i="1"/>
  <c r="O86" i="1"/>
  <c r="O329" i="1"/>
  <c r="O349" i="1"/>
  <c r="O224" i="1"/>
  <c r="O415" i="1"/>
  <c r="O396" i="1"/>
  <c r="O106" i="1"/>
  <c r="O394" i="1"/>
  <c r="O210" i="1"/>
  <c r="O442" i="1"/>
  <c r="O255" i="1"/>
  <c r="O51" i="1"/>
  <c r="O12" i="1"/>
  <c r="O48" i="1"/>
  <c r="O10" i="1"/>
  <c r="O283" i="1"/>
  <c r="N63" i="1"/>
  <c r="N140" i="1"/>
  <c r="N466" i="1"/>
  <c r="N353" i="1"/>
  <c r="N426" i="1"/>
  <c r="N162" i="1"/>
  <c r="N468" i="1"/>
  <c r="N201" i="1"/>
  <c r="N94" i="1"/>
  <c r="N423" i="1"/>
  <c r="N258" i="1"/>
  <c r="N167" i="1"/>
  <c r="N367" i="1"/>
  <c r="N491" i="1"/>
  <c r="N133" i="1"/>
  <c r="N229" i="1"/>
  <c r="N379" i="1"/>
  <c r="N341" i="1"/>
  <c r="N240" i="1"/>
  <c r="N483" i="1"/>
  <c r="N310" i="1"/>
  <c r="N481" i="1"/>
  <c r="N253" i="1"/>
  <c r="N399" i="1"/>
  <c r="N163" i="1"/>
  <c r="N155" i="1"/>
  <c r="N431" i="1"/>
  <c r="N450" i="1"/>
  <c r="N112" i="1"/>
  <c r="N178" i="1"/>
  <c r="N130" i="1"/>
  <c r="N405" i="1"/>
  <c r="N311" i="1"/>
  <c r="N315" i="1"/>
  <c r="N73" i="1"/>
  <c r="N206" i="1"/>
  <c r="N225" i="1"/>
  <c r="N356" i="1"/>
  <c r="N110" i="1"/>
  <c r="N383" i="1"/>
  <c r="N298" i="1"/>
  <c r="N243" i="1"/>
  <c r="N342" i="1"/>
  <c r="N191" i="1"/>
  <c r="N183" i="1"/>
  <c r="O25" i="1"/>
  <c r="O469" i="1"/>
  <c r="O277" i="1"/>
  <c r="O260" i="1"/>
  <c r="O92" i="1"/>
  <c r="O439" i="1"/>
  <c r="O195" i="1"/>
  <c r="O235" i="1"/>
  <c r="O4" i="1"/>
  <c r="O67" i="1"/>
  <c r="O453" i="1"/>
  <c r="O40" i="1"/>
  <c r="O279" i="1"/>
  <c r="O373" i="1"/>
  <c r="O84" i="1"/>
  <c r="O490" i="1"/>
  <c r="N320" i="1"/>
  <c r="N292" i="1"/>
  <c r="N475" i="1"/>
  <c r="N478" i="1"/>
  <c r="N348" i="1"/>
  <c r="N249" i="1"/>
  <c r="N447" i="1"/>
  <c r="N218" i="1"/>
  <c r="N463" i="1"/>
  <c r="N350" i="1"/>
  <c r="N104" i="1"/>
  <c r="N325" i="1"/>
  <c r="N217" i="1"/>
  <c r="N424" i="1"/>
  <c r="N164" i="1"/>
  <c r="N465" i="1"/>
  <c r="N421" i="1"/>
  <c r="N175" i="1"/>
  <c r="N317" i="1"/>
  <c r="N111" i="1"/>
  <c r="N2" i="1"/>
  <c r="N269" i="1"/>
  <c r="N460" i="1"/>
  <c r="N213" i="1"/>
  <c r="N487" i="1"/>
  <c r="N455" i="1"/>
  <c r="N151" i="1"/>
  <c r="N196" i="1"/>
  <c r="N115" i="1"/>
  <c r="N388" i="1"/>
  <c r="N494" i="1"/>
  <c r="N312" i="1"/>
  <c r="N71" i="1"/>
  <c r="N173" i="1"/>
  <c r="N46" i="1"/>
  <c r="N250" i="1"/>
  <c r="N286" i="1"/>
  <c r="N307" i="1"/>
  <c r="N270" i="1"/>
  <c r="N160" i="1"/>
  <c r="N285" i="1"/>
  <c r="N80" i="1"/>
  <c r="N252" i="1"/>
  <c r="N198" i="1"/>
  <c r="N417" i="1"/>
  <c r="N87" i="1"/>
  <c r="N233" i="1"/>
  <c r="N10" i="1"/>
  <c r="N60" i="1"/>
  <c r="N368" i="1"/>
  <c r="N8" i="1"/>
  <c r="N48" i="1"/>
  <c r="N422" i="1"/>
  <c r="N228" i="1"/>
  <c r="N390" i="1"/>
  <c r="N12" i="1"/>
  <c r="N268" i="1"/>
  <c r="N205" i="1"/>
  <c r="N152" i="1"/>
  <c r="N51" i="1"/>
  <c r="N184" i="1"/>
  <c r="N377" i="1"/>
  <c r="N434" i="1"/>
  <c r="N255" i="1"/>
  <c r="N30" i="1"/>
  <c r="N176" i="1"/>
  <c r="N38" i="1"/>
  <c r="N5" i="1"/>
  <c r="N181" i="1"/>
  <c r="N15" i="1"/>
  <c r="N297" i="1"/>
  <c r="N300" i="1"/>
  <c r="N72" i="1"/>
  <c r="N192" i="1"/>
  <c r="N361" i="1"/>
  <c r="N366" i="1"/>
  <c r="N321" i="1"/>
  <c r="N122" i="1"/>
  <c r="N101" i="1"/>
  <c r="N480" i="1"/>
  <c r="N397" i="1"/>
  <c r="N267" i="1"/>
  <c r="N207" i="1"/>
  <c r="N202" i="1"/>
  <c r="N296" i="1"/>
  <c r="N61" i="1"/>
  <c r="N19" i="1"/>
  <c r="N445" i="1"/>
  <c r="N149" i="1"/>
  <c r="N204" i="1"/>
  <c r="N211" i="1"/>
  <c r="N107" i="1"/>
  <c r="N11" i="1"/>
  <c r="N124" i="1"/>
  <c r="N459" i="1"/>
  <c r="N305" i="1"/>
  <c r="N420" i="1"/>
  <c r="N83" i="1"/>
  <c r="N289" i="1"/>
  <c r="N486" i="1"/>
  <c r="N328" i="1"/>
  <c r="N413" i="1"/>
  <c r="N256" i="1"/>
  <c r="N85" i="1"/>
  <c r="N239" i="1"/>
  <c r="N358" i="1"/>
  <c r="N177" i="1"/>
  <c r="N382" i="1"/>
  <c r="N227" i="1"/>
  <c r="N340" i="1"/>
  <c r="N336" i="1"/>
  <c r="N303" i="1"/>
  <c r="N498" i="1"/>
  <c r="N477" i="1"/>
  <c r="N20" i="1"/>
  <c r="N84" i="1"/>
  <c r="N282" i="1"/>
  <c r="N275" i="1"/>
  <c r="N28" i="1"/>
  <c r="N373" i="1"/>
  <c r="N283" i="1"/>
  <c r="N59" i="1"/>
  <c r="N29" i="1"/>
  <c r="N279" i="1"/>
  <c r="N490" i="1"/>
  <c r="N362" i="1"/>
  <c r="N93" i="1"/>
  <c r="N40" i="1"/>
  <c r="N334" i="1"/>
  <c r="N137" i="1"/>
  <c r="N456" i="1"/>
  <c r="N453" i="1"/>
  <c r="N190" i="1"/>
  <c r="N32" i="1"/>
  <c r="N306" i="1"/>
  <c r="N208" i="1"/>
  <c r="N454" i="1"/>
  <c r="N346" i="1"/>
  <c r="N464" i="1"/>
  <c r="N215" i="1"/>
  <c r="N109" i="1"/>
  <c r="N280" i="1"/>
  <c r="N272" i="1"/>
  <c r="N165" i="1"/>
  <c r="N62" i="1"/>
  <c r="N146" i="1"/>
  <c r="N232" i="1"/>
  <c r="N484" i="1"/>
  <c r="N433" i="1"/>
  <c r="N244" i="1"/>
  <c r="N330" i="1"/>
  <c r="N245" i="1"/>
  <c r="N157" i="1"/>
  <c r="N449" i="1"/>
  <c r="N406" i="1"/>
  <c r="N331" i="1"/>
  <c r="N13" i="1"/>
  <c r="N105" i="1"/>
  <c r="N429" i="1"/>
  <c r="N335" i="1"/>
  <c r="N435" i="1"/>
  <c r="N403" i="1"/>
  <c r="N154" i="1"/>
  <c r="N161" i="1"/>
  <c r="N359" i="1"/>
  <c r="N492" i="1"/>
  <c r="N440" i="1"/>
  <c r="N129" i="1"/>
  <c r="N428" i="1"/>
  <c r="N9" i="1"/>
  <c r="N200" i="1"/>
  <c r="N497" i="1"/>
  <c r="N81" i="1"/>
  <c r="N418" i="1"/>
  <c r="N100" i="1"/>
  <c r="N138" i="1"/>
  <c r="N82" i="1"/>
  <c r="N52" i="1"/>
  <c r="N457" i="1"/>
  <c r="N187" i="1"/>
  <c r="N446" i="1"/>
  <c r="O345" i="1"/>
  <c r="O360" i="1"/>
  <c r="O365" i="1"/>
  <c r="O488" i="1"/>
  <c r="O263" i="1"/>
  <c r="O474" i="1"/>
  <c r="O391" i="1"/>
  <c r="O120" i="1"/>
  <c r="O216" i="1"/>
  <c r="O352" i="1"/>
  <c r="O434" i="1"/>
  <c r="O152" i="1"/>
  <c r="O390" i="1"/>
  <c r="O8" i="1"/>
  <c r="O233" i="1"/>
  <c r="O339" i="1"/>
  <c r="O190" i="1"/>
  <c r="N153" i="1"/>
  <c r="N135" i="1"/>
  <c r="N86" i="1"/>
  <c r="N345" i="1"/>
  <c r="N45" i="1"/>
  <c r="N309" i="1"/>
  <c r="N329" i="1"/>
  <c r="N360" i="1"/>
  <c r="N90" i="1"/>
  <c r="N170" i="1"/>
  <c r="N349" i="1"/>
  <c r="N365" i="1"/>
  <c r="N234" i="1"/>
  <c r="N199" i="1"/>
  <c r="N224" i="1"/>
  <c r="N488" i="1"/>
  <c r="N125" i="1"/>
  <c r="N370" i="1"/>
  <c r="N415" i="1"/>
  <c r="N263" i="1"/>
  <c r="N291" i="1"/>
  <c r="N194" i="1"/>
  <c r="N396" i="1"/>
  <c r="N474" i="1"/>
  <c r="N419" i="1"/>
  <c r="N398" i="1"/>
  <c r="N106" i="1"/>
  <c r="N391" i="1"/>
  <c r="N118" i="1"/>
  <c r="N246" i="1"/>
  <c r="N394" i="1"/>
  <c r="N120" i="1"/>
  <c r="N313" i="1"/>
  <c r="N314" i="1"/>
  <c r="N210" i="1"/>
  <c r="N216" i="1"/>
  <c r="N438" i="1"/>
  <c r="N123" i="1"/>
  <c r="N442" i="1"/>
  <c r="N352" i="1"/>
  <c r="N113" i="1"/>
  <c r="N116" i="1"/>
  <c r="N338" i="1"/>
  <c r="N89" i="1"/>
  <c r="N223" i="1"/>
  <c r="N42" i="1"/>
  <c r="O222" i="1"/>
  <c r="O371" i="1"/>
  <c r="O264" i="1"/>
  <c r="O324" i="1"/>
  <c r="O56" i="1"/>
  <c r="O114" i="1"/>
  <c r="O333" i="1"/>
  <c r="O186" i="1"/>
  <c r="O376" i="1"/>
  <c r="O306" i="1"/>
  <c r="O456" i="1"/>
  <c r="O93" i="1"/>
  <c r="O29" i="1"/>
  <c r="O28" i="1"/>
  <c r="O20" i="1"/>
  <c r="O145" i="1"/>
  <c r="O197" i="1"/>
  <c r="O375" i="1"/>
  <c r="O299" i="1"/>
  <c r="N495" i="1"/>
  <c r="N14" i="1"/>
  <c r="N364" i="1"/>
  <c r="N134" i="1"/>
  <c r="N430" i="1"/>
  <c r="N50" i="1"/>
  <c r="N41" i="1"/>
  <c r="N182" i="1"/>
  <c r="N319" i="1"/>
  <c r="N262" i="1"/>
  <c r="N461" i="1"/>
  <c r="N128" i="1"/>
  <c r="N132" i="1"/>
  <c r="N55" i="1"/>
  <c r="N159" i="1"/>
  <c r="N327" i="1"/>
  <c r="N273" i="1"/>
  <c r="N470" i="1"/>
  <c r="N3" i="1"/>
  <c r="N436" i="1"/>
  <c r="N458" i="1"/>
  <c r="N136" i="1"/>
  <c r="N212" i="1"/>
  <c r="N386" i="1"/>
  <c r="N75" i="1"/>
  <c r="N209" i="1"/>
  <c r="N259" i="1"/>
  <c r="N448" i="1"/>
  <c r="N322" i="1"/>
  <c r="N166" i="1"/>
  <c r="N214" i="1"/>
  <c r="N500" i="1"/>
  <c r="N171" i="1"/>
  <c r="N462" i="1"/>
  <c r="N131" i="1"/>
  <c r="N374" i="1"/>
  <c r="N221" i="1"/>
  <c r="N467" i="1"/>
  <c r="N139" i="1"/>
  <c r="N489" i="1"/>
  <c r="N49" i="1"/>
  <c r="N344" i="1"/>
  <c r="N401" i="1"/>
  <c r="N380" i="1"/>
  <c r="N141" i="1"/>
  <c r="O153" i="1"/>
  <c r="O45" i="1"/>
  <c r="O90" i="1"/>
  <c r="O234" i="1"/>
  <c r="O125" i="1"/>
  <c r="O291" i="1"/>
  <c r="O419" i="1"/>
  <c r="O118" i="1"/>
  <c r="O313" i="1"/>
  <c r="O438" i="1"/>
  <c r="O176" i="1"/>
  <c r="O377" i="1"/>
  <c r="O205" i="1"/>
  <c r="O228" i="1"/>
  <c r="O368" i="1"/>
  <c r="O87" i="1"/>
  <c r="O295" i="1"/>
  <c r="O156" i="1"/>
  <c r="O385" i="1"/>
  <c r="O43" i="1"/>
  <c r="N290" i="1"/>
  <c r="N363" i="1"/>
  <c r="N6" i="1"/>
  <c r="N77" i="1"/>
  <c r="N304" i="1"/>
  <c r="N402" i="1"/>
  <c r="N126" i="1"/>
  <c r="N332" i="1"/>
  <c r="N57" i="1"/>
  <c r="N444" i="1"/>
  <c r="N407" i="1"/>
  <c r="N74" i="1"/>
  <c r="N16" i="1"/>
  <c r="N408" i="1"/>
  <c r="N17" i="1"/>
  <c r="N257" i="1"/>
  <c r="N479" i="1"/>
  <c r="N357" i="1"/>
  <c r="N79" i="1"/>
  <c r="N287" i="1"/>
  <c r="N174" i="1"/>
  <c r="N76" i="1"/>
  <c r="N180" i="1"/>
  <c r="N47" i="1"/>
  <c r="N410" i="1"/>
  <c r="N284" i="1"/>
  <c r="N22" i="1"/>
  <c r="N293" i="1"/>
  <c r="N404" i="1"/>
  <c r="N472" i="1"/>
  <c r="N384" i="1"/>
  <c r="N65" i="1"/>
  <c r="N451" i="1"/>
  <c r="N35" i="1"/>
  <c r="N21" i="1"/>
  <c r="N393" i="1"/>
  <c r="N395" i="1"/>
  <c r="N91" i="1"/>
  <c r="N316" i="1"/>
  <c r="N276" i="1"/>
  <c r="N119" i="1"/>
  <c r="N381" i="1"/>
  <c r="N148" i="1"/>
  <c r="N308" i="1"/>
  <c r="N185" i="1"/>
  <c r="O347" i="1"/>
  <c r="O281" i="1"/>
  <c r="O103" i="1"/>
  <c r="O230" i="1"/>
  <c r="O68" i="1"/>
  <c r="O241" i="1"/>
  <c r="O437" i="1"/>
  <c r="O476" i="1"/>
  <c r="O33" i="1"/>
  <c r="O323" i="1"/>
  <c r="O32" i="1"/>
  <c r="O137" i="1"/>
  <c r="O362" i="1"/>
  <c r="O59" i="1"/>
  <c r="O275" i="1"/>
  <c r="O47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<sst xmlns="http://schemas.openxmlformats.org/spreadsheetml/2006/main" count="3852" uniqueCount="127">
  <si>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</si>
  <si>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</si>
  <si>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</si>
  <si>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</si>
  <si>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</si>
  <si>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</si>
  <si>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</si>
  <si>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</si>
  <si>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</si>
  <si>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</si>
  <si>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</si>
  <si>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</si>
  <si>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Davis</t>
  </si>
  <si>
    <t>Smith</t>
  </si>
  <si>
    <t>Jones</t>
  </si>
  <si>
    <t>Wilson</t>
  </si>
  <si>
    <t>Taylor</t>
  </si>
  <si>
    <t>Williams</t>
  </si>
  <si>
    <t>Brown</t>
  </si>
  <si>
    <t>Miller</t>
  </si>
  <si>
    <t>Moore</t>
  </si>
  <si>
    <t>Johnson</t>
  </si>
  <si>
    <t>Germany</t>
  </si>
  <si>
    <t>Spain</t>
  </si>
  <si>
    <t>France</t>
  </si>
  <si>
    <t>Male</t>
  </si>
  <si>
    <t>Female</t>
  </si>
  <si>
    <t>Churn</t>
  </si>
  <si>
    <t>z-score of Balance</t>
  </si>
  <si>
    <t>z-score of Salary</t>
  </si>
  <si>
    <t>Average of Balance</t>
  </si>
  <si>
    <t>Average of Salary</t>
  </si>
  <si>
    <t>Std.dev. Of Balance</t>
  </si>
  <si>
    <t>Std.dev. Of Salary</t>
  </si>
  <si>
    <t>Row Labels</t>
  </si>
  <si>
    <t>Grand Total</t>
  </si>
  <si>
    <t>Count of Churn</t>
  </si>
  <si>
    <t>Column Labels</t>
  </si>
  <si>
    <t>Age Category</t>
  </si>
  <si>
    <t>Adults</t>
  </si>
  <si>
    <t>Old person</t>
  </si>
  <si>
    <t>Senior Citizens</t>
  </si>
  <si>
    <t>Youngsters</t>
  </si>
  <si>
    <t xml:space="preserve"> Is Active Member</t>
  </si>
  <si>
    <t>Has Cr. Card</t>
  </si>
  <si>
    <t>No. Of Products</t>
  </si>
  <si>
    <t>Tenure Period</t>
  </si>
  <si>
    <t>Large Tenure Period</t>
  </si>
  <si>
    <t>More Tenure Period</t>
  </si>
  <si>
    <t>No Tenure Period</t>
  </si>
  <si>
    <t>Less Tenure Period</t>
  </si>
  <si>
    <t>k</t>
  </si>
  <si>
    <t>People who have churn</t>
  </si>
  <si>
    <t>People who have not churn</t>
  </si>
  <si>
    <t>CS Category</t>
  </si>
  <si>
    <t>1 Star</t>
  </si>
  <si>
    <t>2 Star</t>
  </si>
  <si>
    <t>3 Star</t>
  </si>
  <si>
    <t>4 Star</t>
  </si>
  <si>
    <t>5 Star</t>
  </si>
  <si>
    <t xml:space="preserve"> </t>
  </si>
  <si>
    <t>Gender Category</t>
  </si>
  <si>
    <t>Geography Category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</si>
  <si>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</si>
  <si>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</si>
  <si>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</si>
  <si>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</si>
  <si>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</si>
  <si>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</si>
  <si>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</si>
  <si>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</si>
  <si>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</si>
  <si>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</si>
  <si>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</si>
  <si>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</si>
  <si>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</si>
  <si>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</si>
  <si>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</si>
  <si>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</si>
  <si>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</si>
  <si>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</si>
  <si>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</si>
  <si>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</si>
  <si>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</si>
  <si>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</si>
  <si>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</si>
  <si>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</si>
  <si>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</si>
  <si>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</si>
  <si>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</si>
  <si>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</si>
  <si>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</si>
  <si>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</si>
  <si>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</si>
  <si>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</si>
  <si>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</si>
  <si>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</si>
  <si>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</si>
  <si>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</si>
  <si>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t-Test: Two-Sample Assuming Equal Variances</t>
  </si>
  <si>
    <t>Variance</t>
  </si>
  <si>
    <t>Pooled Variance</t>
  </si>
  <si>
    <t>Hypothesized Mean Difference</t>
  </si>
  <si>
    <t>P(T&lt;=t) one-tail</t>
  </si>
  <si>
    <t>t Critical one-tail</t>
  </si>
  <si>
    <t>P(T&lt;=t) two-tail</t>
  </si>
  <si>
    <t>t Critical two-tail</t>
  </si>
  <si>
    <t>Anova: Single Factor</t>
  </si>
  <si>
    <t>SUMMARY</t>
  </si>
  <si>
    <t>Groups</t>
  </si>
  <si>
    <t>Average</t>
  </si>
  <si>
    <t>Source of Variation</t>
  </si>
  <si>
    <t>F crit</t>
  </si>
  <si>
    <t>Between Groups</t>
  </si>
  <si>
    <t>Within Groups</t>
  </si>
  <si>
    <t>No TP</t>
  </si>
  <si>
    <t>Less TP</t>
  </si>
  <si>
    <t>More TP</t>
  </si>
  <si>
    <t>Large TP</t>
  </si>
  <si>
    <t>Churn (NO=0)</t>
  </si>
  <si>
    <t>Churn (YES=1)</t>
  </si>
  <si>
    <t>Churned Customers Salary</t>
  </si>
  <si>
    <t>Non-Churned Customers Salary</t>
  </si>
  <si>
    <t>Count of CS Category</t>
  </si>
  <si>
    <t>+</t>
  </si>
  <si>
    <t>=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</si>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</sst>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0" applyFont="1"/>
    <xf numFmtId="2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" fontId="0" fillId="0" borderId="0" xfId="0" applyNumberFormat="1" applyAlignment="1">
      <alignment horizontal="left"/>
    </xf>
    <xf numFmtId="0" fontId="1" fillId="0" borderId="0" xfId="0" applyFont="1" applyAlignment="1">
      <alignment horizontal="center"/>
    </xf>
    <xf numFmtId="10" fontId="0" fillId="0" borderId="0" xfId="1" applyNumberFormat="1" applyFont="1"/>
    <xf numFmtId="0" fontId="0" fillId="0" borderId="0" xfId="0" applyAlignment="1">
      <alignment horizontal="right"/>
    </xf>
    <xf numFmtId="0" fontId="0" fillId="0" borderId="2" xfId="0" applyBorder="1"/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Continuous"/>
    </xf>
    <xf numFmtId="2" fontId="0" fillId="0" borderId="2" xfId="0" applyNumberFormat="1" applyBorder="1"/>
    <xf numFmtId="164" fontId="0" fillId="0" borderId="0" xfId="0" applyNumberFormat="1"/>
    <xf numFmtId="165" fontId="0" fillId="0" borderId="0" xfId="0" applyNumberFormat="1"/>
    <xf numFmtId="2" fontId="5" fillId="0" borderId="0" xfId="0" applyNumberFormat="1" applyFont="1"/>
    <xf numFmtId="2" fontId="2" fillId="0" borderId="2" xfId="0" applyNumberFormat="1" applyFont="1" applyBorder="1"/>
    <xf numFmtId="2" fontId="2" fillId="0" borderId="0" xfId="0" applyNumberFormat="1" applyFont="1"/>
    <xf numFmtId="2" fontId="1" fillId="0" borderId="0" xfId="0" applyNumberFormat="1" applyFont="1"/>
    <xf numFmtId="2" fontId="5" fillId="0" borderId="2" xfId="0" applyNumberFormat="1" applyFont="1" applyBorder="1"/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Continuous"/>
    </xf>
    <xf numFmtId="0" fontId="1" fillId="0" borderId="2" xfId="0" applyFont="1" applyBorder="1"/>
    <xf numFmtId="2" fontId="1" fillId="0" borderId="2" xfId="0" applyNumberFormat="1" applyFont="1" applyBorder="1"/>
    <xf numFmtId="0" fontId="9" fillId="0" borderId="0" xfId="0" applyFont="1"/>
    <xf numFmtId="2" fontId="9" fillId="0" borderId="0" xfId="0" applyNumberFormat="1" applyFont="1"/>
    <xf numFmtId="2" fontId="7" fillId="0" borderId="2" xfId="0" applyNumberFormat="1" applyFont="1" applyBorder="1"/>
    <xf numFmtId="2" fontId="8" fillId="0" borderId="2" xfId="0" applyNumberFormat="1" applyFont="1" applyBorder="1"/>
    <xf numFmtId="2" fontId="4" fillId="0" borderId="3" xfId="0" applyNumberFormat="1" applyFont="1" applyBorder="1" applyAlignment="1">
      <alignment horizontal="center"/>
    </xf>
    <xf numFmtId="2" fontId="6" fillId="0" borderId="3" xfId="0" applyNumberFormat="1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sheetMetadata" Target="metadata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Churn Dataset - Excel Analysis.xlsx]Gender Geography Age!PivotTable1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Churn Status ON the basis of</a:t>
            </a:r>
            <a:r>
              <a:rPr lang="en-US" sz="1050" baseline="0"/>
              <a:t> gender</a:t>
            </a:r>
            <a:endParaRPr lang="en-US" sz="1050"/>
          </a:p>
        </c:rich>
      </c:tx>
      <c:layout>
        <c:manualLayout>
          <c:xMode val="edge"/>
          <c:yMode val="edge"/>
          <c:x val="0.12365591397849461"/>
          <c:y val="0.16112832466338819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'Gender Geography Age'!$B$3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2-C3A5-4C09-9C95-B8CA795B7CEF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C3A5-4C09-9C95-B8CA795B7CEF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'Gender Geography Age'!$A$4:$A$10</c:f>
              <c:multiLvlStrCache>
                <c:ptCount val="4"/>
                <c:lvl>
                  <c:pt idx="0">
                    <c:v>0</c:v>
                  </c:pt>
                  <c:pt idx="1">
                    <c:v>1</c:v>
                  </c:pt>
                  <c:pt idx="2">
                    <c:v>0</c:v>
                  </c:pt>
                  <c:pt idx="3">
                    <c:v>1</c:v>
                  </c:pt>
                </c:lvl>
                <c:lvl>
                  <c:pt idx="0">
                    <c:v>Female</c:v>
                  </c:pt>
                  <c:pt idx="2">
                    <c:v> </c:v>
                  </c:pt>
                </c:lvl>
              </c:multiLvlStrCache>
            </c:multiLvlStrRef>
          </c:cat>
          <c:val>
            <c:numRef>
              <c:f>'Gender Geography Age'!$B$4:$B$10</c:f>
              <c:numCache>
                <c:formatCode>General</c:formatCode>
                <c:ptCount val="4"/>
                <c:pt idx="0">
                  <c:v>129</c:v>
                </c:pt>
                <c:pt idx="1">
                  <c:v>129</c:v>
                </c:pt>
                <c:pt idx="2">
                  <c:v>98</c:v>
                </c:pt>
                <c:pt idx="3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A5-4C09-9C95-B8CA795B7CE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Churn Dataset - Excel Analysis.xlsx]Gender Geography Age!PivotTable3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CHURN STATUS ON THE BASIS OF GEOGRAPHY</a:t>
            </a:r>
          </a:p>
        </c:rich>
      </c:tx>
      <c:layout>
        <c:manualLayout>
          <c:xMode val="edge"/>
          <c:yMode val="edge"/>
          <c:x val="0.18565845731200062"/>
          <c:y val="0.127118173672399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pPr>
            <a:solidFill>
              <a:schemeClr val="accent1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pPr>
            <a:solidFill>
              <a:schemeClr val="accent1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'Gender Geography Age'!$B$13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676-418E-866C-18198B8B50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676-418E-866C-18198B8B505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'Gender Geography Age'!$A$14:$A$17</c:f>
              <c:multiLvlStrCache>
                <c:ptCount val="2"/>
                <c:lvl>
                  <c:pt idx="0">
                    <c:v>0</c:v>
                  </c:pt>
                  <c:pt idx="1">
                    <c:v>1</c:v>
                  </c:pt>
                </c:lvl>
                <c:lvl>
                  <c:pt idx="0">
                    <c:v>France</c:v>
                  </c:pt>
                </c:lvl>
              </c:multiLvlStrCache>
            </c:multiLvlStrRef>
          </c:cat>
          <c:val>
            <c:numRef>
              <c:f>'Gender Geography Age'!$B$14:$B$17</c:f>
              <c:numCache>
                <c:formatCode>General</c:formatCode>
                <c:ptCount val="2"/>
                <c:pt idx="0">
                  <c:v>69</c:v>
                </c:pt>
                <c:pt idx="1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0A-4993-9A26-57120B5A5E7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Churn Dataset - Excel Analysis.xlsx]Gender Geography Age!PivotTable4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CHURN STATUS ON THE BASIS OF AGE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'Gender Geography Age'!$B$21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97D-41BB-98B5-1474DB138F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97D-41BB-98B5-1474DB138F2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'Gender Geography Age'!$A$22:$A$25</c:f>
              <c:multiLvlStrCache>
                <c:ptCount val="2"/>
                <c:lvl>
                  <c:pt idx="0">
                    <c:v>0</c:v>
                  </c:pt>
                  <c:pt idx="1">
                    <c:v>1</c:v>
                  </c:pt>
                </c:lvl>
                <c:lvl>
                  <c:pt idx="0">
                    <c:v>Senior Citizens</c:v>
                  </c:pt>
                </c:lvl>
              </c:multiLvlStrCache>
            </c:multiLvlStrRef>
          </c:cat>
          <c:val>
            <c:numRef>
              <c:f>'Gender Geography Age'!$B$22:$B$25</c:f>
              <c:numCache>
                <c:formatCode>General</c:formatCode>
                <c:ptCount val="2"/>
                <c:pt idx="0">
                  <c:v>62</c:v>
                </c:pt>
                <c:pt idx="1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E5-4157-BAB9-73F3C36B4EE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Churn Dataset - Excel Analysis.xlsx]Active Cr.Card Products!PivotTable5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CHURN STATUS ON THE BASIS OF ACTIVENESS</a:t>
            </a:r>
          </a:p>
        </c:rich>
      </c:tx>
      <c:layout>
        <c:manualLayout>
          <c:xMode val="edge"/>
          <c:yMode val="edge"/>
          <c:x val="0.18963066669172321"/>
          <c:y val="0.152746184504714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'Active Cr.Card Products'!$B$1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C04-4DC3-BFF7-7CB36301B2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C04-4DC3-BFF7-7CB36301B2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'Active Cr.Card Products'!$A$2:$A$4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'Active Cr.Card Products'!$B$2:$B$4</c:f>
              <c:numCache>
                <c:formatCode>General</c:formatCode>
                <c:ptCount val="2"/>
                <c:pt idx="0">
                  <c:v>262</c:v>
                </c:pt>
                <c:pt idx="1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E2-4AEA-B4FC-1A67797B651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82660010635925"/>
          <c:y val="0.50682498822262601"/>
          <c:w val="0.24089885006204287"/>
          <c:h val="0.144682936267581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Churn Dataset - Excel Analysis.xlsx]Tenure Cr. Score!PivotTable1</c:name>
    <c:fmtId val="0"/>
  </c:pivotSource>
  <c:chart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580927384076985E-2"/>
          <c:y val="0.14712744240303297"/>
          <c:w val="0.77578018372703417"/>
          <c:h val="0.65853091280256637"/>
        </c:manualLayout>
      </c:layout>
      <c:lineChart>
        <c:grouping val="standard"/>
        <c:varyColors val="0"/>
        <c:ser>
          <c:idx val="0"/>
          <c:order val="0"/>
          <c:tx>
            <c:strRef>
              <c:f>'Tenure Cr. Score'!$E$1:$E$2</c:f>
              <c:strCache>
                <c:ptCount val="1"/>
                <c:pt idx="0">
                  <c:v>0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'Tenure Cr. Score'!$D$3:$D$14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'Tenure Cr. Score'!$E$3:$E$14</c:f>
              <c:numCache>
                <c:formatCode>General</c:formatCode>
                <c:ptCount val="11"/>
                <c:pt idx="0">
                  <c:v>26</c:v>
                </c:pt>
                <c:pt idx="1">
                  <c:v>20</c:v>
                </c:pt>
                <c:pt idx="2">
                  <c:v>22</c:v>
                </c:pt>
                <c:pt idx="3">
                  <c:v>16</c:v>
                </c:pt>
                <c:pt idx="4">
                  <c:v>23</c:v>
                </c:pt>
                <c:pt idx="5">
                  <c:v>20</c:v>
                </c:pt>
                <c:pt idx="6">
                  <c:v>19</c:v>
                </c:pt>
                <c:pt idx="7">
                  <c:v>17</c:v>
                </c:pt>
                <c:pt idx="8">
                  <c:v>15</c:v>
                </c:pt>
                <c:pt idx="9">
                  <c:v>20</c:v>
                </c:pt>
                <c:pt idx="10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91-418E-B06D-0ED61F8572BD}"/>
            </c:ext>
          </c:extLst>
        </c:ser>
        <c:ser>
          <c:idx val="1"/>
          <c:order val="1"/>
          <c:tx>
            <c:strRef>
              <c:f>'Tenure Cr. Score'!$F$1:$F$2</c:f>
              <c:strCache>
                <c:ptCount val="1"/>
                <c:pt idx="0">
                  <c:v>1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'Tenure Cr. Score'!$D$3:$D$14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'Tenure Cr. Score'!$F$3:$F$14</c:f>
              <c:numCache>
                <c:formatCode>General</c:formatCode>
                <c:ptCount val="11"/>
                <c:pt idx="0">
                  <c:v>17</c:v>
                </c:pt>
                <c:pt idx="1">
                  <c:v>24</c:v>
                </c:pt>
                <c:pt idx="2">
                  <c:v>25</c:v>
                </c:pt>
                <c:pt idx="3">
                  <c:v>24</c:v>
                </c:pt>
                <c:pt idx="4">
                  <c:v>21</c:v>
                </c:pt>
                <c:pt idx="5">
                  <c:v>24</c:v>
                </c:pt>
                <c:pt idx="6">
                  <c:v>28</c:v>
                </c:pt>
                <c:pt idx="7">
                  <c:v>26</c:v>
                </c:pt>
                <c:pt idx="8">
                  <c:v>24</c:v>
                </c:pt>
                <c:pt idx="9">
                  <c:v>33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91-418E-B06D-0ED61F8572B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43923024"/>
        <c:axId val="443913904"/>
      </c:lineChart>
      <c:catAx>
        <c:axId val="4439230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13904"/>
        <c:crosses val="autoZero"/>
        <c:auto val="1"/>
        <c:lblAlgn val="ctr"/>
        <c:lblOffset val="100"/>
        <c:noMultiLvlLbl val="0"/>
      </c:catAx>
      <c:valAx>
        <c:axId val="4439139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2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569444444444444"/>
          <c:y val="0.41601888305628465"/>
          <c:w val="0.11597222222222223"/>
          <c:h val="0.218887795275590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Churn Dataset - Excel Analysis.xlsx]Tenure Cr. Score!PivotTable3</c:name>
    <c:fmtId val="0"/>
  </c:pivotSource>
  <c:chart>
    <c:autoTitleDeleted val="1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'Tenure Cr. Score'!$B$19:$B$20</c:f>
              <c:strCache>
                <c:ptCount val="1"/>
                <c:pt idx="0">
                  <c:v>0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'Tenure Cr. Score'!$A$21:$A$26</c:f>
              <c:strCache>
                <c:ptCount val="5"/>
                <c:pt idx="0">
                  <c:v>1 Star</c:v>
                </c:pt>
                <c:pt idx="1">
                  <c:v>2 Star</c:v>
                </c:pt>
                <c:pt idx="2">
                  <c:v>3 Star</c:v>
                </c:pt>
                <c:pt idx="3">
                  <c:v>4 Star</c:v>
                </c:pt>
                <c:pt idx="4">
                  <c:v>5 Star</c:v>
                </c:pt>
              </c:strCache>
            </c:strRef>
          </c:cat>
          <c:val>
            <c:numRef>
              <c:f>'Tenure Cr. Score'!$B$21:$B$26</c:f>
              <c:numCache>
                <c:formatCode>0</c:formatCode>
                <c:ptCount val="5"/>
                <c:pt idx="0">
                  <c:v>83</c:v>
                </c:pt>
                <c:pt idx="1">
                  <c:v>36</c:v>
                </c:pt>
                <c:pt idx="2">
                  <c:v>42</c:v>
                </c:pt>
                <c:pt idx="3">
                  <c:v>30</c:v>
                </c:pt>
                <c:pt idx="4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21-4E6D-96F7-8AAFA7676B3A}"/>
            </c:ext>
          </c:extLst>
        </c:ser>
        <c:ser>
          <c:idx val="1"/>
          <c:order val="1"/>
          <c:tx>
            <c:strRef>
              <c:f>'Tenure Cr. Score'!$C$19:$C$20</c:f>
              <c:strCache>
                <c:ptCount val="1"/>
                <c:pt idx="0">
                  <c:v>1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'Tenure Cr. Score'!$A$21:$A$26</c:f>
              <c:strCache>
                <c:ptCount val="5"/>
                <c:pt idx="0">
                  <c:v>1 Star</c:v>
                </c:pt>
                <c:pt idx="1">
                  <c:v>2 Star</c:v>
                </c:pt>
                <c:pt idx="2">
                  <c:v>3 Star</c:v>
                </c:pt>
                <c:pt idx="3">
                  <c:v>4 Star</c:v>
                </c:pt>
                <c:pt idx="4">
                  <c:v>5 Star</c:v>
                </c:pt>
              </c:strCache>
            </c:strRef>
          </c:cat>
          <c:val>
            <c:numRef>
              <c:f>'Tenure Cr. Score'!$C$21:$C$26</c:f>
              <c:numCache>
                <c:formatCode>0</c:formatCode>
                <c:ptCount val="5"/>
                <c:pt idx="0">
                  <c:v>106</c:v>
                </c:pt>
                <c:pt idx="1">
                  <c:v>44</c:v>
                </c:pt>
                <c:pt idx="2">
                  <c:v>54</c:v>
                </c:pt>
                <c:pt idx="3">
                  <c:v>28</c:v>
                </c:pt>
                <c:pt idx="4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21-4E6D-96F7-8AAFA7676B3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46239104"/>
        <c:axId val="1146249664"/>
      </c:lineChart>
      <c:catAx>
        <c:axId val="11462391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249664"/>
        <c:crosses val="autoZero"/>
        <c:auto val="1"/>
        <c:lblAlgn val="ctr"/>
        <c:lblOffset val="100"/>
        <c:noMultiLvlLbl val="0"/>
      </c:catAx>
      <c:valAx>
        <c:axId val="11462496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23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Churn Dataset - Excel Analysis.xlsx]Tenure Cr. Score!PivotTable9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CHURN STATUS ON THE BASIS OF TP</a:t>
            </a:r>
          </a:p>
        </c:rich>
      </c:tx>
      <c:layout>
        <c:manualLayout>
          <c:xMode val="edge"/>
          <c:yMode val="edge"/>
          <c:x val="0.16493444271846971"/>
          <c:y val="0.116816751497223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'Tenure Cr. Score'!$B$1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086-442B-B29E-7DBBEA68B8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086-442B-B29E-7DBBEA68B8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'Tenure Cr. Score'!$A$2:$A$5</c:f>
              <c:multiLvlStrCache>
                <c:ptCount val="2"/>
                <c:lvl>
                  <c:pt idx="0">
                    <c:v>0</c:v>
                  </c:pt>
                  <c:pt idx="1">
                    <c:v>1</c:v>
                  </c:pt>
                </c:lvl>
                <c:lvl>
                  <c:pt idx="0">
                    <c:v>Large Tenure Period</c:v>
                  </c:pt>
                </c:lvl>
              </c:multiLvlStrCache>
            </c:multiLvlStrRef>
          </c:cat>
          <c:val>
            <c:numRef>
              <c:f>'Tenure Cr. Score'!$B$2:$B$5</c:f>
              <c:numCache>
                <c:formatCode>General</c:formatCode>
                <c:ptCount val="2"/>
                <c:pt idx="0">
                  <c:v>64</c:v>
                </c:pt>
                <c:pt idx="1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8B-483E-9984-3E6ADFB3FE7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0</xdr:row>
      <xdr:rowOff>0</xdr:rowOff>
    </xdr:from>
    <xdr:to>
      <xdr:col>10</xdr:col>
      <xdr:colOff>281940</xdr:colOff>
      <xdr:row>11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F58FB3-3C3B-CB65-5603-47B7AA4FCA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213360</xdr:colOff>
      <xdr:row>0</xdr:row>
      <xdr:rowOff>0</xdr:rowOff>
    </xdr:from>
    <xdr:to>
      <xdr:col>16</xdr:col>
      <xdr:colOff>266700</xdr:colOff>
      <xdr:row>14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D68D04-BCF0-5330-060B-95DB3B0A6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327660</xdr:colOff>
      <xdr:row>17</xdr:row>
      <xdr:rowOff>0</xdr:rowOff>
    </xdr:from>
    <xdr:to>
      <xdr:col>13</xdr:col>
      <xdr:colOff>251460</xdr:colOff>
      <xdr:row>30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CAA754-FF25-50E5-1540-6A647E7C1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9</xdr:col>
      <xdr:colOff>144780</xdr:colOff>
      <xdr:row>12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5ECA8C-556A-DB93-252E-C4D4D76604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129540</xdr:colOff>
      <xdr:row>0</xdr:row>
      <xdr:rowOff>7620</xdr:rowOff>
    </xdr:from>
    <xdr:to>
      <xdr:col>14</xdr:col>
      <xdr:colOff>434340</xdr:colOff>
      <xdr:row>14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C4865F-33B7-29BB-DD30-ECDDA738D3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266700</xdr:colOff>
      <xdr:row>17</xdr:row>
      <xdr:rowOff>175260</xdr:rowOff>
    </xdr:from>
    <xdr:to>
      <xdr:col>11</xdr:col>
      <xdr:colOff>205740</xdr:colOff>
      <xdr:row>32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F168A5-882A-F5B6-B73B-516342C360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0</xdr:row>
      <xdr:rowOff>0</xdr:rowOff>
    </xdr:from>
    <xdr:to>
      <xdr:col>20</xdr:col>
      <xdr:colOff>312420</xdr:colOff>
      <xdr:row>15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61B5D5-0261-3960-9285-4E1B4F9278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ertika Agrawal" refreshedDate="45885.343546759257" createdVersion="8" refreshedVersion="8" minRefreshableVersion="3" recordCount="499" xr:uid="{5AEDB8CC-EE73-436C-9D1E-EE9594558FE8}">
  <cacheSource type="worksheet">
    <worksheetSource ref="A1:M500" sheet="DATA"/>
  </cacheSource>
  <cacheFields count="13">
    <cacheField name="CustomerID" numFmtId="0">
      <sharedItems containsSemiMixedTypes="0" containsString="0" containsNumber="1" containsInteger="1" minValue="1" maxValue="500"/>
    </cacheField>
    <cacheField name="Surname" numFmtId="0">
      <sharedItems/>
    </cacheField>
    <cacheField name="CreditScore" numFmtId="1">
      <sharedItems containsSemiMixedTypes="0" containsString="0" containsNumber="1" containsInteger="1" minValue="350" maxValue="849"/>
    </cacheField>
    <cacheField name="Geography" numFmtId="0">
      <sharedItems count="3">
        <s v="Spain"/>
        <s v="France"/>
        <s v="Germany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91"/>
    </cacheField>
    <cacheField name="Tenure" numFmtId="1">
      <sharedItems containsSemiMixedTypes="0" containsString="0" containsNumber="1" containsInteger="1" minValue="0" maxValue="10"/>
    </cacheField>
    <cacheField name="Balance" numFmtId="2">
      <sharedItems containsSemiMixedTypes="0" containsString="0" containsNumber="1" minValue="46.68" maxValue="249802"/>
    </cacheField>
    <cacheField name="NumOfProducts" numFmtId="1">
      <sharedItems containsSemiMixedTypes="0" containsString="0" containsNumber="1" containsInteger="1" minValue="1" maxValue="4"/>
    </cacheField>
    <cacheField name="HasCrCard" numFmtId="0">
      <sharedItems containsSemiMixedTypes="0" containsString="0" containsNumber="1" containsInteger="1" minValue="0" maxValue="1"/>
    </cacheField>
    <cacheField name="IsActiveMember" numFmtId="0">
      <sharedItems containsSemiMixedTypes="0" containsString="0" containsNumber="1" containsInteger="1" minValue="0" maxValue="1"/>
    </cacheField>
    <cacheField name="EstimatedSalary" numFmtId="2">
      <sharedItems containsSemiMixedTypes="0" containsString="0" containsNumber="1" minValue="10127.81" maxValue="149768.04999999999"/>
    </cacheField>
    <cacheField name="Churn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ertika Agrawal" refreshedDate="45885.356790509257" createdVersion="8" refreshedVersion="8" minRefreshableVersion="3" recordCount="499" xr:uid="{23E715DB-D318-4A9C-8857-D506B7F4D38A}">
  <cacheSource type="worksheet">
    <worksheetSource ref="A1:P500" sheet="DATA"/>
  </cacheSource>
  <cacheFields count="16">
    <cacheField name="CustomerID" numFmtId="0">
      <sharedItems containsSemiMixedTypes="0" containsString="0" containsNumber="1" containsInteger="1" minValue="1" maxValue="500"/>
    </cacheField>
    <cacheField name="Surname" numFmtId="0">
      <sharedItems/>
    </cacheField>
    <cacheField name="CreditScore" numFmtId="1">
      <sharedItems containsSemiMixedTypes="0" containsString="0" containsNumber="1" containsInteger="1" minValue="350" maxValue="849"/>
    </cacheField>
    <cacheField name="Geography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91"/>
    </cacheField>
    <cacheField name="Tenure" numFmtId="1">
      <sharedItems containsSemiMixedTypes="0" containsString="0" containsNumber="1" containsInteger="1" minValue="0" maxValue="10"/>
    </cacheField>
    <cacheField name="Balance" numFmtId="2">
      <sharedItems containsSemiMixedTypes="0" containsString="0" containsNumber="1" minValue="46.68" maxValue="249802"/>
    </cacheField>
    <cacheField name="NumOfProducts" numFmtId="1">
      <sharedItems containsSemiMixedTypes="0" containsString="0" containsNumber="1" containsInteger="1" minValue="1" maxValue="4" count="4">
        <n v="4"/>
        <n v="1"/>
        <n v="3"/>
        <n v="2"/>
      </sharedItems>
    </cacheField>
    <cacheField name="HasCrCard" numFmtId="0">
      <sharedItems containsSemiMixedTypes="0" containsString="0" containsNumber="1" containsInteger="1" minValue="0" maxValue="1" count="2">
        <n v="0"/>
        <n v="1"/>
      </sharedItems>
    </cacheField>
    <cacheField name="IsActiveMember" numFmtId="0">
      <sharedItems containsSemiMixedTypes="0" containsString="0" containsNumber="1" containsInteger="1" minValue="0" maxValue="1" count="2">
        <n v="0"/>
        <n v="1"/>
      </sharedItems>
    </cacheField>
    <cacheField name="EstimatedSalary" numFmtId="2">
      <sharedItems containsSemiMixedTypes="0" containsString="0" containsNumber="1" minValue="10127.81" maxValue="149768.04999999999"/>
    </cacheField>
    <cacheField name="Churn" numFmtId="0">
      <sharedItems containsSemiMixedTypes="0" containsString="0" containsNumber="1" containsInteger="1" minValue="0" maxValue="1" count="2">
        <n v="1"/>
        <n v="0"/>
      </sharedItems>
    </cacheField>
    <cacheField name="z-score of Balance" numFmtId="2">
      <sharedItems containsSemiMixedTypes="0" containsString="0" containsNumber="1" minValue="-1.7832114493453484" maxValue="1.6869378450318577"/>
    </cacheField>
    <cacheField name="z-score of Salary" numFmtId="2">
      <sharedItems containsSemiMixedTypes="0" containsString="0" containsNumber="1" minValue="-1.761676898000945" maxValue="1.6506196640495703"/>
    </cacheField>
    <cacheField name="Age Category" numFmtId="0">
      <sharedItems count="4">
        <s v="Senior Citizens"/>
        <s v="Old person"/>
        <s v="Adults"/>
        <s v="Youngste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ertika Agrawal" refreshedDate="45885.381949305556" createdVersion="8" refreshedVersion="8" minRefreshableVersion="3" recordCount="499" xr:uid="{AA7AA4F1-D7EA-44C0-BF01-E33541D0DA5F}">
  <cacheSource type="worksheet">
    <worksheetSource ref="A1:Q500" sheet="DATA"/>
  </cacheSource>
  <cacheFields count="17">
    <cacheField name="CustomerID" numFmtId="0">
      <sharedItems containsSemiMixedTypes="0" containsString="0" containsNumber="1" containsInteger="1" minValue="1" maxValue="500"/>
    </cacheField>
    <cacheField name="Surname" numFmtId="0">
      <sharedItems/>
    </cacheField>
    <cacheField name="CreditScore" numFmtId="1">
      <sharedItems containsSemiMixedTypes="0" containsString="0" containsNumber="1" containsInteger="1" minValue="350" maxValue="849"/>
    </cacheField>
    <cacheField name="Geography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91"/>
    </cacheField>
    <cacheField name="Tenure" numFmtId="1">
      <sharedItems containsSemiMixedTypes="0" containsString="0" containsNumber="1" containsInteger="1" minValue="0" maxValue="10" count="11">
        <n v="0"/>
        <n v="1"/>
        <n v="2"/>
        <n v="3"/>
        <n v="4"/>
        <n v="5"/>
        <n v="6"/>
        <n v="7"/>
        <n v="8"/>
        <n v="9"/>
        <n v="10"/>
      </sharedItems>
    </cacheField>
    <cacheField name="Balance" numFmtId="2">
      <sharedItems containsSemiMixedTypes="0" containsString="0" containsNumber="1" minValue="46.68" maxValue="249802"/>
    </cacheField>
    <cacheField name="NumOfProducts" numFmtId="1">
      <sharedItems containsSemiMixedTypes="0" containsString="0" containsNumber="1" containsInteger="1" minValue="1" maxValue="4"/>
    </cacheField>
    <cacheField name="HasCrCard" numFmtId="0">
      <sharedItems containsSemiMixedTypes="0" containsString="0" containsNumber="1" containsInteger="1" minValue="0" maxValue="1"/>
    </cacheField>
    <cacheField name="IsActiveMember" numFmtId="0">
      <sharedItems containsSemiMixedTypes="0" containsString="0" containsNumber="1" containsInteger="1" minValue="0" maxValue="1"/>
    </cacheField>
    <cacheField name="EstimatedSalary" numFmtId="2">
      <sharedItems containsSemiMixedTypes="0" containsString="0" containsNumber="1" minValue="10127.81" maxValue="149768.04999999999"/>
    </cacheField>
    <cacheField name="Churn" numFmtId="0">
      <sharedItems containsSemiMixedTypes="0" containsString="0" containsNumber="1" containsInteger="1" minValue="0" maxValue="1" count="2">
        <n v="1"/>
        <n v="0"/>
      </sharedItems>
    </cacheField>
    <cacheField name="z-score of Balance" numFmtId="2">
      <sharedItems containsSemiMixedTypes="0" containsString="0" containsNumber="1" minValue="-1.7832114493453557" maxValue="1.6869378450318631"/>
    </cacheField>
    <cacheField name="z-score of Salary" numFmtId="2">
      <sharedItems containsSemiMixedTypes="0" containsString="0" containsNumber="1" minValue="-1.7616768980009316" maxValue="1.6506196640495618"/>
    </cacheField>
    <cacheField name="Age Category" numFmtId="0">
      <sharedItems/>
    </cacheField>
    <cacheField name="Tenure Period" numFmtId="0">
      <sharedItems count="4">
        <s v="No Tenure Period"/>
        <s v="Less Tenure Period"/>
        <s v="More Tenure Period"/>
        <s v="Large Tenure Perio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ertika Agrawal" refreshedDate="45885.580267361111" createdVersion="8" refreshedVersion="8" minRefreshableVersion="3" recordCount="499" xr:uid="{668CB7C1-F4AE-4E2D-B1A7-D1CC9A057183}">
  <cacheSource type="worksheet">
    <worksheetSource ref="A1:R500" sheet="DATA"/>
  </cacheSource>
  <cacheFields count="18">
    <cacheField name="CustomerID" numFmtId="0">
      <sharedItems containsSemiMixedTypes="0" containsString="0" containsNumber="1" containsInteger="1" minValue="1" maxValue="500"/>
    </cacheField>
    <cacheField name="Surname" numFmtId="0">
      <sharedItems/>
    </cacheField>
    <cacheField name="CreditScore" numFmtId="1">
      <sharedItems containsSemiMixedTypes="0" containsString="0" containsNumber="1" containsInteger="1" minValue="350" maxValue="849"/>
    </cacheField>
    <cacheField name="Geography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91"/>
    </cacheField>
    <cacheField name="Tenure" numFmtId="1">
      <sharedItems containsSemiMixedTypes="0" containsString="0" containsNumber="1" containsInteger="1" minValue="0" maxValue="10"/>
    </cacheField>
    <cacheField name="Balance" numFmtId="2">
      <sharedItems containsSemiMixedTypes="0" containsString="0" containsNumber="1" minValue="46.68" maxValue="249802"/>
    </cacheField>
    <cacheField name="NumOfProducts" numFmtId="1">
      <sharedItems containsSemiMixedTypes="0" containsString="0" containsNumber="1" containsInteger="1" minValue="1" maxValue="4"/>
    </cacheField>
    <cacheField name="HasCrCard" numFmtId="0">
      <sharedItems containsSemiMixedTypes="0" containsString="0" containsNumber="1" containsInteger="1" minValue="0" maxValue="1"/>
    </cacheField>
    <cacheField name="IsActiveMember" numFmtId="0">
      <sharedItems containsSemiMixedTypes="0" containsString="0" containsNumber="1" containsInteger="1" minValue="0" maxValue="1"/>
    </cacheField>
    <cacheField name="EstimatedSalary" numFmtId="2">
      <sharedItems containsSemiMixedTypes="0" containsString="0" containsNumber="1" minValue="10127.81" maxValue="149768.04999999999"/>
    </cacheField>
    <cacheField name="Churn" numFmtId="0">
      <sharedItems containsSemiMixedTypes="0" containsString="0" containsNumber="1" containsInteger="1" minValue="0" maxValue="1" count="2">
        <n v="0"/>
        <n v="1"/>
      </sharedItems>
    </cacheField>
    <cacheField name="z-score of Balance" numFmtId="2">
      <sharedItems containsSemiMixedTypes="0" containsString="0" containsNumber="1" minValue="-1.7832114493453435" maxValue="1.6869378450318555"/>
    </cacheField>
    <cacheField name="z-score of Salary" numFmtId="2">
      <sharedItems containsSemiMixedTypes="0" containsString="0" containsNumber="1" minValue="-1.761676898000931" maxValue="1.6506196640495614"/>
    </cacheField>
    <cacheField name="Age Category" numFmtId="0">
      <sharedItems/>
    </cacheField>
    <cacheField name="Tenure Period" numFmtId="0">
      <sharedItems/>
    </cacheField>
    <cacheField name="CS Category" numFmtId="0">
      <sharedItems count="5">
        <s v="1 Star"/>
        <s v="2 Star"/>
        <s v="3 Star"/>
        <s v="4 Star"/>
        <s v="5 Sta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ertika Agrawal" refreshedDate="45886.389282175929" createdVersion="8" refreshedVersion="8" minRefreshableVersion="3" recordCount="499" xr:uid="{60B5116D-F8B4-4622-A7E2-F94F09EC50CA}">
  <cacheSource type="worksheet">
    <worksheetSource ref="A1:B500" sheet="Age vs CS"/>
  </cacheSource>
  <cacheFields count="2">
    <cacheField name="Age Category" numFmtId="0">
      <sharedItems count="4">
        <s v="Youngsters"/>
        <s v="Old person"/>
        <s v="Adults"/>
        <s v="Senior Citizens"/>
      </sharedItems>
    </cacheField>
    <cacheField name="CS Category" numFmtId="0">
      <sharedItems count="5">
        <s v="5 Star"/>
        <s v="1 Star"/>
        <s v="3 Star"/>
        <s v="4 Star"/>
        <s v="2 Sta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n v="62"/>
    <s v="Johnson"/>
    <n v="826"/>
    <x v="0"/>
    <x v="0"/>
    <n v="72"/>
    <n v="1"/>
    <n v="60209.09"/>
    <n v="1"/>
    <n v="0"/>
    <n v="0"/>
    <n v="10127.81"/>
    <x v="0"/>
  </r>
  <r>
    <n v="208"/>
    <s v="Jones"/>
    <n v="583"/>
    <x v="1"/>
    <x v="1"/>
    <n v="48"/>
    <n v="10"/>
    <n v="111620.9"/>
    <n v="1"/>
    <n v="1"/>
    <n v="1"/>
    <n v="10423.709999999999"/>
    <x v="0"/>
  </r>
  <r>
    <n v="153"/>
    <s v="Miller"/>
    <n v="640"/>
    <x v="0"/>
    <x v="0"/>
    <n v="70"/>
    <n v="2"/>
    <n v="47856.39"/>
    <n v="1"/>
    <n v="0"/>
    <n v="1"/>
    <n v="11462.63"/>
    <x v="0"/>
  </r>
  <r>
    <n v="495"/>
    <s v="Smith"/>
    <n v="451"/>
    <x v="2"/>
    <x v="0"/>
    <n v="62"/>
    <n v="7"/>
    <n v="38075.550000000003"/>
    <n v="2"/>
    <n v="0"/>
    <n v="1"/>
    <n v="11580.61"/>
    <x v="1"/>
  </r>
  <r>
    <n v="290"/>
    <s v="Jones"/>
    <n v="720"/>
    <x v="2"/>
    <x v="1"/>
    <n v="40"/>
    <n v="0"/>
    <n v="115463.15"/>
    <n v="2"/>
    <n v="1"/>
    <n v="0"/>
    <n v="11871.68"/>
    <x v="1"/>
  </r>
  <r>
    <n v="78"/>
    <s v="Brown"/>
    <n v="600"/>
    <x v="0"/>
    <x v="1"/>
    <n v="27"/>
    <n v="7"/>
    <n v="127193.14"/>
    <n v="2"/>
    <n v="0"/>
    <n v="0"/>
    <n v="11971.58"/>
    <x v="1"/>
  </r>
  <r>
    <n v="347"/>
    <s v="Miller"/>
    <n v="753"/>
    <x v="2"/>
    <x v="1"/>
    <n v="30"/>
    <n v="7"/>
    <n v="151272.32999999999"/>
    <n v="2"/>
    <n v="0"/>
    <n v="0"/>
    <n v="12942.16"/>
    <x v="1"/>
  </r>
  <r>
    <n v="389"/>
    <s v="Brown"/>
    <n v="540"/>
    <x v="1"/>
    <x v="1"/>
    <n v="73"/>
    <n v="7"/>
    <n v="244670.66"/>
    <n v="2"/>
    <n v="1"/>
    <n v="1"/>
    <n v="12942.78"/>
    <x v="1"/>
  </r>
  <r>
    <n v="140"/>
    <s v="Williams"/>
    <n v="787"/>
    <x v="0"/>
    <x v="1"/>
    <n v="38"/>
    <n v="9"/>
    <n v="216858.41"/>
    <n v="1"/>
    <n v="0"/>
    <n v="1"/>
    <n v="13005.86"/>
    <x v="1"/>
  </r>
  <r>
    <n v="454"/>
    <s v="Moore"/>
    <n v="473"/>
    <x v="2"/>
    <x v="0"/>
    <n v="31"/>
    <n v="4"/>
    <n v="148788.01"/>
    <n v="2"/>
    <n v="1"/>
    <n v="1"/>
    <n v="13370.94"/>
    <x v="0"/>
  </r>
  <r>
    <n v="135"/>
    <s v="Moore"/>
    <n v="752"/>
    <x v="2"/>
    <x v="1"/>
    <n v="32"/>
    <n v="2"/>
    <n v="239097.38"/>
    <n v="1"/>
    <n v="1"/>
    <n v="1"/>
    <n v="13545.02"/>
    <x v="0"/>
  </r>
  <r>
    <n v="13"/>
    <s v="Moore"/>
    <n v="464"/>
    <x v="0"/>
    <x v="1"/>
    <n v="37"/>
    <n v="2"/>
    <n v="58317.75"/>
    <n v="3"/>
    <n v="0"/>
    <n v="0"/>
    <n v="13740.96"/>
    <x v="1"/>
  </r>
  <r>
    <n v="363"/>
    <s v="Brown"/>
    <n v="430"/>
    <x v="0"/>
    <x v="1"/>
    <n v="45"/>
    <n v="9"/>
    <n v="226048.06"/>
    <n v="4"/>
    <n v="1"/>
    <n v="1"/>
    <n v="13741.1"/>
    <x v="0"/>
  </r>
  <r>
    <n v="189"/>
    <s v="Jones"/>
    <n v="434"/>
    <x v="0"/>
    <x v="0"/>
    <n v="46"/>
    <n v="6"/>
    <n v="229121.35"/>
    <n v="2"/>
    <n v="1"/>
    <n v="0"/>
    <n v="14185.62"/>
    <x v="1"/>
  </r>
  <r>
    <n v="295"/>
    <s v="Moore"/>
    <n v="507"/>
    <x v="1"/>
    <x v="1"/>
    <n v="67"/>
    <n v="5"/>
    <n v="179102.53"/>
    <n v="1"/>
    <n v="0"/>
    <n v="0"/>
    <n v="14556.33"/>
    <x v="0"/>
  </r>
  <r>
    <n v="265"/>
    <s v="Wilson"/>
    <n v="478"/>
    <x v="1"/>
    <x v="0"/>
    <n v="74"/>
    <n v="2"/>
    <n v="50125.4"/>
    <n v="4"/>
    <n v="1"/>
    <n v="1"/>
    <n v="14640.19"/>
    <x v="0"/>
  </r>
  <r>
    <n v="466"/>
    <s v="Jones"/>
    <n v="646"/>
    <x v="1"/>
    <x v="1"/>
    <n v="40"/>
    <n v="7"/>
    <n v="66516.78"/>
    <n v="4"/>
    <n v="1"/>
    <n v="0"/>
    <n v="14893.47"/>
    <x v="0"/>
  </r>
  <r>
    <n v="346"/>
    <s v="Moore"/>
    <n v="500"/>
    <x v="1"/>
    <x v="0"/>
    <n v="54"/>
    <n v="7"/>
    <n v="56107.72"/>
    <n v="3"/>
    <n v="1"/>
    <n v="0"/>
    <n v="15514.32"/>
    <x v="1"/>
  </r>
  <r>
    <n v="86"/>
    <s v="Wilson"/>
    <n v="750"/>
    <x v="0"/>
    <x v="1"/>
    <n v="55"/>
    <n v="5"/>
    <n v="175912.59"/>
    <n v="2"/>
    <n v="1"/>
    <n v="1"/>
    <n v="15679.54"/>
    <x v="1"/>
  </r>
  <r>
    <n v="364"/>
    <s v="Brown"/>
    <n v="763"/>
    <x v="1"/>
    <x v="1"/>
    <n v="59"/>
    <n v="0"/>
    <n v="99046.96"/>
    <n v="4"/>
    <n v="1"/>
    <n v="0"/>
    <n v="15699.41"/>
    <x v="1"/>
  </r>
  <r>
    <n v="5"/>
    <s v="Wilson"/>
    <n v="659"/>
    <x v="0"/>
    <x v="1"/>
    <n v="21"/>
    <n v="2"/>
    <n v="7463.43"/>
    <n v="1"/>
    <n v="1"/>
    <n v="1"/>
    <n v="16036.55"/>
    <x v="1"/>
  </r>
  <r>
    <n v="57"/>
    <s v="Brown"/>
    <n v="634"/>
    <x v="2"/>
    <x v="1"/>
    <n v="57"/>
    <n v="6"/>
    <n v="147135.54"/>
    <n v="4"/>
    <n v="1"/>
    <n v="0"/>
    <n v="16131.69"/>
    <x v="0"/>
  </r>
  <r>
    <n v="24"/>
    <s v="Taylor"/>
    <n v="443"/>
    <x v="1"/>
    <x v="1"/>
    <n v="70"/>
    <n v="0"/>
    <n v="116986.77"/>
    <n v="2"/>
    <n v="0"/>
    <n v="0"/>
    <n v="16197.08"/>
    <x v="1"/>
  </r>
  <r>
    <n v="203"/>
    <s v="Davis"/>
    <n v="452"/>
    <x v="0"/>
    <x v="0"/>
    <n v="20"/>
    <n v="2"/>
    <n v="240624.04"/>
    <n v="3"/>
    <n v="0"/>
    <n v="0"/>
    <n v="16236.92"/>
    <x v="0"/>
  </r>
  <r>
    <n v="353"/>
    <s v="Johnson"/>
    <n v="611"/>
    <x v="2"/>
    <x v="1"/>
    <n v="36"/>
    <n v="4"/>
    <n v="124751.31"/>
    <n v="1"/>
    <n v="0"/>
    <n v="0"/>
    <n v="16581.23"/>
    <x v="0"/>
  </r>
  <r>
    <n v="464"/>
    <s v="Jones"/>
    <n v="559"/>
    <x v="1"/>
    <x v="1"/>
    <n v="47"/>
    <n v="4"/>
    <n v="88260.36"/>
    <n v="3"/>
    <n v="0"/>
    <n v="1"/>
    <n v="16813.419999999998"/>
    <x v="0"/>
  </r>
  <r>
    <n v="345"/>
    <s v="Smith"/>
    <n v="837"/>
    <x v="1"/>
    <x v="1"/>
    <n v="78"/>
    <n v="1"/>
    <n v="68129.600000000006"/>
    <n v="2"/>
    <n v="0"/>
    <n v="0"/>
    <n v="17554.759999999998"/>
    <x v="0"/>
  </r>
  <r>
    <n v="134"/>
    <s v="Jones"/>
    <n v="511"/>
    <x v="0"/>
    <x v="1"/>
    <n v="38"/>
    <n v="4"/>
    <n v="30108.06"/>
    <n v="2"/>
    <n v="1"/>
    <n v="1"/>
    <n v="17973.88"/>
    <x v="0"/>
  </r>
  <r>
    <n v="77"/>
    <s v="Miller"/>
    <n v="593"/>
    <x v="2"/>
    <x v="1"/>
    <n v="74"/>
    <n v="4"/>
    <n v="166950.85999999999"/>
    <n v="4"/>
    <n v="1"/>
    <n v="1"/>
    <n v="18020.810000000001"/>
    <x v="1"/>
  </r>
  <r>
    <n v="193"/>
    <s v="Smith"/>
    <n v="370"/>
    <x v="1"/>
    <x v="0"/>
    <n v="24"/>
    <n v="6"/>
    <n v="38342.589999999997"/>
    <n v="2"/>
    <n v="0"/>
    <n v="1"/>
    <n v="18606.009999999998"/>
    <x v="1"/>
  </r>
  <r>
    <n v="222"/>
    <s v="Williams"/>
    <n v="766"/>
    <x v="0"/>
    <x v="0"/>
    <n v="56"/>
    <n v="3"/>
    <n v="70283.899999999994"/>
    <n v="3"/>
    <n v="1"/>
    <n v="0"/>
    <n v="18737.27"/>
    <x v="1"/>
  </r>
  <r>
    <n v="473"/>
    <s v="Taylor"/>
    <n v="588"/>
    <x v="1"/>
    <x v="0"/>
    <n v="35"/>
    <n v="8"/>
    <n v="199536.6"/>
    <n v="3"/>
    <n v="1"/>
    <n v="1"/>
    <n v="19461.59"/>
    <x v="0"/>
  </r>
  <r>
    <n v="426"/>
    <s v="Johnson"/>
    <n v="771"/>
    <x v="1"/>
    <x v="1"/>
    <n v="35"/>
    <n v="3"/>
    <n v="231139.73"/>
    <n v="4"/>
    <n v="1"/>
    <n v="0"/>
    <n v="19540.71"/>
    <x v="0"/>
  </r>
  <r>
    <n v="215"/>
    <s v="Williams"/>
    <n v="455"/>
    <x v="0"/>
    <x v="0"/>
    <n v="35"/>
    <n v="9"/>
    <n v="116072.5"/>
    <n v="4"/>
    <n v="0"/>
    <n v="0"/>
    <n v="19713.43"/>
    <x v="1"/>
  </r>
  <r>
    <n v="44"/>
    <s v="Brown"/>
    <n v="694"/>
    <x v="2"/>
    <x v="0"/>
    <n v="62"/>
    <n v="9"/>
    <n v="689.5"/>
    <n v="3"/>
    <n v="0"/>
    <n v="0"/>
    <n v="19803.7"/>
    <x v="1"/>
  </r>
  <r>
    <n v="430"/>
    <s v="Jones"/>
    <n v="451"/>
    <x v="2"/>
    <x v="0"/>
    <n v="76"/>
    <n v="10"/>
    <n v="1978.31"/>
    <n v="2"/>
    <n v="1"/>
    <n v="0"/>
    <n v="19915.18"/>
    <x v="0"/>
  </r>
  <r>
    <n v="304"/>
    <s v="Williams"/>
    <n v="649"/>
    <x v="1"/>
    <x v="0"/>
    <n v="74"/>
    <n v="6"/>
    <n v="39932.25"/>
    <n v="3"/>
    <n v="1"/>
    <n v="0"/>
    <n v="20310.53"/>
    <x v="1"/>
  </r>
  <r>
    <n v="441"/>
    <s v="Davis"/>
    <n v="507"/>
    <x v="2"/>
    <x v="1"/>
    <n v="18"/>
    <n v="7"/>
    <n v="6988.85"/>
    <n v="2"/>
    <n v="1"/>
    <n v="1"/>
    <n v="20477.41"/>
    <x v="0"/>
  </r>
  <r>
    <n v="281"/>
    <s v="Brown"/>
    <n v="356"/>
    <x v="1"/>
    <x v="1"/>
    <n v="47"/>
    <n v="6"/>
    <n v="97557.6"/>
    <n v="3"/>
    <n v="0"/>
    <n v="1"/>
    <n v="21082.35"/>
    <x v="0"/>
  </r>
  <r>
    <n v="387"/>
    <s v="Jones"/>
    <n v="359"/>
    <x v="0"/>
    <x v="1"/>
    <n v="74"/>
    <n v="9"/>
    <n v="70359.16"/>
    <n v="3"/>
    <n v="0"/>
    <n v="1"/>
    <n v="21108.79"/>
    <x v="1"/>
  </r>
  <r>
    <n v="162"/>
    <s v="Miller"/>
    <n v="839"/>
    <x v="2"/>
    <x v="1"/>
    <n v="76"/>
    <n v="7"/>
    <n v="51347.49"/>
    <n v="4"/>
    <n v="0"/>
    <n v="1"/>
    <n v="21151.48"/>
    <x v="1"/>
  </r>
  <r>
    <n v="109"/>
    <s v="Williams"/>
    <n v="488"/>
    <x v="2"/>
    <x v="0"/>
    <n v="59"/>
    <n v="3"/>
    <n v="122455.34"/>
    <n v="4"/>
    <n v="0"/>
    <n v="1"/>
    <n v="21425.94"/>
    <x v="0"/>
  </r>
  <r>
    <n v="309"/>
    <s v="Wilson"/>
    <n v="426"/>
    <x v="2"/>
    <x v="0"/>
    <n v="89"/>
    <n v="1"/>
    <n v="178130.78"/>
    <n v="3"/>
    <n v="0"/>
    <n v="1"/>
    <n v="21570.41"/>
    <x v="1"/>
  </r>
  <r>
    <n v="49"/>
    <s v="Williams"/>
    <n v="588"/>
    <x v="0"/>
    <x v="1"/>
    <n v="32"/>
    <n v="9"/>
    <n v="126550.42"/>
    <n v="3"/>
    <n v="0"/>
    <n v="1"/>
    <n v="21781.599999999999"/>
    <x v="0"/>
  </r>
  <r>
    <n v="402"/>
    <s v="Brown"/>
    <n v="357"/>
    <x v="2"/>
    <x v="1"/>
    <n v="23"/>
    <n v="0"/>
    <n v="184400.14"/>
    <n v="2"/>
    <n v="1"/>
    <n v="1"/>
    <n v="22278.37"/>
    <x v="1"/>
  </r>
  <r>
    <n v="38"/>
    <s v="Wilson"/>
    <n v="505"/>
    <x v="0"/>
    <x v="0"/>
    <n v="43"/>
    <n v="9"/>
    <n v="190574.23"/>
    <n v="1"/>
    <n v="1"/>
    <n v="0"/>
    <n v="22363.52"/>
    <x v="1"/>
  </r>
  <r>
    <n v="145"/>
    <s v="Moore"/>
    <n v="767"/>
    <x v="0"/>
    <x v="1"/>
    <n v="40"/>
    <n v="1"/>
    <n v="116715.57"/>
    <n v="1"/>
    <n v="0"/>
    <n v="0"/>
    <n v="22814.14"/>
    <x v="1"/>
  </r>
  <r>
    <n v="427"/>
    <s v="Brown"/>
    <n v="418"/>
    <x v="2"/>
    <x v="1"/>
    <n v="43"/>
    <n v="7"/>
    <n v="205080.33"/>
    <n v="3"/>
    <n v="0"/>
    <n v="1"/>
    <n v="22885.14"/>
    <x v="0"/>
  </r>
  <r>
    <n v="468"/>
    <s v="Johnson"/>
    <n v="840"/>
    <x v="1"/>
    <x v="0"/>
    <n v="54"/>
    <n v="5"/>
    <n v="110774.55"/>
    <n v="2"/>
    <n v="0"/>
    <n v="0"/>
    <n v="23399.15"/>
    <x v="0"/>
  </r>
  <r>
    <n v="280"/>
    <s v="Smith"/>
    <n v="616"/>
    <x v="1"/>
    <x v="0"/>
    <n v="45"/>
    <n v="9"/>
    <n v="9477.92"/>
    <n v="3"/>
    <n v="1"/>
    <n v="1"/>
    <n v="23547.86"/>
    <x v="0"/>
  </r>
  <r>
    <n v="329"/>
    <s v="Wilson"/>
    <n v="835"/>
    <x v="0"/>
    <x v="0"/>
    <n v="28"/>
    <n v="4"/>
    <n v="182346.37"/>
    <n v="4"/>
    <n v="1"/>
    <n v="0"/>
    <n v="23783.4"/>
    <x v="1"/>
  </r>
  <r>
    <n v="40"/>
    <s v="Johnson"/>
    <n v="470"/>
    <x v="1"/>
    <x v="1"/>
    <n v="87"/>
    <n v="5"/>
    <n v="207759.1"/>
    <n v="4"/>
    <n v="0"/>
    <n v="0"/>
    <n v="23908.03"/>
    <x v="1"/>
  </r>
  <r>
    <n v="126"/>
    <s v="Williams"/>
    <n v="481"/>
    <x v="0"/>
    <x v="0"/>
    <n v="34"/>
    <n v="8"/>
    <n v="43863.71"/>
    <n v="2"/>
    <n v="0"/>
    <n v="0"/>
    <n v="23962.59"/>
    <x v="1"/>
  </r>
  <r>
    <n v="52"/>
    <s v="Brown"/>
    <n v="561"/>
    <x v="0"/>
    <x v="0"/>
    <n v="19"/>
    <n v="10"/>
    <n v="202302.98"/>
    <n v="1"/>
    <n v="1"/>
    <n v="1"/>
    <n v="24025.919999999998"/>
    <x v="1"/>
  </r>
  <r>
    <n v="469"/>
    <s v="Taylor"/>
    <n v="828"/>
    <x v="2"/>
    <x v="0"/>
    <n v="77"/>
    <n v="10"/>
    <n v="184078.17"/>
    <n v="3"/>
    <n v="1"/>
    <n v="1"/>
    <n v="24061.040000000001"/>
    <x v="0"/>
  </r>
  <r>
    <n v="302"/>
    <s v="Miller"/>
    <n v="585"/>
    <x v="0"/>
    <x v="0"/>
    <n v="35"/>
    <n v="0"/>
    <n v="205498.11"/>
    <n v="2"/>
    <n v="0"/>
    <n v="1"/>
    <n v="24566"/>
    <x v="0"/>
  </r>
  <r>
    <n v="201"/>
    <s v="Taylor"/>
    <n v="654"/>
    <x v="1"/>
    <x v="1"/>
    <n v="25"/>
    <n v="6"/>
    <n v="232419.55"/>
    <n v="1"/>
    <n v="1"/>
    <n v="1"/>
    <n v="25837.27"/>
    <x v="0"/>
  </r>
  <r>
    <n v="272"/>
    <s v="Taylor"/>
    <n v="621"/>
    <x v="1"/>
    <x v="1"/>
    <n v="77"/>
    <n v="7"/>
    <n v="148341.38"/>
    <n v="2"/>
    <n v="0"/>
    <n v="1"/>
    <n v="26002.71"/>
    <x v="0"/>
  </r>
  <r>
    <n v="360"/>
    <s v="Williams"/>
    <n v="836"/>
    <x v="1"/>
    <x v="1"/>
    <n v="23"/>
    <n v="3"/>
    <n v="149033.25"/>
    <n v="2"/>
    <n v="0"/>
    <n v="0"/>
    <n v="26370.52"/>
    <x v="0"/>
  </r>
  <r>
    <n v="182"/>
    <s v="Miller"/>
    <n v="421"/>
    <x v="1"/>
    <x v="1"/>
    <n v="86"/>
    <n v="8"/>
    <n v="58586.77"/>
    <n v="4"/>
    <n v="0"/>
    <n v="0"/>
    <n v="27139.72"/>
    <x v="0"/>
  </r>
  <r>
    <n v="332"/>
    <s v="Davis"/>
    <n v="463"/>
    <x v="1"/>
    <x v="1"/>
    <n v="70"/>
    <n v="8"/>
    <n v="100036.16"/>
    <n v="1"/>
    <n v="0"/>
    <n v="0"/>
    <n v="27387.77"/>
    <x v="0"/>
  </r>
  <r>
    <n v="22"/>
    <s v="Taylor"/>
    <n v="528"/>
    <x v="0"/>
    <x v="1"/>
    <n v="90"/>
    <n v="10"/>
    <n v="192616.6"/>
    <n v="4"/>
    <n v="1"/>
    <n v="0"/>
    <n v="27413.39"/>
    <x v="1"/>
  </r>
  <r>
    <n v="371"/>
    <s v="Davis"/>
    <n v="411"/>
    <x v="2"/>
    <x v="1"/>
    <n v="25"/>
    <n v="6"/>
    <n v="221855.45"/>
    <n v="3"/>
    <n v="0"/>
    <n v="1"/>
    <n v="27505.16"/>
    <x v="1"/>
  </r>
  <r>
    <n v="98"/>
    <s v="Williams"/>
    <n v="788"/>
    <x v="2"/>
    <x v="0"/>
    <n v="46"/>
    <n v="0"/>
    <n v="126692.44"/>
    <n v="1"/>
    <n v="1"/>
    <n v="1"/>
    <n v="27793.35"/>
    <x v="1"/>
  </r>
  <r>
    <n v="94"/>
    <s v="Smith"/>
    <n v="548"/>
    <x v="2"/>
    <x v="1"/>
    <n v="44"/>
    <n v="3"/>
    <n v="107973.28"/>
    <n v="1"/>
    <n v="0"/>
    <n v="0"/>
    <n v="27995.72"/>
    <x v="1"/>
  </r>
  <r>
    <n v="165"/>
    <s v="Johnson"/>
    <n v="682"/>
    <x v="0"/>
    <x v="1"/>
    <n v="43"/>
    <n v="9"/>
    <n v="197321.37"/>
    <n v="4"/>
    <n v="0"/>
    <n v="0"/>
    <n v="28096.07"/>
    <x v="0"/>
  </r>
  <r>
    <n v="90"/>
    <s v="Johnson"/>
    <n v="515"/>
    <x v="1"/>
    <x v="0"/>
    <n v="79"/>
    <n v="5"/>
    <n v="69882.490000000005"/>
    <n v="3"/>
    <n v="1"/>
    <n v="0"/>
    <n v="28817.75"/>
    <x v="0"/>
  </r>
  <r>
    <n v="319"/>
    <s v="Jones"/>
    <n v="563"/>
    <x v="2"/>
    <x v="0"/>
    <n v="67"/>
    <n v="3"/>
    <n v="136635"/>
    <n v="1"/>
    <n v="1"/>
    <n v="1"/>
    <n v="29342.26"/>
    <x v="0"/>
  </r>
  <r>
    <n v="56"/>
    <s v="Moore"/>
    <n v="740"/>
    <x v="1"/>
    <x v="0"/>
    <n v="86"/>
    <n v="0"/>
    <n v="153882.97"/>
    <n v="2"/>
    <n v="0"/>
    <n v="1"/>
    <n v="29656.959999999999"/>
    <x v="0"/>
  </r>
  <r>
    <n v="443"/>
    <s v="Miller"/>
    <n v="814"/>
    <x v="0"/>
    <x v="0"/>
    <n v="43"/>
    <n v="9"/>
    <n v="144405.5"/>
    <n v="1"/>
    <n v="0"/>
    <n v="1"/>
    <n v="30241.09"/>
    <x v="0"/>
  </r>
  <r>
    <n v="103"/>
    <s v="Williams"/>
    <n v="651"/>
    <x v="0"/>
    <x v="0"/>
    <n v="49"/>
    <n v="10"/>
    <n v="100461.13"/>
    <n v="1"/>
    <n v="0"/>
    <n v="0"/>
    <n v="30554.85"/>
    <x v="1"/>
  </r>
  <r>
    <n v="301"/>
    <s v="Smith"/>
    <n v="531"/>
    <x v="2"/>
    <x v="1"/>
    <n v="68"/>
    <n v="9"/>
    <n v="25763.31"/>
    <n v="1"/>
    <n v="1"/>
    <n v="1"/>
    <n v="31564.75"/>
    <x v="1"/>
  </r>
  <r>
    <n v="423"/>
    <s v="Williams"/>
    <n v="715"/>
    <x v="1"/>
    <x v="1"/>
    <n v="46"/>
    <n v="6"/>
    <n v="121208.33"/>
    <n v="1"/>
    <n v="1"/>
    <n v="0"/>
    <n v="32556.34"/>
    <x v="0"/>
  </r>
  <r>
    <n v="61"/>
    <s v="Moore"/>
    <n v="442"/>
    <x v="1"/>
    <x v="1"/>
    <n v="61"/>
    <n v="1"/>
    <n v="89085.68"/>
    <n v="1"/>
    <n v="1"/>
    <n v="1"/>
    <n v="33012.78"/>
    <x v="1"/>
  </r>
  <r>
    <n v="170"/>
    <s v="Miller"/>
    <n v="613"/>
    <x v="0"/>
    <x v="0"/>
    <n v="55"/>
    <n v="1"/>
    <n v="152640.81"/>
    <n v="4"/>
    <n v="1"/>
    <n v="0"/>
    <n v="33137.160000000003"/>
    <x v="1"/>
  </r>
  <r>
    <n v="262"/>
    <s v="Miller"/>
    <n v="370"/>
    <x v="2"/>
    <x v="0"/>
    <n v="47"/>
    <n v="4"/>
    <n v="20999.24"/>
    <n v="3"/>
    <n v="1"/>
    <n v="1"/>
    <n v="33647.800000000003"/>
    <x v="0"/>
  </r>
  <r>
    <n v="444"/>
    <s v="Brown"/>
    <n v="580"/>
    <x v="0"/>
    <x v="0"/>
    <n v="85"/>
    <n v="9"/>
    <n v="20728.86"/>
    <n v="2"/>
    <n v="0"/>
    <n v="1"/>
    <n v="33648.46"/>
    <x v="0"/>
  </r>
  <r>
    <n v="188"/>
    <s v="Miller"/>
    <n v="424"/>
    <x v="2"/>
    <x v="0"/>
    <n v="47"/>
    <n v="6"/>
    <n v="163549.64000000001"/>
    <n v="1"/>
    <n v="1"/>
    <n v="0"/>
    <n v="33745.43"/>
    <x v="0"/>
  </r>
  <r>
    <n v="339"/>
    <s v="Miller"/>
    <n v="744"/>
    <x v="0"/>
    <x v="1"/>
    <n v="41"/>
    <n v="7"/>
    <n v="117825.55"/>
    <n v="3"/>
    <n v="0"/>
    <n v="1"/>
    <n v="33868.199999999997"/>
    <x v="0"/>
  </r>
  <r>
    <n v="237"/>
    <s v="Smith"/>
    <n v="758"/>
    <x v="1"/>
    <x v="1"/>
    <n v="28"/>
    <n v="0"/>
    <n v="229680.01"/>
    <n v="1"/>
    <n v="1"/>
    <n v="0"/>
    <n v="33894.089999999997"/>
    <x v="1"/>
  </r>
  <r>
    <n v="258"/>
    <s v="Williams"/>
    <n v="512"/>
    <x v="0"/>
    <x v="1"/>
    <n v="75"/>
    <n v="10"/>
    <n v="170020.95"/>
    <n v="4"/>
    <n v="1"/>
    <n v="1"/>
    <n v="34325.360000000001"/>
    <x v="0"/>
  </r>
  <r>
    <n v="146"/>
    <s v="Williams"/>
    <n v="687"/>
    <x v="2"/>
    <x v="1"/>
    <n v="39"/>
    <n v="8"/>
    <n v="52909.38"/>
    <n v="4"/>
    <n v="0"/>
    <n v="1"/>
    <n v="34759.360000000001"/>
    <x v="1"/>
  </r>
  <r>
    <n v="349"/>
    <s v="Taylor"/>
    <n v="642"/>
    <x v="0"/>
    <x v="0"/>
    <n v="80"/>
    <n v="5"/>
    <n v="141610.87"/>
    <n v="1"/>
    <n v="1"/>
    <n v="0"/>
    <n v="35048.160000000003"/>
    <x v="1"/>
  </r>
  <r>
    <n v="461"/>
    <s v="Williams"/>
    <n v="519"/>
    <x v="0"/>
    <x v="0"/>
    <n v="23"/>
    <n v="0"/>
    <n v="234421.59"/>
    <n v="4"/>
    <n v="1"/>
    <n v="0"/>
    <n v="35122.36"/>
    <x v="0"/>
  </r>
  <r>
    <n v="407"/>
    <s v="Williams"/>
    <n v="430"/>
    <x v="2"/>
    <x v="1"/>
    <n v="35"/>
    <n v="2"/>
    <n v="245176.21"/>
    <n v="1"/>
    <n v="0"/>
    <n v="1"/>
    <n v="35708.43"/>
    <x v="0"/>
  </r>
  <r>
    <n v="392"/>
    <s v="Davis"/>
    <n v="556"/>
    <x v="0"/>
    <x v="0"/>
    <n v="27"/>
    <n v="6"/>
    <n v="70279.97"/>
    <n v="4"/>
    <n v="0"/>
    <n v="0"/>
    <n v="35799.879999999997"/>
    <x v="0"/>
  </r>
  <r>
    <n v="277"/>
    <s v="Taylor"/>
    <n v="739"/>
    <x v="1"/>
    <x v="0"/>
    <n v="63"/>
    <n v="9"/>
    <n v="239749.84"/>
    <n v="1"/>
    <n v="0"/>
    <n v="0"/>
    <n v="35871.660000000003"/>
    <x v="1"/>
  </r>
  <r>
    <n v="127"/>
    <s v="Jones"/>
    <n v="675"/>
    <x v="2"/>
    <x v="0"/>
    <n v="85"/>
    <n v="3"/>
    <n v="117991.41"/>
    <n v="1"/>
    <n v="1"/>
    <n v="1"/>
    <n v="36037.629999999997"/>
    <x v="1"/>
  </r>
  <r>
    <n v="167"/>
    <s v="Smith"/>
    <n v="423"/>
    <x v="1"/>
    <x v="1"/>
    <n v="43"/>
    <n v="9"/>
    <n v="143851"/>
    <n v="1"/>
    <n v="0"/>
    <n v="1"/>
    <n v="36084.61"/>
    <x v="0"/>
  </r>
  <r>
    <n v="232"/>
    <s v="Davis"/>
    <n v="572"/>
    <x v="2"/>
    <x v="1"/>
    <n v="58"/>
    <n v="5"/>
    <n v="180664.35"/>
    <n v="1"/>
    <n v="1"/>
    <n v="1"/>
    <n v="36108.42"/>
    <x v="1"/>
  </r>
  <r>
    <n v="365"/>
    <s v="Johnson"/>
    <n v="350"/>
    <x v="2"/>
    <x v="1"/>
    <n v="31"/>
    <n v="10"/>
    <n v="213425.22"/>
    <n v="2"/>
    <n v="0"/>
    <n v="0"/>
    <n v="36418.230000000003"/>
    <x v="0"/>
  </r>
  <r>
    <n v="128"/>
    <s v="Smith"/>
    <n v="774"/>
    <x v="0"/>
    <x v="1"/>
    <n v="44"/>
    <n v="7"/>
    <n v="151801.15"/>
    <n v="1"/>
    <n v="0"/>
    <n v="0"/>
    <n v="36575.879999999997"/>
    <x v="0"/>
  </r>
  <r>
    <n v="74"/>
    <s v="Taylor"/>
    <n v="431"/>
    <x v="2"/>
    <x v="0"/>
    <n v="66"/>
    <n v="9"/>
    <n v="103045.29"/>
    <n v="2"/>
    <n v="1"/>
    <n v="0"/>
    <n v="36831.440000000002"/>
    <x v="1"/>
  </r>
  <r>
    <n v="247"/>
    <s v="Jones"/>
    <n v="651"/>
    <x v="0"/>
    <x v="1"/>
    <n v="45"/>
    <n v="2"/>
    <n v="114118.16"/>
    <n v="4"/>
    <n v="0"/>
    <n v="0"/>
    <n v="36850.699999999997"/>
    <x v="1"/>
  </r>
  <r>
    <n v="264"/>
    <s v="Miller"/>
    <n v="468"/>
    <x v="1"/>
    <x v="1"/>
    <n v="85"/>
    <n v="7"/>
    <n v="101290.26"/>
    <n v="1"/>
    <n v="1"/>
    <n v="1"/>
    <n v="37047.949999999997"/>
    <x v="1"/>
  </r>
  <r>
    <n v="337"/>
    <s v="Taylor"/>
    <n v="638"/>
    <x v="0"/>
    <x v="1"/>
    <n v="69"/>
    <n v="5"/>
    <n v="4147.6899999999996"/>
    <n v="2"/>
    <n v="0"/>
    <n v="0"/>
    <n v="37164.6"/>
    <x v="0"/>
  </r>
  <r>
    <n v="367"/>
    <s v="Miller"/>
    <n v="557"/>
    <x v="1"/>
    <x v="1"/>
    <n v="66"/>
    <n v="2"/>
    <n v="89466.82"/>
    <n v="4"/>
    <n v="1"/>
    <n v="1"/>
    <n v="37239.08"/>
    <x v="0"/>
  </r>
  <r>
    <n v="484"/>
    <s v="Williams"/>
    <n v="734"/>
    <x v="0"/>
    <x v="0"/>
    <n v="62"/>
    <n v="2"/>
    <n v="239522.72"/>
    <n v="3"/>
    <n v="0"/>
    <n v="1"/>
    <n v="37534.69"/>
    <x v="1"/>
  </r>
  <r>
    <n v="234"/>
    <s v="Moore"/>
    <n v="422"/>
    <x v="1"/>
    <x v="1"/>
    <n v="69"/>
    <n v="8"/>
    <n v="198731.58"/>
    <n v="3"/>
    <n v="1"/>
    <n v="0"/>
    <n v="37615.839999999997"/>
    <x v="0"/>
  </r>
  <r>
    <n v="132"/>
    <s v="Miller"/>
    <n v="789"/>
    <x v="0"/>
    <x v="0"/>
    <n v="61"/>
    <n v="4"/>
    <n v="166854.44"/>
    <n v="4"/>
    <n v="0"/>
    <n v="1"/>
    <n v="38147.910000000003"/>
    <x v="0"/>
  </r>
  <r>
    <n v="15"/>
    <s v="Johnson"/>
    <n v="684"/>
    <x v="2"/>
    <x v="0"/>
    <n v="89"/>
    <n v="2"/>
    <n v="60006.91"/>
    <n v="2"/>
    <n v="1"/>
    <n v="0"/>
    <n v="38571.279999999999"/>
    <x v="1"/>
  </r>
  <r>
    <n v="242"/>
    <s v="Brown"/>
    <n v="502"/>
    <x v="2"/>
    <x v="1"/>
    <n v="90"/>
    <n v="6"/>
    <n v="242675.6"/>
    <n v="4"/>
    <n v="1"/>
    <n v="0"/>
    <n v="38576.97"/>
    <x v="0"/>
  </r>
  <r>
    <n v="230"/>
    <s v="Williams"/>
    <n v="560"/>
    <x v="2"/>
    <x v="1"/>
    <n v="29"/>
    <n v="10"/>
    <n v="199808.98"/>
    <n v="1"/>
    <n v="1"/>
    <n v="1"/>
    <n v="38969.33"/>
    <x v="0"/>
  </r>
  <r>
    <n v="36"/>
    <s v="Jones"/>
    <n v="462"/>
    <x v="2"/>
    <x v="0"/>
    <n v="69"/>
    <n v="2"/>
    <n v="9295.2900000000009"/>
    <n v="3"/>
    <n v="0"/>
    <n v="0"/>
    <n v="39491.230000000003"/>
    <x v="0"/>
  </r>
  <r>
    <n v="491"/>
    <s v="Miller"/>
    <n v="695"/>
    <x v="2"/>
    <x v="0"/>
    <n v="65"/>
    <n v="5"/>
    <n v="57896.34"/>
    <n v="4"/>
    <n v="1"/>
    <n v="1"/>
    <n v="39633.65"/>
    <x v="1"/>
  </r>
  <r>
    <n v="433"/>
    <s v="Davis"/>
    <n v="614"/>
    <x v="1"/>
    <x v="0"/>
    <n v="19"/>
    <n v="0"/>
    <n v="179138.58"/>
    <n v="2"/>
    <n v="0"/>
    <n v="0"/>
    <n v="40101.64"/>
    <x v="0"/>
  </r>
  <r>
    <n v="199"/>
    <s v="Williams"/>
    <n v="693"/>
    <x v="0"/>
    <x v="0"/>
    <n v="71"/>
    <n v="2"/>
    <n v="37093.39"/>
    <n v="3"/>
    <n v="1"/>
    <n v="0"/>
    <n v="40784.480000000003"/>
    <x v="0"/>
  </r>
  <r>
    <n v="54"/>
    <s v="Davis"/>
    <n v="420"/>
    <x v="0"/>
    <x v="0"/>
    <n v="61"/>
    <n v="5"/>
    <n v="216419.15"/>
    <n v="4"/>
    <n v="1"/>
    <n v="1"/>
    <n v="40937.339999999997"/>
    <x v="0"/>
  </r>
  <r>
    <n v="408"/>
    <s v="Johnson"/>
    <n v="505"/>
    <x v="1"/>
    <x v="0"/>
    <n v="49"/>
    <n v="7"/>
    <n v="83107.39"/>
    <n v="3"/>
    <n v="0"/>
    <n v="1"/>
    <n v="41989.11"/>
    <x v="1"/>
  </r>
  <r>
    <n v="248"/>
    <s v="Williams"/>
    <n v="660"/>
    <x v="0"/>
    <x v="1"/>
    <n v="35"/>
    <n v="9"/>
    <n v="80413.460000000006"/>
    <n v="2"/>
    <n v="0"/>
    <n v="1"/>
    <n v="42147.48"/>
    <x v="1"/>
  </r>
  <r>
    <n v="156"/>
    <s v="Smith"/>
    <n v="474"/>
    <x v="2"/>
    <x v="1"/>
    <n v="28"/>
    <n v="5"/>
    <n v="209434.77"/>
    <n v="2"/>
    <n v="0"/>
    <n v="0"/>
    <n v="42983.99"/>
    <x v="1"/>
  </r>
  <r>
    <n v="378"/>
    <s v="Jones"/>
    <n v="579"/>
    <x v="2"/>
    <x v="1"/>
    <n v="76"/>
    <n v="4"/>
    <n v="200445.11"/>
    <n v="1"/>
    <n v="1"/>
    <n v="1"/>
    <n v="43482.28"/>
    <x v="1"/>
  </r>
  <r>
    <n v="133"/>
    <s v="Jones"/>
    <n v="502"/>
    <x v="2"/>
    <x v="0"/>
    <n v="85"/>
    <n v="10"/>
    <n v="157686.62"/>
    <n v="3"/>
    <n v="1"/>
    <n v="0"/>
    <n v="43499.67"/>
    <x v="1"/>
  </r>
  <r>
    <n v="244"/>
    <s v="Taylor"/>
    <n v="545"/>
    <x v="1"/>
    <x v="1"/>
    <n v="20"/>
    <n v="4"/>
    <n v="152465.9"/>
    <n v="3"/>
    <n v="1"/>
    <n v="1"/>
    <n v="43527.09"/>
    <x v="1"/>
  </r>
  <r>
    <n v="224"/>
    <s v="Moore"/>
    <n v="639"/>
    <x v="2"/>
    <x v="0"/>
    <n v="33"/>
    <n v="3"/>
    <n v="96088.43"/>
    <n v="1"/>
    <n v="1"/>
    <n v="0"/>
    <n v="43587.17"/>
    <x v="1"/>
  </r>
  <r>
    <n v="159"/>
    <s v="Taylor"/>
    <n v="848"/>
    <x v="1"/>
    <x v="0"/>
    <n v="29"/>
    <n v="10"/>
    <n v="208033.65"/>
    <n v="4"/>
    <n v="1"/>
    <n v="1"/>
    <n v="43662.79"/>
    <x v="0"/>
  </r>
  <r>
    <n v="16"/>
    <s v="Miller"/>
    <n v="579"/>
    <x v="1"/>
    <x v="1"/>
    <n v="42"/>
    <n v="3"/>
    <n v="180430.72"/>
    <n v="4"/>
    <n v="0"/>
    <n v="1"/>
    <n v="43961.45"/>
    <x v="0"/>
  </r>
  <r>
    <n v="409"/>
    <s v="Williams"/>
    <n v="397"/>
    <x v="1"/>
    <x v="0"/>
    <n v="49"/>
    <n v="10"/>
    <n v="232252.83"/>
    <n v="2"/>
    <n v="0"/>
    <n v="1"/>
    <n v="44531.43"/>
    <x v="1"/>
  </r>
  <r>
    <n v="260"/>
    <s v="Wilson"/>
    <n v="592"/>
    <x v="0"/>
    <x v="0"/>
    <n v="78"/>
    <n v="2"/>
    <n v="64372.08"/>
    <n v="2"/>
    <n v="0"/>
    <n v="1"/>
    <n v="45223.9"/>
    <x v="0"/>
  </r>
  <r>
    <n v="33"/>
    <s v="Moore"/>
    <n v="849"/>
    <x v="1"/>
    <x v="1"/>
    <n v="77"/>
    <n v="2"/>
    <n v="55839.55"/>
    <n v="1"/>
    <n v="1"/>
    <n v="1"/>
    <n v="45305.66"/>
    <x v="0"/>
  </r>
  <r>
    <n v="229"/>
    <s v="Smith"/>
    <n v="694"/>
    <x v="0"/>
    <x v="0"/>
    <n v="84"/>
    <n v="8"/>
    <n v="175604.34"/>
    <n v="4"/>
    <n v="0"/>
    <n v="1"/>
    <n v="45375.97"/>
    <x v="0"/>
  </r>
  <r>
    <n v="330"/>
    <s v="Johnson"/>
    <n v="387"/>
    <x v="0"/>
    <x v="1"/>
    <n v="38"/>
    <n v="2"/>
    <n v="211996.17"/>
    <n v="2"/>
    <n v="1"/>
    <n v="0"/>
    <n v="45722.09"/>
    <x v="1"/>
  </r>
  <r>
    <n v="488"/>
    <s v="Taylor"/>
    <n v="797"/>
    <x v="0"/>
    <x v="1"/>
    <n v="32"/>
    <n v="8"/>
    <n v="236925.82"/>
    <n v="1"/>
    <n v="0"/>
    <n v="1"/>
    <n v="46753.37"/>
    <x v="0"/>
  </r>
  <r>
    <n v="327"/>
    <s v="Wilson"/>
    <n v="493"/>
    <x v="0"/>
    <x v="0"/>
    <n v="29"/>
    <n v="8"/>
    <n v="190645.09"/>
    <n v="1"/>
    <n v="1"/>
    <n v="1"/>
    <n v="46765.52"/>
    <x v="0"/>
  </r>
  <r>
    <n v="257"/>
    <s v="Davis"/>
    <n v="753"/>
    <x v="1"/>
    <x v="0"/>
    <n v="33"/>
    <n v="6"/>
    <n v="147696.65"/>
    <n v="2"/>
    <n v="1"/>
    <n v="0"/>
    <n v="46897.41"/>
    <x v="0"/>
  </r>
  <r>
    <n v="452"/>
    <s v="Davis"/>
    <n v="712"/>
    <x v="1"/>
    <x v="1"/>
    <n v="86"/>
    <n v="0"/>
    <n v="57728.98"/>
    <n v="1"/>
    <n v="1"/>
    <n v="1"/>
    <n v="46958.37"/>
    <x v="1"/>
  </r>
  <r>
    <n v="324"/>
    <s v="Williams"/>
    <n v="760"/>
    <x v="0"/>
    <x v="1"/>
    <n v="34"/>
    <n v="1"/>
    <n v="104789.1"/>
    <n v="2"/>
    <n v="1"/>
    <n v="0"/>
    <n v="47420.92"/>
    <x v="0"/>
  </r>
  <r>
    <n v="251"/>
    <s v="Williams"/>
    <n v="545"/>
    <x v="2"/>
    <x v="0"/>
    <n v="67"/>
    <n v="9"/>
    <n v="180722.3"/>
    <n v="2"/>
    <n v="1"/>
    <n v="1"/>
    <n v="47605.64"/>
    <x v="1"/>
  </r>
  <r>
    <n v="379"/>
    <s v="Miller"/>
    <n v="605"/>
    <x v="0"/>
    <x v="1"/>
    <n v="45"/>
    <n v="0"/>
    <n v="25176.02"/>
    <n v="1"/>
    <n v="0"/>
    <n v="1"/>
    <n v="47799.89"/>
    <x v="1"/>
  </r>
  <r>
    <n v="245"/>
    <s v="Jones"/>
    <n v="522"/>
    <x v="0"/>
    <x v="0"/>
    <n v="87"/>
    <n v="5"/>
    <n v="237584.05"/>
    <n v="3"/>
    <n v="1"/>
    <n v="1"/>
    <n v="47917.63"/>
    <x v="0"/>
  </r>
  <r>
    <n v="125"/>
    <s v="Moore"/>
    <n v="502"/>
    <x v="2"/>
    <x v="1"/>
    <n v="47"/>
    <n v="2"/>
    <n v="185255.98"/>
    <n v="3"/>
    <n v="0"/>
    <n v="1"/>
    <n v="48022.06"/>
    <x v="0"/>
  </r>
  <r>
    <n v="273"/>
    <s v="Williams"/>
    <n v="468"/>
    <x v="1"/>
    <x v="0"/>
    <n v="50"/>
    <n v="4"/>
    <n v="36270.720000000001"/>
    <n v="4"/>
    <n v="0"/>
    <n v="0"/>
    <n v="48088.94"/>
    <x v="0"/>
  </r>
  <r>
    <n v="479"/>
    <s v="Wilson"/>
    <n v="517"/>
    <x v="1"/>
    <x v="1"/>
    <n v="28"/>
    <n v="6"/>
    <n v="32317.55"/>
    <n v="3"/>
    <n v="1"/>
    <n v="0"/>
    <n v="48172.94"/>
    <x v="0"/>
  </r>
  <r>
    <n v="43"/>
    <s v="Smith"/>
    <n v="547"/>
    <x v="2"/>
    <x v="1"/>
    <n v="77"/>
    <n v="5"/>
    <n v="41600.300000000003"/>
    <n v="4"/>
    <n v="0"/>
    <n v="0"/>
    <n v="48255.32"/>
    <x v="0"/>
  </r>
  <r>
    <n v="67"/>
    <s v="Jones"/>
    <n v="459"/>
    <x v="0"/>
    <x v="0"/>
    <n v="60"/>
    <n v="10"/>
    <n v="179198.75"/>
    <n v="2"/>
    <n v="1"/>
    <n v="1"/>
    <n v="48970.879999999997"/>
    <x v="0"/>
  </r>
  <r>
    <n v="117"/>
    <s v="Jones"/>
    <n v="688"/>
    <x v="2"/>
    <x v="0"/>
    <n v="33"/>
    <n v="6"/>
    <n v="93844.5"/>
    <n v="4"/>
    <n v="1"/>
    <n v="0"/>
    <n v="49103.38"/>
    <x v="0"/>
  </r>
  <r>
    <n v="341"/>
    <s v="Wilson"/>
    <n v="443"/>
    <x v="2"/>
    <x v="0"/>
    <n v="91"/>
    <n v="8"/>
    <n v="245454.02"/>
    <n v="4"/>
    <n v="0"/>
    <n v="0"/>
    <n v="49422.5"/>
    <x v="0"/>
  </r>
  <r>
    <n v="157"/>
    <s v="Moore"/>
    <n v="759"/>
    <x v="1"/>
    <x v="0"/>
    <n v="80"/>
    <n v="6"/>
    <n v="80712.23"/>
    <n v="4"/>
    <n v="1"/>
    <n v="0"/>
    <n v="49445.48"/>
    <x v="0"/>
  </r>
  <r>
    <n v="370"/>
    <s v="Johnson"/>
    <n v="481"/>
    <x v="2"/>
    <x v="1"/>
    <n v="35"/>
    <n v="7"/>
    <n v="121359.53"/>
    <n v="3"/>
    <n v="0"/>
    <n v="0"/>
    <n v="50215.32"/>
    <x v="0"/>
  </r>
  <r>
    <n v="470"/>
    <s v="Williams"/>
    <n v="379"/>
    <x v="0"/>
    <x v="1"/>
    <n v="52"/>
    <n v="6"/>
    <n v="159259.26"/>
    <n v="2"/>
    <n v="1"/>
    <n v="1"/>
    <n v="50254.16"/>
    <x v="1"/>
  </r>
  <r>
    <n v="357"/>
    <s v="Williams"/>
    <n v="591"/>
    <x v="0"/>
    <x v="1"/>
    <n v="31"/>
    <n v="8"/>
    <n v="36493.35"/>
    <n v="2"/>
    <n v="1"/>
    <n v="0"/>
    <n v="50480.54"/>
    <x v="0"/>
  </r>
  <r>
    <n v="68"/>
    <s v="Miller"/>
    <n v="679"/>
    <x v="1"/>
    <x v="1"/>
    <n v="86"/>
    <n v="4"/>
    <n v="225109.32"/>
    <n v="3"/>
    <n v="1"/>
    <n v="0"/>
    <n v="50593.37"/>
    <x v="1"/>
  </r>
  <r>
    <n v="197"/>
    <s v="Davis"/>
    <n v="378"/>
    <x v="0"/>
    <x v="0"/>
    <n v="82"/>
    <n v="9"/>
    <n v="59302.02"/>
    <n v="2"/>
    <n v="0"/>
    <n v="1"/>
    <n v="51011.37"/>
    <x v="1"/>
  </r>
  <r>
    <n v="102"/>
    <s v="Jones"/>
    <n v="549"/>
    <x v="0"/>
    <x v="1"/>
    <n v="56"/>
    <n v="0"/>
    <n v="36824.33"/>
    <n v="1"/>
    <n v="0"/>
    <n v="1"/>
    <n v="51542.45"/>
    <x v="1"/>
  </r>
  <r>
    <n v="240"/>
    <s v="Moore"/>
    <n v="473"/>
    <x v="1"/>
    <x v="1"/>
    <n v="90"/>
    <n v="6"/>
    <n v="56926.6"/>
    <n v="3"/>
    <n v="0"/>
    <n v="0"/>
    <n v="52021.75"/>
    <x v="0"/>
  </r>
  <r>
    <n v="449"/>
    <s v="Taylor"/>
    <n v="369"/>
    <x v="0"/>
    <x v="1"/>
    <n v="56"/>
    <n v="7"/>
    <n v="228816.63"/>
    <n v="3"/>
    <n v="1"/>
    <n v="1"/>
    <n v="52394"/>
    <x v="1"/>
  </r>
  <r>
    <n v="415"/>
    <s v="Smith"/>
    <n v="837"/>
    <x v="1"/>
    <x v="0"/>
    <n v="31"/>
    <n v="5"/>
    <n v="150640.24"/>
    <n v="4"/>
    <n v="0"/>
    <n v="0"/>
    <n v="52816.7"/>
    <x v="0"/>
  </r>
  <r>
    <n v="2"/>
    <s v="Smith"/>
    <n v="365"/>
    <x v="0"/>
    <x v="1"/>
    <n v="64"/>
    <n v="3"/>
    <n v="203737.4"/>
    <n v="3"/>
    <n v="1"/>
    <n v="1"/>
    <n v="52848.11"/>
    <x v="1"/>
  </r>
  <r>
    <n v="79"/>
    <s v="Brown"/>
    <n v="742"/>
    <x v="0"/>
    <x v="1"/>
    <n v="84"/>
    <n v="0"/>
    <n v="129782.98"/>
    <n v="2"/>
    <n v="1"/>
    <n v="1"/>
    <n v="53475.839999999997"/>
    <x v="1"/>
  </r>
  <r>
    <n v="88"/>
    <s v="Davis"/>
    <n v="844"/>
    <x v="2"/>
    <x v="1"/>
    <n v="21"/>
    <n v="6"/>
    <n v="92743.31"/>
    <n v="4"/>
    <n v="0"/>
    <n v="0"/>
    <n v="54061.89"/>
    <x v="1"/>
  </r>
  <r>
    <n v="92"/>
    <s v="Taylor"/>
    <n v="735"/>
    <x v="1"/>
    <x v="0"/>
    <n v="53"/>
    <n v="10"/>
    <n v="247280.33"/>
    <n v="3"/>
    <n v="1"/>
    <n v="0"/>
    <n v="54977.06"/>
    <x v="1"/>
  </r>
  <r>
    <n v="147"/>
    <s v="Moore"/>
    <n v="507"/>
    <x v="2"/>
    <x v="0"/>
    <n v="75"/>
    <n v="8"/>
    <n v="238465.26"/>
    <n v="4"/>
    <n v="0"/>
    <n v="1"/>
    <n v="55585.67"/>
    <x v="1"/>
  </r>
  <r>
    <n v="483"/>
    <s v="Johnson"/>
    <n v="550"/>
    <x v="0"/>
    <x v="0"/>
    <n v="59"/>
    <n v="5"/>
    <n v="132558.04"/>
    <n v="3"/>
    <n v="1"/>
    <n v="0"/>
    <n v="55627.46"/>
    <x v="1"/>
  </r>
  <r>
    <n v="406"/>
    <s v="Jones"/>
    <n v="596"/>
    <x v="0"/>
    <x v="1"/>
    <n v="88"/>
    <n v="4"/>
    <n v="225228.97"/>
    <n v="3"/>
    <n v="0"/>
    <n v="1"/>
    <n v="55636.3"/>
    <x v="0"/>
  </r>
  <r>
    <n v="263"/>
    <s v="Johnson"/>
    <n v="521"/>
    <x v="2"/>
    <x v="0"/>
    <n v="71"/>
    <n v="10"/>
    <n v="234878.9"/>
    <n v="1"/>
    <n v="0"/>
    <n v="1"/>
    <n v="55748.58"/>
    <x v="0"/>
  </r>
  <r>
    <n v="436"/>
    <s v="Moore"/>
    <n v="547"/>
    <x v="0"/>
    <x v="0"/>
    <n v="85"/>
    <n v="5"/>
    <n v="191884.81"/>
    <n v="1"/>
    <n v="1"/>
    <n v="1"/>
    <n v="56017.64"/>
    <x v="0"/>
  </r>
  <r>
    <n v="287"/>
    <s v="Moore"/>
    <n v="720"/>
    <x v="0"/>
    <x v="0"/>
    <n v="58"/>
    <n v="0"/>
    <n v="11432.08"/>
    <n v="3"/>
    <n v="0"/>
    <n v="0"/>
    <n v="56250.21"/>
    <x v="0"/>
  </r>
  <r>
    <n v="412"/>
    <s v="Brown"/>
    <n v="361"/>
    <x v="1"/>
    <x v="1"/>
    <n v="56"/>
    <n v="3"/>
    <n v="166147.69"/>
    <n v="2"/>
    <n v="1"/>
    <n v="0"/>
    <n v="56454.41"/>
    <x v="0"/>
  </r>
  <r>
    <n v="55"/>
    <s v="Miller"/>
    <n v="498"/>
    <x v="1"/>
    <x v="0"/>
    <n v="33"/>
    <n v="6"/>
    <n v="146361.20000000001"/>
    <n v="4"/>
    <n v="0"/>
    <n v="1"/>
    <n v="56949.24"/>
    <x v="1"/>
  </r>
  <r>
    <n v="26"/>
    <s v="Jones"/>
    <n v="511"/>
    <x v="0"/>
    <x v="1"/>
    <n v="39"/>
    <n v="6"/>
    <n v="88252.4"/>
    <n v="2"/>
    <n v="1"/>
    <n v="1"/>
    <n v="57083.95"/>
    <x v="1"/>
  </r>
  <r>
    <n v="310"/>
    <s v="Moore"/>
    <n v="499"/>
    <x v="0"/>
    <x v="1"/>
    <n v="85"/>
    <n v="10"/>
    <n v="203018.63"/>
    <n v="2"/>
    <n v="1"/>
    <n v="1"/>
    <n v="57175.83"/>
    <x v="0"/>
  </r>
  <r>
    <n v="331"/>
    <s v="Miller"/>
    <n v="409"/>
    <x v="2"/>
    <x v="0"/>
    <n v="32"/>
    <n v="9"/>
    <n v="100270.85"/>
    <n v="1"/>
    <n v="1"/>
    <n v="1"/>
    <n v="57238.53"/>
    <x v="1"/>
  </r>
  <r>
    <n v="291"/>
    <s v="Moore"/>
    <n v="528"/>
    <x v="1"/>
    <x v="1"/>
    <n v="53"/>
    <n v="6"/>
    <n v="130816.43"/>
    <n v="3"/>
    <n v="0"/>
    <n v="0"/>
    <n v="57363.12"/>
    <x v="1"/>
  </r>
  <r>
    <n v="458"/>
    <s v="Miller"/>
    <n v="579"/>
    <x v="0"/>
    <x v="1"/>
    <n v="30"/>
    <n v="5"/>
    <n v="220273.68"/>
    <n v="4"/>
    <n v="0"/>
    <n v="0"/>
    <n v="57395.97"/>
    <x v="1"/>
  </r>
  <r>
    <n v="174"/>
    <s v="Moore"/>
    <n v="643"/>
    <x v="0"/>
    <x v="0"/>
    <n v="78"/>
    <n v="10"/>
    <n v="55309.99"/>
    <n v="2"/>
    <n v="0"/>
    <n v="1"/>
    <n v="57614.96"/>
    <x v="0"/>
  </r>
  <r>
    <n v="142"/>
    <s v="Moore"/>
    <n v="396"/>
    <x v="2"/>
    <x v="0"/>
    <n v="52"/>
    <n v="9"/>
    <n v="227146.67"/>
    <n v="2"/>
    <n v="0"/>
    <n v="0"/>
    <n v="57655.65"/>
    <x v="0"/>
  </r>
  <r>
    <n v="241"/>
    <s v="Brown"/>
    <n v="634"/>
    <x v="0"/>
    <x v="0"/>
    <n v="26"/>
    <n v="8"/>
    <n v="195884.79999999999"/>
    <n v="3"/>
    <n v="0"/>
    <n v="1"/>
    <n v="58187.74"/>
    <x v="0"/>
  </r>
  <r>
    <n v="416"/>
    <s v="Wilson"/>
    <n v="636"/>
    <x v="1"/>
    <x v="1"/>
    <n v="53"/>
    <n v="3"/>
    <n v="196579.74"/>
    <n v="2"/>
    <n v="1"/>
    <n v="0"/>
    <n v="58389.15"/>
    <x v="0"/>
  </r>
  <r>
    <n v="481"/>
    <s v="Taylor"/>
    <n v="415"/>
    <x v="1"/>
    <x v="1"/>
    <n v="31"/>
    <n v="5"/>
    <n v="224202.59"/>
    <n v="3"/>
    <n v="1"/>
    <n v="0"/>
    <n v="58513.24"/>
    <x v="1"/>
  </r>
  <r>
    <n v="12"/>
    <s v="Miller"/>
    <n v="672"/>
    <x v="2"/>
    <x v="0"/>
    <n v="21"/>
    <n v="3"/>
    <n v="157278.91"/>
    <n v="3"/>
    <n v="0"/>
    <n v="0"/>
    <n v="58708.71"/>
    <x v="0"/>
  </r>
  <r>
    <n v="194"/>
    <s v="Moore"/>
    <n v="558"/>
    <x v="0"/>
    <x v="0"/>
    <n v="39"/>
    <n v="9"/>
    <n v="222626.19"/>
    <n v="2"/>
    <n v="0"/>
    <n v="0"/>
    <n v="59452.54"/>
    <x v="0"/>
  </r>
  <r>
    <n v="136"/>
    <s v="Moore"/>
    <n v="703"/>
    <x v="1"/>
    <x v="0"/>
    <n v="32"/>
    <n v="4"/>
    <n v="35229.26"/>
    <n v="2"/>
    <n v="1"/>
    <n v="0"/>
    <n v="59763.13"/>
    <x v="0"/>
  </r>
  <r>
    <n v="76"/>
    <s v="Brown"/>
    <n v="587"/>
    <x v="0"/>
    <x v="1"/>
    <n v="46"/>
    <n v="4"/>
    <n v="88638.62"/>
    <n v="2"/>
    <n v="1"/>
    <n v="0"/>
    <n v="60075.81"/>
    <x v="1"/>
  </r>
  <r>
    <n v="150"/>
    <s v="Smith"/>
    <n v="652"/>
    <x v="2"/>
    <x v="1"/>
    <n v="57"/>
    <n v="0"/>
    <n v="7447.39"/>
    <n v="2"/>
    <n v="0"/>
    <n v="0"/>
    <n v="60175.22"/>
    <x v="0"/>
  </r>
  <r>
    <n v="385"/>
    <s v="Miller"/>
    <n v="723"/>
    <x v="2"/>
    <x v="0"/>
    <n v="67"/>
    <n v="2"/>
    <n v="222765.58"/>
    <n v="2"/>
    <n v="1"/>
    <n v="1"/>
    <n v="60737.81"/>
    <x v="1"/>
  </r>
  <r>
    <n v="63"/>
    <s v="Johnson"/>
    <n v="452"/>
    <x v="0"/>
    <x v="1"/>
    <n v="65"/>
    <n v="5"/>
    <n v="145317.32"/>
    <n v="3"/>
    <n v="0"/>
    <n v="0"/>
    <n v="60885.4"/>
    <x v="0"/>
  </r>
  <r>
    <n v="253"/>
    <s v="Brown"/>
    <n v="569"/>
    <x v="0"/>
    <x v="0"/>
    <n v="21"/>
    <n v="1"/>
    <n v="18800.849999999999"/>
    <n v="1"/>
    <n v="0"/>
    <n v="0"/>
    <n v="60995.519999999997"/>
    <x v="0"/>
  </r>
  <r>
    <n v="105"/>
    <s v="Wilson"/>
    <n v="397"/>
    <x v="0"/>
    <x v="0"/>
    <n v="75"/>
    <n v="9"/>
    <n v="46.68"/>
    <n v="3"/>
    <n v="1"/>
    <n v="0"/>
    <n v="61080.02"/>
    <x v="0"/>
  </r>
  <r>
    <n v="396"/>
    <s v="Brown"/>
    <n v="578"/>
    <x v="0"/>
    <x v="0"/>
    <n v="68"/>
    <n v="2"/>
    <n v="59641.51"/>
    <n v="4"/>
    <n v="0"/>
    <n v="0"/>
    <n v="61207.9"/>
    <x v="0"/>
  </r>
  <r>
    <n v="212"/>
    <s v="Taylor"/>
    <n v="450"/>
    <x v="1"/>
    <x v="0"/>
    <n v="62"/>
    <n v="6"/>
    <n v="167423.71"/>
    <n v="4"/>
    <n v="0"/>
    <n v="1"/>
    <n v="61220.89"/>
    <x v="0"/>
  </r>
  <r>
    <n v="180"/>
    <s v="Taylor"/>
    <n v="529"/>
    <x v="2"/>
    <x v="0"/>
    <n v="83"/>
    <n v="10"/>
    <n v="140464.4"/>
    <n v="2"/>
    <n v="1"/>
    <n v="0"/>
    <n v="62160.12"/>
    <x v="0"/>
  </r>
  <r>
    <n v="471"/>
    <s v="Taylor"/>
    <n v="575"/>
    <x v="1"/>
    <x v="1"/>
    <n v="88"/>
    <n v="4"/>
    <n v="75139.3"/>
    <n v="1"/>
    <n v="0"/>
    <n v="1"/>
    <n v="62313.56"/>
    <x v="1"/>
  </r>
  <r>
    <n v="439"/>
    <s v="Wilson"/>
    <n v="735"/>
    <x v="0"/>
    <x v="1"/>
    <n v="45"/>
    <n v="10"/>
    <n v="137629.67000000001"/>
    <n v="4"/>
    <n v="0"/>
    <n v="1"/>
    <n v="63609.91"/>
    <x v="1"/>
  </r>
  <r>
    <n v="238"/>
    <s v="Jones"/>
    <n v="389"/>
    <x v="1"/>
    <x v="1"/>
    <n v="24"/>
    <n v="3"/>
    <n v="144426.62"/>
    <n v="1"/>
    <n v="1"/>
    <n v="0"/>
    <n v="64031.99"/>
    <x v="1"/>
  </r>
  <r>
    <n v="399"/>
    <s v="Smith"/>
    <n v="629"/>
    <x v="2"/>
    <x v="1"/>
    <n v="48"/>
    <n v="4"/>
    <n v="234503.75"/>
    <n v="1"/>
    <n v="1"/>
    <n v="0"/>
    <n v="64388.61"/>
    <x v="1"/>
  </r>
  <r>
    <n v="429"/>
    <s v="Moore"/>
    <n v="363"/>
    <x v="1"/>
    <x v="1"/>
    <n v="77"/>
    <n v="0"/>
    <n v="36501.089999999997"/>
    <n v="2"/>
    <n v="1"/>
    <n v="1"/>
    <n v="64420.160000000003"/>
    <x v="0"/>
  </r>
  <r>
    <n v="474"/>
    <s v="Johnson"/>
    <n v="515"/>
    <x v="2"/>
    <x v="0"/>
    <n v="66"/>
    <n v="0"/>
    <n v="133040.76"/>
    <n v="3"/>
    <n v="0"/>
    <n v="0"/>
    <n v="64833.38"/>
    <x v="1"/>
  </r>
  <r>
    <n v="386"/>
    <s v="Smith"/>
    <n v="791"/>
    <x v="2"/>
    <x v="0"/>
    <n v="38"/>
    <n v="8"/>
    <n v="13669.44"/>
    <n v="2"/>
    <n v="1"/>
    <n v="1"/>
    <n v="64850.98"/>
    <x v="1"/>
  </r>
  <r>
    <n v="46"/>
    <s v="Jones"/>
    <n v="813"/>
    <x v="1"/>
    <x v="1"/>
    <n v="61"/>
    <n v="9"/>
    <n v="92243.96"/>
    <n v="2"/>
    <n v="0"/>
    <n v="1"/>
    <n v="64920.41"/>
    <x v="0"/>
  </r>
  <r>
    <n v="6"/>
    <s v="Taylor"/>
    <n v="777"/>
    <x v="0"/>
    <x v="1"/>
    <n v="34"/>
    <n v="0"/>
    <n v="127812.9"/>
    <n v="4"/>
    <n v="1"/>
    <n v="0"/>
    <n v="65189.1"/>
    <x v="1"/>
  </r>
  <r>
    <n v="114"/>
    <s v="Jones"/>
    <n v="737"/>
    <x v="1"/>
    <x v="1"/>
    <n v="59"/>
    <n v="1"/>
    <n v="80693.34"/>
    <n v="4"/>
    <n v="0"/>
    <n v="1"/>
    <n v="65451.93"/>
    <x v="1"/>
  </r>
  <r>
    <n v="294"/>
    <s v="Johnson"/>
    <n v="682"/>
    <x v="1"/>
    <x v="1"/>
    <n v="22"/>
    <n v="8"/>
    <n v="153461.96"/>
    <n v="1"/>
    <n v="0"/>
    <n v="1"/>
    <n v="66758.63"/>
    <x v="1"/>
  </r>
  <r>
    <n v="163"/>
    <s v="Davis"/>
    <n v="460"/>
    <x v="1"/>
    <x v="0"/>
    <n v="60"/>
    <n v="3"/>
    <n v="163732.6"/>
    <n v="1"/>
    <n v="1"/>
    <n v="0"/>
    <n v="66914.649999999994"/>
    <x v="1"/>
  </r>
  <r>
    <n v="335"/>
    <s v="Jones"/>
    <n v="846"/>
    <x v="2"/>
    <x v="1"/>
    <n v="23"/>
    <n v="3"/>
    <n v="117828.86"/>
    <n v="1"/>
    <n v="0"/>
    <n v="0"/>
    <n v="67005.429999999993"/>
    <x v="0"/>
  </r>
  <r>
    <n v="419"/>
    <s v="Jones"/>
    <n v="404"/>
    <x v="1"/>
    <x v="1"/>
    <n v="54"/>
    <n v="10"/>
    <n v="180845.4"/>
    <n v="1"/>
    <n v="0"/>
    <n v="1"/>
    <n v="67354.759999999995"/>
    <x v="0"/>
  </r>
  <r>
    <n v="75"/>
    <s v="Brown"/>
    <n v="385"/>
    <x v="2"/>
    <x v="1"/>
    <n v="27"/>
    <n v="8"/>
    <n v="35744.699999999997"/>
    <n v="1"/>
    <n v="0"/>
    <n v="1"/>
    <n v="67445.009999999995"/>
    <x v="1"/>
  </r>
  <r>
    <n v="410"/>
    <s v="Johnson"/>
    <n v="845"/>
    <x v="2"/>
    <x v="1"/>
    <n v="57"/>
    <n v="3"/>
    <n v="236890.08"/>
    <n v="4"/>
    <n v="0"/>
    <n v="0"/>
    <n v="67984.02"/>
    <x v="0"/>
  </r>
  <r>
    <n v="65"/>
    <s v="Taylor"/>
    <n v="729"/>
    <x v="0"/>
    <x v="0"/>
    <n v="49"/>
    <n v="6"/>
    <n v="139224.43"/>
    <n v="4"/>
    <n v="1"/>
    <n v="1"/>
    <n v="68374.880000000005"/>
    <x v="0"/>
  </r>
  <r>
    <n v="437"/>
    <s v="Miller"/>
    <n v="730"/>
    <x v="2"/>
    <x v="0"/>
    <n v="79"/>
    <n v="9"/>
    <n v="245266.56"/>
    <n v="4"/>
    <n v="1"/>
    <n v="1"/>
    <n v="68485.740000000005"/>
    <x v="0"/>
  </r>
  <r>
    <n v="254"/>
    <s v="Williams"/>
    <n v="705"/>
    <x v="2"/>
    <x v="0"/>
    <n v="29"/>
    <n v="10"/>
    <n v="78681.009999999995"/>
    <n v="1"/>
    <n v="0"/>
    <n v="0"/>
    <n v="69503.59"/>
    <x v="1"/>
  </r>
  <r>
    <n v="155"/>
    <s v="Moore"/>
    <n v="437"/>
    <x v="0"/>
    <x v="0"/>
    <n v="23"/>
    <n v="9"/>
    <n v="118047.52"/>
    <n v="4"/>
    <n v="0"/>
    <n v="1"/>
    <n v="69509.759999999995"/>
    <x v="0"/>
  </r>
  <r>
    <n v="435"/>
    <s v="Wilson"/>
    <n v="559"/>
    <x v="2"/>
    <x v="0"/>
    <n v="28"/>
    <n v="5"/>
    <n v="117504.37"/>
    <n v="3"/>
    <n v="1"/>
    <n v="1"/>
    <n v="69683.199999999997"/>
    <x v="0"/>
  </r>
  <r>
    <n v="398"/>
    <s v="Brown"/>
    <n v="668"/>
    <x v="2"/>
    <x v="1"/>
    <n v="85"/>
    <n v="8"/>
    <n v="137118.25"/>
    <n v="1"/>
    <n v="1"/>
    <n v="1"/>
    <n v="69952.509999999995"/>
    <x v="0"/>
  </r>
  <r>
    <n v="209"/>
    <s v="Wilson"/>
    <n v="695"/>
    <x v="2"/>
    <x v="1"/>
    <n v="21"/>
    <n v="10"/>
    <n v="112981.4"/>
    <n v="4"/>
    <n v="0"/>
    <n v="1"/>
    <n v="69975.320000000007"/>
    <x v="1"/>
  </r>
  <r>
    <n v="284"/>
    <s v="Jones"/>
    <n v="452"/>
    <x v="1"/>
    <x v="0"/>
    <n v="29"/>
    <n v="1"/>
    <n v="28385.09"/>
    <n v="3"/>
    <n v="0"/>
    <n v="1"/>
    <n v="70010.28"/>
    <x v="1"/>
  </r>
  <r>
    <n v="143"/>
    <s v="Moore"/>
    <n v="846"/>
    <x v="1"/>
    <x v="0"/>
    <n v="50"/>
    <n v="5"/>
    <n v="164636.07"/>
    <n v="4"/>
    <n v="1"/>
    <n v="0"/>
    <n v="70775.05"/>
    <x v="1"/>
  </r>
  <r>
    <n v="375"/>
    <s v="Jones"/>
    <n v="807"/>
    <x v="0"/>
    <x v="0"/>
    <n v="61"/>
    <n v="10"/>
    <n v="33943.949999999997"/>
    <n v="2"/>
    <n v="1"/>
    <n v="1"/>
    <n v="70802.91"/>
    <x v="1"/>
  </r>
  <r>
    <n v="288"/>
    <s v="Wilson"/>
    <n v="691"/>
    <x v="2"/>
    <x v="1"/>
    <n v="88"/>
    <n v="1"/>
    <n v="162669.35999999999"/>
    <n v="4"/>
    <n v="0"/>
    <n v="0"/>
    <n v="71072.84"/>
    <x v="1"/>
  </r>
  <r>
    <n v="431"/>
    <s v="Taylor"/>
    <n v="625"/>
    <x v="1"/>
    <x v="0"/>
    <n v="36"/>
    <n v="0"/>
    <n v="165914.53"/>
    <n v="2"/>
    <n v="1"/>
    <n v="0"/>
    <n v="71091.44"/>
    <x v="1"/>
  </r>
  <r>
    <n v="403"/>
    <s v="Miller"/>
    <n v="628"/>
    <x v="1"/>
    <x v="0"/>
    <n v="77"/>
    <n v="2"/>
    <n v="212693.91"/>
    <n v="4"/>
    <n v="1"/>
    <n v="1"/>
    <n v="71242.42"/>
    <x v="0"/>
  </r>
  <r>
    <n v="106"/>
    <s v="Davis"/>
    <n v="537"/>
    <x v="1"/>
    <x v="1"/>
    <n v="39"/>
    <n v="3"/>
    <n v="238648.7"/>
    <n v="1"/>
    <n v="1"/>
    <n v="1"/>
    <n v="71498.5"/>
    <x v="0"/>
  </r>
  <r>
    <n v="259"/>
    <s v="Davis"/>
    <n v="400"/>
    <x v="2"/>
    <x v="0"/>
    <n v="21"/>
    <n v="3"/>
    <n v="67715.59"/>
    <n v="2"/>
    <n v="1"/>
    <n v="1"/>
    <n v="71585.87"/>
    <x v="0"/>
  </r>
  <r>
    <n v="21"/>
    <s v="Davis"/>
    <n v="571"/>
    <x v="1"/>
    <x v="0"/>
    <n v="26"/>
    <n v="6"/>
    <n v="239474.66"/>
    <n v="1"/>
    <n v="0"/>
    <n v="1"/>
    <n v="71646.19"/>
    <x v="0"/>
  </r>
  <r>
    <n v="271"/>
    <s v="Taylor"/>
    <n v="490"/>
    <x v="0"/>
    <x v="1"/>
    <n v="86"/>
    <n v="3"/>
    <n v="174710.86"/>
    <n v="3"/>
    <n v="1"/>
    <n v="1"/>
    <n v="72099.13"/>
    <x v="0"/>
  </r>
  <r>
    <n v="195"/>
    <s v="Brown"/>
    <n v="392"/>
    <x v="0"/>
    <x v="0"/>
    <n v="45"/>
    <n v="9"/>
    <n v="233110.85"/>
    <n v="1"/>
    <n v="0"/>
    <n v="0"/>
    <n v="72202.649999999994"/>
    <x v="0"/>
  </r>
  <r>
    <n v="220"/>
    <s v="Davis"/>
    <n v="771"/>
    <x v="1"/>
    <x v="1"/>
    <n v="81"/>
    <n v="3"/>
    <n v="135435.82999999999"/>
    <n v="3"/>
    <n v="0"/>
    <n v="1"/>
    <n v="72274.3"/>
    <x v="1"/>
  </r>
  <r>
    <n v="450"/>
    <s v="Jones"/>
    <n v="610"/>
    <x v="1"/>
    <x v="1"/>
    <n v="60"/>
    <n v="10"/>
    <n v="104917.3"/>
    <n v="2"/>
    <n v="0"/>
    <n v="1"/>
    <n v="72303.199999999997"/>
    <x v="0"/>
  </r>
  <r>
    <n v="154"/>
    <s v="Taylor"/>
    <n v="465"/>
    <x v="1"/>
    <x v="1"/>
    <n v="26"/>
    <n v="1"/>
    <n v="197384.58"/>
    <n v="3"/>
    <n v="0"/>
    <n v="0"/>
    <n v="73040.67"/>
    <x v="0"/>
  </r>
  <r>
    <n v="391"/>
    <s v="Brown"/>
    <n v="580"/>
    <x v="1"/>
    <x v="1"/>
    <n v="75"/>
    <n v="3"/>
    <n v="206215.22"/>
    <n v="1"/>
    <n v="0"/>
    <n v="1"/>
    <n v="73777.070000000007"/>
    <x v="0"/>
  </r>
  <r>
    <n v="448"/>
    <s v="Davis"/>
    <n v="605"/>
    <x v="1"/>
    <x v="1"/>
    <n v="90"/>
    <n v="6"/>
    <n v="125191.91"/>
    <n v="2"/>
    <n v="0"/>
    <n v="1"/>
    <n v="74035.929999999993"/>
    <x v="0"/>
  </r>
  <r>
    <n v="293"/>
    <s v="Wilson"/>
    <n v="608"/>
    <x v="0"/>
    <x v="1"/>
    <n v="81"/>
    <n v="9"/>
    <n v="30279.62"/>
    <n v="1"/>
    <n v="0"/>
    <n v="1"/>
    <n v="74150.789999999994"/>
    <x v="0"/>
  </r>
  <r>
    <n v="108"/>
    <s v="Smith"/>
    <n v="801"/>
    <x v="0"/>
    <x v="1"/>
    <n v="59"/>
    <n v="10"/>
    <n v="77661.960000000006"/>
    <n v="2"/>
    <n v="0"/>
    <n v="0"/>
    <n v="74188.759999999995"/>
    <x v="1"/>
  </r>
  <r>
    <n v="333"/>
    <s v="Smith"/>
    <n v="445"/>
    <x v="1"/>
    <x v="1"/>
    <n v="89"/>
    <n v="10"/>
    <n v="239257.96"/>
    <n v="4"/>
    <n v="0"/>
    <n v="0"/>
    <n v="75002.11"/>
    <x v="1"/>
  </r>
  <r>
    <n v="278"/>
    <s v="Smith"/>
    <n v="388"/>
    <x v="1"/>
    <x v="1"/>
    <n v="47"/>
    <n v="2"/>
    <n v="176592.7"/>
    <n v="4"/>
    <n v="0"/>
    <n v="0"/>
    <n v="75036.289999999994"/>
    <x v="0"/>
  </r>
  <r>
    <n v="112"/>
    <s v="Taylor"/>
    <n v="825"/>
    <x v="1"/>
    <x v="0"/>
    <n v="41"/>
    <n v="5"/>
    <n v="159554.78"/>
    <n v="3"/>
    <n v="0"/>
    <n v="1"/>
    <n v="75419.12"/>
    <x v="1"/>
  </r>
  <r>
    <n v="161"/>
    <s v="Taylor"/>
    <n v="402"/>
    <x v="0"/>
    <x v="0"/>
    <n v="89"/>
    <n v="7"/>
    <n v="205105.61"/>
    <n v="3"/>
    <n v="1"/>
    <n v="0"/>
    <n v="75716.98"/>
    <x v="0"/>
  </r>
  <r>
    <n v="118"/>
    <s v="Brown"/>
    <n v="547"/>
    <x v="1"/>
    <x v="0"/>
    <n v="54"/>
    <n v="6"/>
    <n v="103006.1"/>
    <n v="2"/>
    <n v="1"/>
    <n v="1"/>
    <n v="76101.240000000005"/>
    <x v="0"/>
  </r>
  <r>
    <n v="322"/>
    <s v="Williams"/>
    <n v="398"/>
    <x v="1"/>
    <x v="0"/>
    <n v="84"/>
    <n v="6"/>
    <n v="151818.88"/>
    <n v="3"/>
    <n v="1"/>
    <n v="0"/>
    <n v="76167.42"/>
    <x v="1"/>
  </r>
  <r>
    <n v="404"/>
    <s v="Taylor"/>
    <n v="704"/>
    <x v="1"/>
    <x v="1"/>
    <n v="79"/>
    <n v="10"/>
    <n v="222300.09"/>
    <n v="4"/>
    <n v="0"/>
    <n v="0"/>
    <n v="76217.14"/>
    <x v="0"/>
  </r>
  <r>
    <n v="414"/>
    <s v="Johnson"/>
    <n v="684"/>
    <x v="2"/>
    <x v="1"/>
    <n v="57"/>
    <n v="4"/>
    <n v="186325.98"/>
    <n v="4"/>
    <n v="0"/>
    <n v="0"/>
    <n v="76620.289999999994"/>
    <x v="1"/>
  </r>
  <r>
    <n v="476"/>
    <s v="Williams"/>
    <n v="566"/>
    <x v="1"/>
    <x v="0"/>
    <n v="18"/>
    <n v="10"/>
    <n v="146680.78"/>
    <n v="2"/>
    <n v="0"/>
    <n v="0"/>
    <n v="76895.64"/>
    <x v="1"/>
  </r>
  <r>
    <n v="425"/>
    <s v="Moore"/>
    <n v="462"/>
    <x v="1"/>
    <x v="0"/>
    <n v="26"/>
    <n v="9"/>
    <n v="190443.29"/>
    <n v="4"/>
    <n v="1"/>
    <n v="0"/>
    <n v="77215.990000000005"/>
    <x v="0"/>
  </r>
  <r>
    <n v="178"/>
    <s v="Miller"/>
    <n v="459"/>
    <x v="0"/>
    <x v="0"/>
    <n v="57"/>
    <n v="10"/>
    <n v="170945.73"/>
    <n v="3"/>
    <n v="0"/>
    <n v="0"/>
    <n v="77687.86"/>
    <x v="1"/>
  </r>
  <r>
    <n v="359"/>
    <s v="Moore"/>
    <n v="746"/>
    <x v="2"/>
    <x v="1"/>
    <n v="35"/>
    <n v="5"/>
    <n v="196029.87"/>
    <n v="4"/>
    <n v="1"/>
    <n v="0"/>
    <n v="77933.48"/>
    <x v="1"/>
  </r>
  <r>
    <n v="246"/>
    <s v="Wilson"/>
    <n v="561"/>
    <x v="2"/>
    <x v="0"/>
    <n v="47"/>
    <n v="8"/>
    <n v="177892.9"/>
    <n v="1"/>
    <n v="0"/>
    <n v="0"/>
    <n v="78723.149999999994"/>
    <x v="0"/>
  </r>
  <r>
    <n v="166"/>
    <s v="Moore"/>
    <n v="724"/>
    <x v="2"/>
    <x v="1"/>
    <n v="72"/>
    <n v="6"/>
    <n v="191624.47"/>
    <n v="3"/>
    <n v="0"/>
    <n v="0"/>
    <n v="80375.98"/>
    <x v="1"/>
  </r>
  <r>
    <n v="472"/>
    <s v="Brown"/>
    <n v="444"/>
    <x v="1"/>
    <x v="1"/>
    <n v="24"/>
    <n v="9"/>
    <n v="80969.13"/>
    <n v="1"/>
    <n v="1"/>
    <n v="0"/>
    <n v="80855.009999999995"/>
    <x v="0"/>
  </r>
  <r>
    <n v="95"/>
    <s v="Davis"/>
    <n v="746"/>
    <x v="0"/>
    <x v="0"/>
    <n v="60"/>
    <n v="10"/>
    <n v="229932.49"/>
    <n v="2"/>
    <n v="1"/>
    <n v="0"/>
    <n v="81112.42"/>
    <x v="1"/>
  </r>
  <r>
    <n v="42"/>
    <s v="Taylor"/>
    <n v="798"/>
    <x v="2"/>
    <x v="0"/>
    <n v="69"/>
    <n v="8"/>
    <n v="34108.089999999997"/>
    <n v="3"/>
    <n v="0"/>
    <n v="0"/>
    <n v="81519.78"/>
    <x v="1"/>
  </r>
  <r>
    <n v="369"/>
    <s v="Brown"/>
    <n v="602"/>
    <x v="1"/>
    <x v="1"/>
    <n v="76"/>
    <n v="8"/>
    <n v="181947.19"/>
    <n v="3"/>
    <n v="0"/>
    <n v="1"/>
    <n v="81521.02"/>
    <x v="1"/>
  </r>
  <r>
    <n v="130"/>
    <s v="Miller"/>
    <n v="408"/>
    <x v="0"/>
    <x v="1"/>
    <n v="29"/>
    <n v="1"/>
    <n v="136796.01999999999"/>
    <n v="4"/>
    <n v="1"/>
    <n v="0"/>
    <n v="81668.89"/>
    <x v="1"/>
  </r>
  <r>
    <n v="492"/>
    <s v="Williams"/>
    <n v="484"/>
    <x v="0"/>
    <x v="1"/>
    <n v="18"/>
    <n v="1"/>
    <n v="49654.19"/>
    <n v="3"/>
    <n v="0"/>
    <n v="1"/>
    <n v="81684.84"/>
    <x v="0"/>
  </r>
  <r>
    <n v="394"/>
    <s v="Jones"/>
    <n v="738"/>
    <x v="2"/>
    <x v="1"/>
    <n v="37"/>
    <n v="7"/>
    <n v="206465.41"/>
    <n v="2"/>
    <n v="1"/>
    <n v="1"/>
    <n v="81839.69"/>
    <x v="1"/>
  </r>
  <r>
    <n v="214"/>
    <s v="Jones"/>
    <n v="418"/>
    <x v="2"/>
    <x v="1"/>
    <n v="18"/>
    <n v="1"/>
    <n v="96345.86"/>
    <n v="4"/>
    <n v="1"/>
    <n v="0"/>
    <n v="82176.899999999994"/>
    <x v="1"/>
  </r>
  <r>
    <n v="30"/>
    <s v="Smith"/>
    <n v="686"/>
    <x v="1"/>
    <x v="1"/>
    <n v="25"/>
    <n v="5"/>
    <n v="5425.45"/>
    <n v="4"/>
    <n v="1"/>
    <n v="0"/>
    <n v="82220.31"/>
    <x v="0"/>
  </r>
  <r>
    <n v="41"/>
    <s v="Taylor"/>
    <n v="671"/>
    <x v="0"/>
    <x v="0"/>
    <n v="63"/>
    <n v="5"/>
    <n v="43010.54"/>
    <n v="3"/>
    <n v="0"/>
    <n v="1"/>
    <n v="82220.31"/>
    <x v="0"/>
  </r>
  <r>
    <n v="37"/>
    <s v="Jones"/>
    <n v="568"/>
    <x v="2"/>
    <x v="1"/>
    <n v="41"/>
    <n v="10"/>
    <n v="192830.21"/>
    <n v="2"/>
    <n v="0"/>
    <n v="0"/>
    <n v="82220.31"/>
    <x v="1"/>
  </r>
  <r>
    <n v="384"/>
    <s v="Taylor"/>
    <n v="495"/>
    <x v="2"/>
    <x v="0"/>
    <n v="55"/>
    <n v="8"/>
    <n v="174803.79"/>
    <n v="1"/>
    <n v="1"/>
    <n v="1"/>
    <n v="82707.83"/>
    <x v="0"/>
  </r>
  <r>
    <n v="121"/>
    <s v="Taylor"/>
    <n v="367"/>
    <x v="2"/>
    <x v="0"/>
    <n v="18"/>
    <n v="8"/>
    <n v="37178.53"/>
    <n v="1"/>
    <n v="1"/>
    <n v="0"/>
    <n v="82791.570000000007"/>
    <x v="0"/>
  </r>
  <r>
    <n v="235"/>
    <s v="Johnson"/>
    <n v="624"/>
    <x v="1"/>
    <x v="0"/>
    <n v="65"/>
    <n v="4"/>
    <n v="179014.43"/>
    <n v="1"/>
    <n v="1"/>
    <n v="0"/>
    <n v="83705.740000000005"/>
    <x v="0"/>
  </r>
  <r>
    <n v="219"/>
    <s v="Wilson"/>
    <n v="575"/>
    <x v="2"/>
    <x v="1"/>
    <n v="39"/>
    <n v="3"/>
    <n v="213911.63"/>
    <n v="3"/>
    <n v="0"/>
    <n v="1"/>
    <n v="84036.97"/>
    <x v="0"/>
  </r>
  <r>
    <n v="405"/>
    <s v="Jones"/>
    <n v="508"/>
    <x v="2"/>
    <x v="0"/>
    <n v="49"/>
    <n v="5"/>
    <n v="220856.36"/>
    <n v="1"/>
    <n v="0"/>
    <n v="1"/>
    <n v="84471.69"/>
    <x v="0"/>
  </r>
  <r>
    <n v="440"/>
    <s v="Jones"/>
    <n v="603"/>
    <x v="1"/>
    <x v="0"/>
    <n v="24"/>
    <n v="0"/>
    <n v="78305.72"/>
    <n v="2"/>
    <n v="0"/>
    <n v="1"/>
    <n v="84684"/>
    <x v="1"/>
  </r>
  <r>
    <n v="120"/>
    <s v="Williams"/>
    <n v="738"/>
    <x v="0"/>
    <x v="1"/>
    <n v="60"/>
    <n v="1"/>
    <n v="242524.24"/>
    <n v="2"/>
    <n v="1"/>
    <n v="0"/>
    <n v="84784.47"/>
    <x v="1"/>
  </r>
  <r>
    <n v="500"/>
    <s v="Davis"/>
    <n v="393"/>
    <x v="2"/>
    <x v="0"/>
    <n v="23"/>
    <n v="9"/>
    <n v="189955.55"/>
    <n v="3"/>
    <n v="1"/>
    <n v="1"/>
    <n v="85565.14"/>
    <x v="0"/>
  </r>
  <r>
    <n v="64"/>
    <s v="Wilson"/>
    <n v="707"/>
    <x v="0"/>
    <x v="1"/>
    <n v="40"/>
    <n v="0"/>
    <n v="214046.15"/>
    <n v="1"/>
    <n v="0"/>
    <n v="1"/>
    <n v="86343.96"/>
    <x v="1"/>
  </r>
  <r>
    <n v="169"/>
    <s v="Taylor"/>
    <n v="610"/>
    <x v="2"/>
    <x v="0"/>
    <n v="21"/>
    <n v="4"/>
    <n v="183590.26"/>
    <n v="3"/>
    <n v="1"/>
    <n v="1"/>
    <n v="86790.47"/>
    <x v="1"/>
  </r>
  <r>
    <n v="186"/>
    <s v="Williams"/>
    <n v="635"/>
    <x v="0"/>
    <x v="0"/>
    <n v="79"/>
    <n v="2"/>
    <n v="113120.37"/>
    <n v="3"/>
    <n v="1"/>
    <n v="0"/>
    <n v="87508.69"/>
    <x v="1"/>
  </r>
  <r>
    <n v="411"/>
    <s v="Jones"/>
    <n v="464"/>
    <x v="0"/>
    <x v="1"/>
    <n v="68"/>
    <n v="7"/>
    <n v="162045.57"/>
    <n v="1"/>
    <n v="0"/>
    <n v="0"/>
    <n v="87532.67"/>
    <x v="0"/>
  </r>
  <r>
    <n v="311"/>
    <s v="Davis"/>
    <n v="470"/>
    <x v="1"/>
    <x v="0"/>
    <n v="89"/>
    <n v="6"/>
    <n v="113690.36"/>
    <n v="4"/>
    <n v="0"/>
    <n v="1"/>
    <n v="87583.039999999994"/>
    <x v="0"/>
  </r>
  <r>
    <n v="129"/>
    <s v="Smith"/>
    <n v="514"/>
    <x v="1"/>
    <x v="1"/>
    <n v="24"/>
    <n v="2"/>
    <n v="44897.120000000003"/>
    <n v="3"/>
    <n v="0"/>
    <n v="0"/>
    <n v="87587.83"/>
    <x v="1"/>
  </r>
  <r>
    <n v="313"/>
    <s v="Moore"/>
    <n v="695"/>
    <x v="1"/>
    <x v="1"/>
    <n v="90"/>
    <n v="0"/>
    <n v="34576.69"/>
    <n v="4"/>
    <n v="0"/>
    <n v="0"/>
    <n v="87838.32"/>
    <x v="0"/>
  </r>
  <r>
    <n v="171"/>
    <s v="Davis"/>
    <n v="481"/>
    <x v="2"/>
    <x v="1"/>
    <n v="51"/>
    <n v="2"/>
    <n v="139747.91"/>
    <n v="4"/>
    <n v="1"/>
    <n v="1"/>
    <n v="88266.73"/>
    <x v="1"/>
  </r>
  <r>
    <n v="451"/>
    <s v="Wilson"/>
    <n v="498"/>
    <x v="0"/>
    <x v="1"/>
    <n v="54"/>
    <n v="9"/>
    <n v="26944.7"/>
    <n v="4"/>
    <n v="0"/>
    <n v="0"/>
    <n v="88360.27"/>
    <x v="1"/>
  </r>
  <r>
    <n v="274"/>
    <s v="Smith"/>
    <n v="383"/>
    <x v="1"/>
    <x v="0"/>
    <n v="55"/>
    <n v="10"/>
    <n v="190927.15"/>
    <n v="3"/>
    <n v="1"/>
    <n v="0"/>
    <n v="88503.02"/>
    <x v="0"/>
  </r>
  <r>
    <n v="32"/>
    <s v="Jones"/>
    <n v="806"/>
    <x v="0"/>
    <x v="1"/>
    <n v="60"/>
    <n v="10"/>
    <n v="98142.26"/>
    <n v="4"/>
    <n v="0"/>
    <n v="1"/>
    <n v="88655.49"/>
    <x v="0"/>
  </r>
  <r>
    <n v="354"/>
    <s v="Wilson"/>
    <n v="698"/>
    <x v="1"/>
    <x v="1"/>
    <n v="18"/>
    <n v="5"/>
    <n v="142139.92000000001"/>
    <n v="2"/>
    <n v="0"/>
    <n v="1"/>
    <n v="89777.41"/>
    <x v="1"/>
  </r>
  <r>
    <n v="315"/>
    <s v="Brown"/>
    <n v="572"/>
    <x v="1"/>
    <x v="0"/>
    <n v="23"/>
    <n v="6"/>
    <n v="169958.77"/>
    <n v="2"/>
    <n v="1"/>
    <n v="0"/>
    <n v="90227.36"/>
    <x v="0"/>
  </r>
  <r>
    <n v="428"/>
    <s v="Smith"/>
    <n v="787"/>
    <x v="1"/>
    <x v="1"/>
    <n v="77"/>
    <n v="4"/>
    <n v="82614.73"/>
    <n v="1"/>
    <n v="1"/>
    <n v="0"/>
    <n v="90275.78"/>
    <x v="1"/>
  </r>
  <r>
    <n v="314"/>
    <s v="Davis"/>
    <n v="363"/>
    <x v="2"/>
    <x v="0"/>
    <n v="55"/>
    <n v="7"/>
    <n v="156344.54"/>
    <n v="2"/>
    <n v="0"/>
    <n v="0"/>
    <n v="90381.04"/>
    <x v="0"/>
  </r>
  <r>
    <n v="462"/>
    <s v="Wilson"/>
    <n v="390"/>
    <x v="0"/>
    <x v="1"/>
    <n v="58"/>
    <n v="2"/>
    <n v="86317.46"/>
    <n v="3"/>
    <n v="0"/>
    <n v="0"/>
    <n v="90411.33"/>
    <x v="0"/>
  </r>
  <r>
    <n v="34"/>
    <s v="Johnson"/>
    <n v="475"/>
    <x v="0"/>
    <x v="0"/>
    <n v="72"/>
    <n v="6"/>
    <n v="72899.17"/>
    <n v="1"/>
    <n v="0"/>
    <n v="0"/>
    <n v="90761.77"/>
    <x v="1"/>
  </r>
  <r>
    <n v="485"/>
    <s v="Wilson"/>
    <n v="437"/>
    <x v="1"/>
    <x v="1"/>
    <n v="69"/>
    <n v="3"/>
    <n v="69485.69"/>
    <n v="2"/>
    <n v="1"/>
    <n v="1"/>
    <n v="91069.46"/>
    <x v="1"/>
  </r>
  <r>
    <n v="372"/>
    <s v="Taylor"/>
    <n v="673"/>
    <x v="1"/>
    <x v="0"/>
    <n v="44"/>
    <n v="0"/>
    <n v="42307.27"/>
    <n v="4"/>
    <n v="1"/>
    <n v="0"/>
    <n v="91193.31"/>
    <x v="0"/>
  </r>
  <r>
    <n v="266"/>
    <s v="Williams"/>
    <n v="834"/>
    <x v="0"/>
    <x v="1"/>
    <n v="63"/>
    <n v="4"/>
    <n v="85953.51"/>
    <n v="2"/>
    <n v="1"/>
    <n v="1"/>
    <n v="91754.31"/>
    <x v="1"/>
  </r>
  <r>
    <n v="73"/>
    <s v="Davis"/>
    <n v="509"/>
    <x v="2"/>
    <x v="1"/>
    <n v="24"/>
    <n v="4"/>
    <n v="112469.92"/>
    <n v="4"/>
    <n v="0"/>
    <n v="0"/>
    <n v="92201.91"/>
    <x v="1"/>
  </r>
  <r>
    <n v="8"/>
    <s v="Davis"/>
    <n v="741"/>
    <x v="1"/>
    <x v="0"/>
    <n v="82"/>
    <n v="5"/>
    <n v="204042.02"/>
    <n v="2"/>
    <n v="1"/>
    <n v="1"/>
    <n v="92581.54"/>
    <x v="0"/>
  </r>
  <r>
    <n v="210"/>
    <s v="Taylor"/>
    <n v="730"/>
    <x v="2"/>
    <x v="1"/>
    <n v="18"/>
    <n v="2"/>
    <n v="240529.94"/>
    <n v="3"/>
    <n v="1"/>
    <n v="0"/>
    <n v="93107.1"/>
    <x v="1"/>
  </r>
  <r>
    <n v="131"/>
    <s v="Smith"/>
    <n v="527"/>
    <x v="2"/>
    <x v="1"/>
    <n v="73"/>
    <n v="4"/>
    <n v="184707.82"/>
    <n v="4"/>
    <n v="0"/>
    <n v="0"/>
    <n v="93162.76"/>
    <x v="1"/>
  </r>
  <r>
    <n v="20"/>
    <s v="Johnson"/>
    <n v="765"/>
    <x v="2"/>
    <x v="1"/>
    <n v="20"/>
    <n v="4"/>
    <n v="246840.35"/>
    <n v="2"/>
    <n v="0"/>
    <n v="0"/>
    <n v="93337.31"/>
    <x v="1"/>
  </r>
  <r>
    <n v="326"/>
    <s v="Davis"/>
    <n v="739"/>
    <x v="1"/>
    <x v="0"/>
    <n v="84"/>
    <n v="7"/>
    <n v="191888.81"/>
    <n v="2"/>
    <n v="1"/>
    <n v="0"/>
    <n v="94143.76"/>
    <x v="0"/>
  </r>
  <r>
    <n v="3"/>
    <s v="Jones"/>
    <n v="519"/>
    <x v="2"/>
    <x v="0"/>
    <n v="69"/>
    <n v="6"/>
    <n v="146780.5"/>
    <n v="3"/>
    <n v="0"/>
    <n v="0"/>
    <n v="94395.02"/>
    <x v="1"/>
  </r>
  <r>
    <n v="226"/>
    <s v="Davis"/>
    <n v="449"/>
    <x v="0"/>
    <x v="0"/>
    <n v="71"/>
    <n v="9"/>
    <n v="190983.34"/>
    <n v="3"/>
    <n v="0"/>
    <n v="1"/>
    <n v="94496.24"/>
    <x v="1"/>
  </r>
  <r>
    <n v="206"/>
    <s v="Davis"/>
    <n v="722"/>
    <x v="1"/>
    <x v="0"/>
    <n v="35"/>
    <n v="7"/>
    <n v="212738.23"/>
    <n v="4"/>
    <n v="1"/>
    <n v="1"/>
    <n v="95777.53"/>
    <x v="0"/>
  </r>
  <r>
    <n v="200"/>
    <s v="Jones"/>
    <n v="530"/>
    <x v="2"/>
    <x v="0"/>
    <n v="55"/>
    <n v="1"/>
    <n v="205216.41"/>
    <n v="3"/>
    <n v="0"/>
    <n v="0"/>
    <n v="95781.75"/>
    <x v="0"/>
  </r>
  <r>
    <n v="216"/>
    <s v="Jones"/>
    <n v="360"/>
    <x v="2"/>
    <x v="1"/>
    <n v="47"/>
    <n v="10"/>
    <n v="160567.84"/>
    <n v="2"/>
    <n v="1"/>
    <n v="0"/>
    <n v="96310.13"/>
    <x v="0"/>
  </r>
  <r>
    <n v="374"/>
    <s v="Johnson"/>
    <n v="718"/>
    <x v="0"/>
    <x v="1"/>
    <n v="86"/>
    <n v="2"/>
    <n v="117910.43"/>
    <n v="4"/>
    <n v="1"/>
    <n v="0"/>
    <n v="96850.83"/>
    <x v="1"/>
  </r>
  <r>
    <n v="393"/>
    <s v="Smith"/>
    <n v="767"/>
    <x v="1"/>
    <x v="1"/>
    <n v="18"/>
    <n v="3"/>
    <n v="117042.43"/>
    <n v="1"/>
    <n v="0"/>
    <n v="0"/>
    <n v="97218.44"/>
    <x v="0"/>
  </r>
  <r>
    <n v="496"/>
    <s v="Moore"/>
    <n v="647"/>
    <x v="2"/>
    <x v="0"/>
    <n v="87"/>
    <n v="7"/>
    <n v="154264.92000000001"/>
    <n v="2"/>
    <n v="1"/>
    <n v="0"/>
    <n v="97382.98"/>
    <x v="0"/>
  </r>
  <r>
    <n v="376"/>
    <s v="Davis"/>
    <n v="434"/>
    <x v="1"/>
    <x v="0"/>
    <n v="65"/>
    <n v="6"/>
    <n v="90083.5"/>
    <n v="1"/>
    <n v="0"/>
    <n v="1"/>
    <n v="97501.27"/>
    <x v="1"/>
  </r>
  <r>
    <n v="400"/>
    <s v="Smith"/>
    <n v="697"/>
    <x v="2"/>
    <x v="0"/>
    <n v="55"/>
    <n v="3"/>
    <n v="29981.98"/>
    <n v="1"/>
    <n v="1"/>
    <n v="0"/>
    <n v="97693.26"/>
    <x v="0"/>
  </r>
  <r>
    <n v="225"/>
    <s v="Johnson"/>
    <n v="760"/>
    <x v="1"/>
    <x v="0"/>
    <n v="35"/>
    <n v="9"/>
    <n v="241023.24"/>
    <n v="4"/>
    <n v="0"/>
    <n v="0"/>
    <n v="97832.3"/>
    <x v="1"/>
  </r>
  <r>
    <n v="497"/>
    <s v="Smith"/>
    <n v="751"/>
    <x v="0"/>
    <x v="1"/>
    <n v="34"/>
    <n v="1"/>
    <n v="118072.6"/>
    <n v="3"/>
    <n v="0"/>
    <n v="1"/>
    <n v="98955.37"/>
    <x v="0"/>
  </r>
  <r>
    <n v="438"/>
    <s v="Brown"/>
    <n v="450"/>
    <x v="0"/>
    <x v="1"/>
    <n v="34"/>
    <n v="2"/>
    <n v="32148.54"/>
    <n v="2"/>
    <n v="0"/>
    <n v="1"/>
    <n v="99026.41"/>
    <x v="1"/>
  </r>
  <r>
    <n v="221"/>
    <s v="Johnson"/>
    <n v="517"/>
    <x v="0"/>
    <x v="0"/>
    <n v="35"/>
    <n v="1"/>
    <n v="239854.9"/>
    <n v="1"/>
    <n v="1"/>
    <n v="1"/>
    <n v="99332.87"/>
    <x v="1"/>
  </r>
  <r>
    <n v="395"/>
    <s v="Johnson"/>
    <n v="750"/>
    <x v="1"/>
    <x v="1"/>
    <n v="89"/>
    <n v="7"/>
    <n v="192173.02"/>
    <n v="4"/>
    <n v="0"/>
    <n v="1"/>
    <n v="99695.37"/>
    <x v="0"/>
  </r>
  <r>
    <n v="70"/>
    <s v="Williams"/>
    <n v="532"/>
    <x v="2"/>
    <x v="0"/>
    <n v="54"/>
    <n v="7"/>
    <n v="146834.15"/>
    <n v="2"/>
    <n v="1"/>
    <n v="1"/>
    <n v="99812.42"/>
    <x v="0"/>
  </r>
  <r>
    <n v="323"/>
    <s v="Davis"/>
    <n v="390"/>
    <x v="2"/>
    <x v="0"/>
    <n v="80"/>
    <n v="2"/>
    <n v="25688.61"/>
    <n v="3"/>
    <n v="0"/>
    <n v="1"/>
    <n v="100083.34"/>
    <x v="0"/>
  </r>
  <r>
    <n v="482"/>
    <s v="Brown"/>
    <n v="629"/>
    <x v="2"/>
    <x v="0"/>
    <n v="37"/>
    <n v="9"/>
    <n v="24530.880000000001"/>
    <n v="2"/>
    <n v="1"/>
    <n v="0"/>
    <n v="100372.28"/>
    <x v="1"/>
  </r>
  <r>
    <n v="356"/>
    <s v="Taylor"/>
    <n v="504"/>
    <x v="0"/>
    <x v="1"/>
    <n v="39"/>
    <n v="0"/>
    <n v="65011.59"/>
    <n v="2"/>
    <n v="1"/>
    <n v="1"/>
    <n v="100509.25"/>
    <x v="0"/>
  </r>
  <r>
    <n v="81"/>
    <s v="Brown"/>
    <n v="631"/>
    <x v="1"/>
    <x v="0"/>
    <n v="54"/>
    <n v="10"/>
    <n v="68959.39"/>
    <n v="3"/>
    <n v="0"/>
    <n v="0"/>
    <n v="101131.11"/>
    <x v="1"/>
  </r>
  <r>
    <n v="123"/>
    <s v="Brown"/>
    <n v="797"/>
    <x v="0"/>
    <x v="0"/>
    <n v="85"/>
    <n v="2"/>
    <n v="244614.91"/>
    <n v="2"/>
    <n v="1"/>
    <n v="1"/>
    <n v="101378.44"/>
    <x v="1"/>
  </r>
  <r>
    <n v="467"/>
    <s v="Miller"/>
    <n v="409"/>
    <x v="2"/>
    <x v="1"/>
    <n v="41"/>
    <n v="3"/>
    <n v="156420.72"/>
    <n v="2"/>
    <n v="1"/>
    <n v="1"/>
    <n v="101660.52"/>
    <x v="1"/>
  </r>
  <r>
    <n v="91"/>
    <s v="Davis"/>
    <n v="733"/>
    <x v="1"/>
    <x v="1"/>
    <n v="46"/>
    <n v="6"/>
    <n v="15556.14"/>
    <n v="2"/>
    <n v="1"/>
    <n v="1"/>
    <n v="101797.2"/>
    <x v="1"/>
  </r>
  <r>
    <n v="236"/>
    <s v="Johnson"/>
    <n v="759"/>
    <x v="0"/>
    <x v="0"/>
    <n v="22"/>
    <n v="5"/>
    <n v="44104.69"/>
    <n v="4"/>
    <n v="1"/>
    <n v="1"/>
    <n v="101878.09"/>
    <x v="0"/>
  </r>
  <r>
    <n v="299"/>
    <s v="Brown"/>
    <n v="739"/>
    <x v="2"/>
    <x v="1"/>
    <n v="44"/>
    <n v="4"/>
    <n v="8330.89"/>
    <n v="1"/>
    <n v="0"/>
    <n v="1"/>
    <n v="102035.16"/>
    <x v="0"/>
  </r>
  <r>
    <n v="99"/>
    <s v="Brown"/>
    <n v="428"/>
    <x v="2"/>
    <x v="0"/>
    <n v="61"/>
    <n v="3"/>
    <n v="206619.49"/>
    <n v="2"/>
    <n v="0"/>
    <n v="0"/>
    <n v="102150.42"/>
    <x v="1"/>
  </r>
  <r>
    <n v="110"/>
    <s v="Wilson"/>
    <n v="592"/>
    <x v="0"/>
    <x v="0"/>
    <n v="41"/>
    <n v="4"/>
    <n v="66018.19"/>
    <n v="3"/>
    <n v="0"/>
    <n v="0"/>
    <n v="102543.92"/>
    <x v="1"/>
  </r>
  <r>
    <n v="418"/>
    <s v="Brown"/>
    <n v="640"/>
    <x v="1"/>
    <x v="1"/>
    <n v="72"/>
    <n v="1"/>
    <n v="203648.16"/>
    <n v="2"/>
    <n v="0"/>
    <n v="0"/>
    <n v="102614.36"/>
    <x v="0"/>
  </r>
  <r>
    <n v="442"/>
    <s v="Jones"/>
    <n v="739"/>
    <x v="0"/>
    <x v="0"/>
    <n v="25"/>
    <n v="1"/>
    <n v="7336.57"/>
    <n v="3"/>
    <n v="1"/>
    <n v="0"/>
    <n v="102957.36"/>
    <x v="0"/>
  </r>
  <r>
    <n v="139"/>
    <s v="Jones"/>
    <n v="485"/>
    <x v="0"/>
    <x v="1"/>
    <n v="45"/>
    <n v="10"/>
    <n v="134925.82999999999"/>
    <n v="1"/>
    <n v="1"/>
    <n v="0"/>
    <n v="103143.51"/>
    <x v="0"/>
  </r>
  <r>
    <n v="316"/>
    <s v="Wilson"/>
    <n v="442"/>
    <x v="1"/>
    <x v="1"/>
    <n v="73"/>
    <n v="4"/>
    <n v="232599.36"/>
    <n v="3"/>
    <n v="0"/>
    <n v="1"/>
    <n v="103203.97"/>
    <x v="1"/>
  </r>
  <r>
    <n v="17"/>
    <s v="Wilson"/>
    <n v="569"/>
    <x v="2"/>
    <x v="0"/>
    <n v="29"/>
    <n v="7"/>
    <n v="75466.39"/>
    <n v="1"/>
    <n v="0"/>
    <n v="0"/>
    <n v="103226.64"/>
    <x v="0"/>
  </r>
  <r>
    <n v="66"/>
    <s v="Taylor"/>
    <n v="547"/>
    <x v="2"/>
    <x v="1"/>
    <n v="52"/>
    <n v="4"/>
    <n v="226630.81"/>
    <n v="3"/>
    <n v="0"/>
    <n v="0"/>
    <n v="103458.26"/>
    <x v="1"/>
  </r>
  <r>
    <n v="53"/>
    <s v="Davis"/>
    <n v="694"/>
    <x v="1"/>
    <x v="1"/>
    <n v="65"/>
    <n v="0"/>
    <n v="42733.7"/>
    <n v="3"/>
    <n v="0"/>
    <n v="1"/>
    <n v="103834.77"/>
    <x v="1"/>
  </r>
  <r>
    <n v="383"/>
    <s v="Johnson"/>
    <n v="398"/>
    <x v="1"/>
    <x v="1"/>
    <n v="44"/>
    <n v="1"/>
    <n v="27423.79"/>
    <n v="1"/>
    <n v="1"/>
    <n v="1"/>
    <n v="103883.72"/>
    <x v="0"/>
  </r>
  <r>
    <n v="100"/>
    <s v="Williams"/>
    <n v="668"/>
    <x v="0"/>
    <x v="0"/>
    <n v="80"/>
    <n v="4"/>
    <n v="245611.62"/>
    <n v="2"/>
    <n v="1"/>
    <n v="0"/>
    <n v="103995.53"/>
    <x v="0"/>
  </r>
  <r>
    <n v="352"/>
    <s v="Miller"/>
    <n v="834"/>
    <x v="1"/>
    <x v="0"/>
    <n v="76"/>
    <n v="8"/>
    <n v="77216.62"/>
    <n v="4"/>
    <n v="0"/>
    <n v="0"/>
    <n v="104636.55"/>
    <x v="0"/>
  </r>
  <r>
    <n v="489"/>
    <s v="Wilson"/>
    <n v="760"/>
    <x v="1"/>
    <x v="0"/>
    <n v="54"/>
    <n v="5"/>
    <n v="200253.42"/>
    <n v="1"/>
    <n v="1"/>
    <n v="1"/>
    <n v="105135.87"/>
    <x v="1"/>
  </r>
  <r>
    <n v="276"/>
    <s v="Johnson"/>
    <n v="746"/>
    <x v="1"/>
    <x v="0"/>
    <n v="78"/>
    <n v="0"/>
    <n v="238996.86"/>
    <n v="2"/>
    <n v="1"/>
    <n v="0"/>
    <n v="105194.71"/>
    <x v="1"/>
  </r>
  <r>
    <n v="158"/>
    <s v="Davis"/>
    <n v="524"/>
    <x v="0"/>
    <x v="0"/>
    <n v="47"/>
    <n v="1"/>
    <n v="95799.03"/>
    <n v="4"/>
    <n v="0"/>
    <n v="1"/>
    <n v="105598.56"/>
    <x v="1"/>
  </r>
  <r>
    <n v="306"/>
    <s v="Miller"/>
    <n v="412"/>
    <x v="0"/>
    <x v="1"/>
    <n v="91"/>
    <n v="1"/>
    <n v="71844.740000000005"/>
    <n v="1"/>
    <n v="0"/>
    <n v="1"/>
    <n v="105880.01"/>
    <x v="1"/>
  </r>
  <r>
    <n v="303"/>
    <s v="Brown"/>
    <n v="543"/>
    <x v="2"/>
    <x v="0"/>
    <n v="89"/>
    <n v="5"/>
    <n v="248060.86"/>
    <n v="3"/>
    <n v="0"/>
    <n v="0"/>
    <n v="105985.33"/>
    <x v="0"/>
  </r>
  <r>
    <n v="149"/>
    <s v="Jones"/>
    <n v="468"/>
    <x v="1"/>
    <x v="1"/>
    <n v="63"/>
    <n v="0"/>
    <n v="99986.47"/>
    <n v="4"/>
    <n v="1"/>
    <n v="1"/>
    <n v="106009.52"/>
    <x v="0"/>
  </r>
  <r>
    <n v="318"/>
    <s v="Johnson"/>
    <n v="455"/>
    <x v="1"/>
    <x v="0"/>
    <n v="56"/>
    <n v="2"/>
    <n v="184265.11"/>
    <n v="1"/>
    <n v="1"/>
    <n v="0"/>
    <n v="106046.27"/>
    <x v="0"/>
  </r>
  <r>
    <n v="176"/>
    <s v="Williams"/>
    <n v="843"/>
    <x v="1"/>
    <x v="0"/>
    <n v="34"/>
    <n v="6"/>
    <n v="104696.85"/>
    <n v="2"/>
    <n v="0"/>
    <n v="0"/>
    <n v="106102.67"/>
    <x v="0"/>
  </r>
  <r>
    <n v="198"/>
    <s v="Moore"/>
    <n v="760"/>
    <x v="1"/>
    <x v="1"/>
    <n v="21"/>
    <n v="4"/>
    <n v="17937.98"/>
    <n v="1"/>
    <n v="0"/>
    <n v="0"/>
    <n v="106372.6"/>
    <x v="1"/>
  </r>
  <r>
    <n v="269"/>
    <s v="Taylor"/>
    <n v="544"/>
    <x v="2"/>
    <x v="0"/>
    <n v="48"/>
    <n v="1"/>
    <n v="189398.99"/>
    <n v="2"/>
    <n v="1"/>
    <n v="1"/>
    <n v="106385.78"/>
    <x v="0"/>
  </r>
  <r>
    <n v="499"/>
    <s v="Miller"/>
    <n v="718"/>
    <x v="0"/>
    <x v="0"/>
    <n v="28"/>
    <n v="0"/>
    <n v="100871.3"/>
    <n v="4"/>
    <n v="0"/>
    <n v="0"/>
    <n v="106391.64"/>
    <x v="0"/>
  </r>
  <r>
    <n v="31"/>
    <s v="Williams"/>
    <n v="416"/>
    <x v="2"/>
    <x v="0"/>
    <n v="40"/>
    <n v="1"/>
    <n v="192565.36"/>
    <n v="3"/>
    <n v="0"/>
    <n v="0"/>
    <n v="106833.18"/>
    <x v="0"/>
  </r>
  <r>
    <n v="336"/>
    <s v="Johnson"/>
    <n v="558"/>
    <x v="2"/>
    <x v="0"/>
    <n v="32"/>
    <n v="0"/>
    <n v="122399.16"/>
    <n v="1"/>
    <n v="0"/>
    <n v="0"/>
    <n v="107283.07"/>
    <x v="1"/>
  </r>
  <r>
    <n v="445"/>
    <s v="Wilson"/>
    <n v="774"/>
    <x v="0"/>
    <x v="0"/>
    <n v="77"/>
    <n v="10"/>
    <n v="10982.07"/>
    <n v="4"/>
    <n v="1"/>
    <n v="0"/>
    <n v="107521.29"/>
    <x v="1"/>
  </r>
  <r>
    <n v="298"/>
    <s v="Smith"/>
    <n v="806"/>
    <x v="1"/>
    <x v="1"/>
    <n v="79"/>
    <n v="1"/>
    <n v="239514.85"/>
    <n v="1"/>
    <n v="0"/>
    <n v="0"/>
    <n v="107683.81"/>
    <x v="0"/>
  </r>
  <r>
    <n v="29"/>
    <s v="Davis"/>
    <n v="583"/>
    <x v="0"/>
    <x v="0"/>
    <n v="55"/>
    <n v="10"/>
    <n v="137337.07999999999"/>
    <n v="2"/>
    <n v="0"/>
    <n v="1"/>
    <n v="107849.47"/>
    <x v="0"/>
  </r>
  <r>
    <n v="252"/>
    <s v="Johnson"/>
    <n v="740"/>
    <x v="1"/>
    <x v="0"/>
    <n v="90"/>
    <n v="1"/>
    <n v="244519.73"/>
    <n v="4"/>
    <n v="0"/>
    <n v="1"/>
    <n v="107875.29"/>
    <x v="1"/>
  </r>
  <r>
    <n v="1"/>
    <s v="Davis"/>
    <n v="764"/>
    <x v="2"/>
    <x v="0"/>
    <n v="20"/>
    <n v="7"/>
    <n v="119274.87"/>
    <n v="3"/>
    <n v="1"/>
    <n v="0"/>
    <n v="107886.77"/>
    <x v="1"/>
  </r>
  <r>
    <n v="138"/>
    <s v="Williams"/>
    <n v="591"/>
    <x v="1"/>
    <x v="0"/>
    <n v="61"/>
    <n v="7"/>
    <n v="32382.85"/>
    <n v="4"/>
    <n v="0"/>
    <n v="1"/>
    <n v="108015.6"/>
    <x v="1"/>
  </r>
  <r>
    <n v="190"/>
    <s v="Miller"/>
    <n v="840"/>
    <x v="2"/>
    <x v="0"/>
    <n v="42"/>
    <n v="2"/>
    <n v="46465.66"/>
    <n v="3"/>
    <n v="1"/>
    <n v="1"/>
    <n v="108093.18"/>
    <x v="0"/>
  </r>
  <r>
    <n v="340"/>
    <s v="Miller"/>
    <n v="746"/>
    <x v="0"/>
    <x v="1"/>
    <n v="24"/>
    <n v="4"/>
    <n v="73449.679999999993"/>
    <n v="4"/>
    <n v="1"/>
    <n v="0"/>
    <n v="108174.82"/>
    <x v="0"/>
  </r>
  <r>
    <n v="18"/>
    <s v="Wilson"/>
    <n v="596"/>
    <x v="0"/>
    <x v="0"/>
    <n v="40"/>
    <n v="7"/>
    <n v="124186.11"/>
    <n v="3"/>
    <n v="1"/>
    <n v="1"/>
    <n v="108305.55"/>
    <x v="1"/>
  </r>
  <r>
    <n v="113"/>
    <s v="Williams"/>
    <n v="695"/>
    <x v="0"/>
    <x v="0"/>
    <n v="90"/>
    <n v="7"/>
    <n v="168519.32"/>
    <n v="2"/>
    <n v="1"/>
    <n v="0"/>
    <n v="108422.12"/>
    <x v="1"/>
  </r>
  <r>
    <n v="255"/>
    <s v="Davis"/>
    <n v="791"/>
    <x v="1"/>
    <x v="0"/>
    <n v="75"/>
    <n v="8"/>
    <n v="101615.64"/>
    <n v="2"/>
    <n v="1"/>
    <n v="0"/>
    <n v="108820.32"/>
    <x v="0"/>
  </r>
  <r>
    <n v="80"/>
    <s v="Jones"/>
    <n v="604"/>
    <x v="2"/>
    <x v="0"/>
    <n v="27"/>
    <n v="7"/>
    <n v="162041.47"/>
    <n v="3"/>
    <n v="1"/>
    <n v="0"/>
    <n v="109301.93"/>
    <x v="0"/>
  </r>
  <r>
    <n v="111"/>
    <s v="Williams"/>
    <n v="663"/>
    <x v="1"/>
    <x v="1"/>
    <n v="70"/>
    <n v="6"/>
    <n v="108982.82"/>
    <n v="4"/>
    <n v="0"/>
    <n v="0"/>
    <n v="110349.05"/>
    <x v="0"/>
  </r>
  <r>
    <n v="48"/>
    <s v="Wilson"/>
    <n v="538"/>
    <x v="2"/>
    <x v="1"/>
    <n v="48"/>
    <n v="6"/>
    <n v="217182.14"/>
    <n v="2"/>
    <n v="0"/>
    <n v="1"/>
    <n v="110877.22"/>
    <x v="0"/>
  </r>
  <r>
    <n v="453"/>
    <s v="Davis"/>
    <n v="424"/>
    <x v="1"/>
    <x v="1"/>
    <n v="31"/>
    <n v="9"/>
    <n v="236352.17"/>
    <n v="4"/>
    <n v="0"/>
    <n v="0"/>
    <n v="111036.69"/>
    <x v="0"/>
  </r>
  <r>
    <n v="227"/>
    <s v="Moore"/>
    <n v="567"/>
    <x v="0"/>
    <x v="0"/>
    <n v="40"/>
    <n v="5"/>
    <n v="49223"/>
    <n v="2"/>
    <n v="0"/>
    <n v="1"/>
    <n v="111037.23"/>
    <x v="1"/>
  </r>
  <r>
    <n v="60"/>
    <s v="Taylor"/>
    <n v="672"/>
    <x v="2"/>
    <x v="0"/>
    <n v="30"/>
    <n v="7"/>
    <n v="119338.08"/>
    <n v="2"/>
    <n v="0"/>
    <n v="1"/>
    <n v="111048.16"/>
    <x v="0"/>
  </r>
  <r>
    <n v="119"/>
    <s v="Johnson"/>
    <n v="536"/>
    <x v="0"/>
    <x v="1"/>
    <n v="83"/>
    <n v="6"/>
    <n v="241431.37"/>
    <n v="4"/>
    <n v="1"/>
    <n v="1"/>
    <n v="111107.96"/>
    <x v="1"/>
  </r>
  <r>
    <n v="434"/>
    <s v="Johnson"/>
    <n v="702"/>
    <x v="1"/>
    <x v="0"/>
    <n v="45"/>
    <n v="4"/>
    <n v="143858.20000000001"/>
    <n v="3"/>
    <n v="0"/>
    <n v="1"/>
    <n v="111156.24"/>
    <x v="0"/>
  </r>
  <r>
    <n v="285"/>
    <s v="Jones"/>
    <n v="772"/>
    <x v="0"/>
    <x v="0"/>
    <n v="50"/>
    <n v="1"/>
    <n v="135560.49"/>
    <n v="1"/>
    <n v="0"/>
    <n v="0"/>
    <n v="111365.93"/>
    <x v="0"/>
  </r>
  <r>
    <n v="317"/>
    <s v="Brown"/>
    <n v="586"/>
    <x v="2"/>
    <x v="1"/>
    <n v="64"/>
    <n v="9"/>
    <n v="31288.48"/>
    <n v="2"/>
    <n v="0"/>
    <n v="0"/>
    <n v="111373.48"/>
    <x v="1"/>
  </r>
  <r>
    <n v="97"/>
    <s v="Johnson"/>
    <n v="424"/>
    <x v="2"/>
    <x v="1"/>
    <n v="87"/>
    <n v="10"/>
    <n v="177818.74"/>
    <n v="2"/>
    <n v="0"/>
    <n v="1"/>
    <n v="111587.44"/>
    <x v="0"/>
  </r>
  <r>
    <n v="456"/>
    <s v="Moore"/>
    <n v="564"/>
    <x v="2"/>
    <x v="1"/>
    <n v="90"/>
    <n v="5"/>
    <n v="223177.88"/>
    <n v="3"/>
    <n v="1"/>
    <n v="1"/>
    <n v="111640.94"/>
    <x v="1"/>
  </r>
  <r>
    <n v="382"/>
    <s v="Taylor"/>
    <n v="790"/>
    <x v="0"/>
    <x v="0"/>
    <n v="71"/>
    <n v="4"/>
    <n v="7503.74"/>
    <n v="3"/>
    <n v="1"/>
    <n v="1"/>
    <n v="111705.43"/>
    <x v="0"/>
  </r>
  <r>
    <n v="296"/>
    <s v="Brown"/>
    <n v="359"/>
    <x v="0"/>
    <x v="1"/>
    <n v="47"/>
    <n v="6"/>
    <n v="71875.839999999997"/>
    <n v="1"/>
    <n v="0"/>
    <n v="1"/>
    <n v="112038.87"/>
    <x v="1"/>
  </r>
  <r>
    <n v="351"/>
    <s v="Jones"/>
    <n v="477"/>
    <x v="2"/>
    <x v="0"/>
    <n v="80"/>
    <n v="7"/>
    <n v="69980.850000000006"/>
    <n v="4"/>
    <n v="1"/>
    <n v="0"/>
    <n v="112678.04"/>
    <x v="1"/>
  </r>
  <r>
    <n v="377"/>
    <s v="Wilson"/>
    <n v="466"/>
    <x v="0"/>
    <x v="1"/>
    <n v="90"/>
    <n v="8"/>
    <n v="3890.93"/>
    <n v="2"/>
    <n v="0"/>
    <n v="1"/>
    <n v="112863.73"/>
    <x v="0"/>
  </r>
  <r>
    <n v="160"/>
    <s v="Smith"/>
    <n v="713"/>
    <x v="2"/>
    <x v="1"/>
    <n v="48"/>
    <n v="8"/>
    <n v="16907.88"/>
    <n v="3"/>
    <n v="0"/>
    <n v="0"/>
    <n v="113646.28"/>
    <x v="0"/>
  </r>
  <r>
    <n v="175"/>
    <s v="Taylor"/>
    <n v="466"/>
    <x v="2"/>
    <x v="1"/>
    <n v="55"/>
    <n v="7"/>
    <n v="109273.56"/>
    <n v="3"/>
    <n v="1"/>
    <n v="0"/>
    <n v="114104.65"/>
    <x v="0"/>
  </r>
  <r>
    <n v="231"/>
    <s v="Davis"/>
    <n v="626"/>
    <x v="2"/>
    <x v="0"/>
    <n v="27"/>
    <n v="9"/>
    <n v="13467.28"/>
    <n v="1"/>
    <n v="0"/>
    <n v="0"/>
    <n v="114472.4"/>
    <x v="0"/>
  </r>
  <r>
    <n v="137"/>
    <s v="Moore"/>
    <n v="812"/>
    <x v="0"/>
    <x v="0"/>
    <n v="81"/>
    <n v="8"/>
    <n v="153059.5"/>
    <n v="4"/>
    <n v="0"/>
    <n v="1"/>
    <n v="114484.04"/>
    <x v="0"/>
  </r>
  <r>
    <n v="177"/>
    <s v="Moore"/>
    <n v="398"/>
    <x v="1"/>
    <x v="1"/>
    <n v="63"/>
    <n v="2"/>
    <n v="146639.1"/>
    <n v="1"/>
    <n v="1"/>
    <n v="0"/>
    <n v="114757.22"/>
    <x v="0"/>
  </r>
  <r>
    <n v="202"/>
    <s v="Wilson"/>
    <n v="800"/>
    <x v="2"/>
    <x v="0"/>
    <n v="29"/>
    <n v="0"/>
    <n v="88974.52"/>
    <n v="4"/>
    <n v="1"/>
    <n v="1"/>
    <n v="115636.53"/>
    <x v="1"/>
  </r>
  <r>
    <n v="243"/>
    <s v="Smith"/>
    <n v="496"/>
    <x v="2"/>
    <x v="0"/>
    <n v="36"/>
    <n v="3"/>
    <n v="183880.09"/>
    <n v="3"/>
    <n v="1"/>
    <n v="1"/>
    <n v="116196.88"/>
    <x v="1"/>
  </r>
  <r>
    <n v="184"/>
    <s v="Moore"/>
    <n v="783"/>
    <x v="0"/>
    <x v="1"/>
    <n v="24"/>
    <n v="1"/>
    <n v="69808.100000000006"/>
    <n v="3"/>
    <n v="1"/>
    <n v="0"/>
    <n v="116721.45"/>
    <x v="1"/>
  </r>
  <r>
    <n v="270"/>
    <s v="Davis"/>
    <n v="575"/>
    <x v="2"/>
    <x v="0"/>
    <n v="76"/>
    <n v="5"/>
    <n v="59505.51"/>
    <n v="4"/>
    <n v="1"/>
    <n v="0"/>
    <n v="116792.39"/>
    <x v="0"/>
  </r>
  <r>
    <n v="421"/>
    <s v="Miller"/>
    <n v="513"/>
    <x v="2"/>
    <x v="0"/>
    <n v="52"/>
    <n v="4"/>
    <n v="64929.13"/>
    <n v="2"/>
    <n v="1"/>
    <n v="1"/>
    <n v="117045.7"/>
    <x v="1"/>
  </r>
  <r>
    <n v="82"/>
    <s v="Brown"/>
    <n v="371"/>
    <x v="2"/>
    <x v="1"/>
    <n v="46"/>
    <n v="8"/>
    <n v="55186.57"/>
    <n v="2"/>
    <n v="1"/>
    <n v="0"/>
    <n v="117137.04"/>
    <x v="1"/>
  </r>
  <r>
    <n v="334"/>
    <s v="Smith"/>
    <n v="702"/>
    <x v="0"/>
    <x v="1"/>
    <n v="47"/>
    <n v="0"/>
    <n v="189373.41"/>
    <n v="4"/>
    <n v="1"/>
    <n v="1"/>
    <n v="117202.4"/>
    <x v="0"/>
  </r>
  <r>
    <n v="358"/>
    <s v="Smith"/>
    <n v="433"/>
    <x v="0"/>
    <x v="1"/>
    <n v="85"/>
    <n v="6"/>
    <n v="92093.09"/>
    <n v="4"/>
    <n v="0"/>
    <n v="1"/>
    <n v="117465.12"/>
    <x v="0"/>
  </r>
  <r>
    <n v="207"/>
    <s v="Jones"/>
    <n v="714"/>
    <x v="2"/>
    <x v="0"/>
    <n v="23"/>
    <n v="5"/>
    <n v="160251.42000000001"/>
    <n v="3"/>
    <n v="1"/>
    <n v="0"/>
    <n v="117590.06"/>
    <x v="0"/>
  </r>
  <r>
    <n v="116"/>
    <s v="Williams"/>
    <n v="556"/>
    <x v="1"/>
    <x v="0"/>
    <n v="65"/>
    <n v="7"/>
    <n v="94298.58"/>
    <n v="1"/>
    <n v="1"/>
    <n v="0"/>
    <n v="117883.52"/>
    <x v="0"/>
  </r>
  <r>
    <n v="50"/>
    <s v="Smith"/>
    <n v="515"/>
    <x v="0"/>
    <x v="0"/>
    <n v="89"/>
    <n v="10"/>
    <n v="87177.02"/>
    <n v="1"/>
    <n v="1"/>
    <n v="1"/>
    <n v="118097.5"/>
    <x v="1"/>
  </r>
  <r>
    <n v="307"/>
    <s v="Jones"/>
    <n v="682"/>
    <x v="0"/>
    <x v="1"/>
    <n v="65"/>
    <n v="1"/>
    <n v="82186.16"/>
    <n v="1"/>
    <n v="1"/>
    <n v="0"/>
    <n v="118581.88"/>
    <x v="1"/>
  </r>
  <r>
    <n v="465"/>
    <s v="Smith"/>
    <n v="529"/>
    <x v="0"/>
    <x v="0"/>
    <n v="71"/>
    <n v="2"/>
    <n v="45202.75"/>
    <n v="4"/>
    <n v="1"/>
    <n v="0"/>
    <n v="118614.97"/>
    <x v="1"/>
  </r>
  <r>
    <n v="344"/>
    <s v="Wilson"/>
    <n v="696"/>
    <x v="1"/>
    <x v="1"/>
    <n v="58"/>
    <n v="5"/>
    <n v="2478.15"/>
    <n v="4"/>
    <n v="1"/>
    <n v="1"/>
    <n v="118783.64"/>
    <x v="0"/>
  </r>
  <r>
    <n v="39"/>
    <s v="Smith"/>
    <n v="534"/>
    <x v="0"/>
    <x v="1"/>
    <n v="75"/>
    <n v="9"/>
    <n v="20385.3"/>
    <n v="1"/>
    <n v="0"/>
    <n v="0"/>
    <n v="118972.35"/>
    <x v="0"/>
  </r>
  <r>
    <n v="239"/>
    <s v="Moore"/>
    <n v="584"/>
    <x v="0"/>
    <x v="1"/>
    <n v="62"/>
    <n v="1"/>
    <n v="96431.53"/>
    <n v="3"/>
    <n v="1"/>
    <n v="1"/>
    <n v="119070.68"/>
    <x v="1"/>
  </r>
  <r>
    <n v="267"/>
    <s v="Jones"/>
    <n v="715"/>
    <x v="1"/>
    <x v="0"/>
    <n v="29"/>
    <n v="4"/>
    <n v="48947.26"/>
    <n v="4"/>
    <n v="1"/>
    <n v="0"/>
    <n v="119204.73"/>
    <x v="0"/>
  </r>
  <r>
    <n v="381"/>
    <s v="Wilson"/>
    <n v="668"/>
    <x v="0"/>
    <x v="1"/>
    <n v="25"/>
    <n v="10"/>
    <n v="65557.83"/>
    <n v="1"/>
    <n v="1"/>
    <n v="1"/>
    <n v="119298.33"/>
    <x v="0"/>
  </r>
  <r>
    <n v="152"/>
    <s v="Jones"/>
    <n v="638"/>
    <x v="0"/>
    <x v="0"/>
    <n v="35"/>
    <n v="3"/>
    <n v="29176.44"/>
    <n v="4"/>
    <n v="1"/>
    <n v="1"/>
    <n v="119718.19"/>
    <x v="1"/>
  </r>
  <r>
    <n v="286"/>
    <s v="Moore"/>
    <n v="681"/>
    <x v="0"/>
    <x v="1"/>
    <n v="68"/>
    <n v="1"/>
    <n v="118693.43"/>
    <n v="1"/>
    <n v="1"/>
    <n v="1"/>
    <n v="119809.36"/>
    <x v="0"/>
  </r>
  <r>
    <n v="164"/>
    <s v="Jones"/>
    <n v="414"/>
    <x v="1"/>
    <x v="1"/>
    <n v="89"/>
    <n v="4"/>
    <n v="133217.37"/>
    <n v="1"/>
    <n v="0"/>
    <n v="1"/>
    <n v="120812.2"/>
    <x v="0"/>
  </r>
  <r>
    <n v="432"/>
    <s v="Davis"/>
    <n v="713"/>
    <x v="2"/>
    <x v="1"/>
    <n v="30"/>
    <n v="0"/>
    <n v="46903.02"/>
    <n v="2"/>
    <n v="1"/>
    <n v="1"/>
    <n v="120900.9"/>
    <x v="1"/>
  </r>
  <r>
    <n v="93"/>
    <s v="Jones"/>
    <n v="739"/>
    <x v="0"/>
    <x v="0"/>
    <n v="71"/>
    <n v="5"/>
    <n v="173851.84"/>
    <n v="2"/>
    <n v="1"/>
    <n v="1"/>
    <n v="121172.65"/>
    <x v="0"/>
  </r>
  <r>
    <n v="85"/>
    <s v="Jones"/>
    <n v="820"/>
    <x v="0"/>
    <x v="1"/>
    <n v="20"/>
    <n v="10"/>
    <n v="20249.55"/>
    <n v="3"/>
    <n v="0"/>
    <n v="0"/>
    <n v="121737.08"/>
    <x v="1"/>
  </r>
  <r>
    <n v="397"/>
    <s v="Brown"/>
    <n v="677"/>
    <x v="1"/>
    <x v="1"/>
    <n v="56"/>
    <n v="7"/>
    <n v="63179.37"/>
    <n v="2"/>
    <n v="0"/>
    <n v="1"/>
    <n v="121798.16"/>
    <x v="1"/>
  </r>
  <r>
    <n v="144"/>
    <s v="Jones"/>
    <n v="477"/>
    <x v="1"/>
    <x v="0"/>
    <n v="83"/>
    <n v="9"/>
    <n v="113849.92"/>
    <n v="1"/>
    <n v="1"/>
    <n v="1"/>
    <n v="122175.46"/>
    <x v="0"/>
  </r>
  <r>
    <n v="205"/>
    <s v="Brown"/>
    <n v="608"/>
    <x v="2"/>
    <x v="1"/>
    <n v="23"/>
    <n v="3"/>
    <n v="88373.18"/>
    <n v="1"/>
    <n v="0"/>
    <n v="0"/>
    <n v="122196.71"/>
    <x v="1"/>
  </r>
  <r>
    <n v="250"/>
    <s v="Johnson"/>
    <n v="488"/>
    <x v="1"/>
    <x v="1"/>
    <n v="29"/>
    <n v="2"/>
    <n v="218420.19"/>
    <n v="1"/>
    <n v="1"/>
    <n v="0"/>
    <n v="122291.38"/>
    <x v="1"/>
  </r>
  <r>
    <n v="424"/>
    <s v="Taylor"/>
    <n v="665"/>
    <x v="2"/>
    <x v="0"/>
    <n v="27"/>
    <n v="9"/>
    <n v="36155.39"/>
    <n v="3"/>
    <n v="0"/>
    <n v="0"/>
    <n v="122338.51"/>
    <x v="0"/>
  </r>
  <r>
    <n v="261"/>
    <s v="Wilson"/>
    <n v="708"/>
    <x v="0"/>
    <x v="1"/>
    <n v="57"/>
    <n v="2"/>
    <n v="85692.93"/>
    <n v="1"/>
    <n v="1"/>
    <n v="1"/>
    <n v="122538.35"/>
    <x v="1"/>
  </r>
  <r>
    <n v="362"/>
    <s v="Moore"/>
    <n v="530"/>
    <x v="1"/>
    <x v="0"/>
    <n v="81"/>
    <n v="10"/>
    <n v="58304.43"/>
    <n v="1"/>
    <n v="0"/>
    <n v="0"/>
    <n v="122633.44"/>
    <x v="1"/>
  </r>
  <r>
    <n v="256"/>
    <s v="Davis"/>
    <n v="804"/>
    <x v="2"/>
    <x v="1"/>
    <n v="68"/>
    <n v="10"/>
    <n v="240635.59"/>
    <n v="1"/>
    <n v="0"/>
    <n v="0"/>
    <n v="122764.08"/>
    <x v="1"/>
  </r>
  <r>
    <n v="480"/>
    <s v="Brown"/>
    <n v="507"/>
    <x v="1"/>
    <x v="0"/>
    <n v="47"/>
    <n v="1"/>
    <n v="167352.03"/>
    <n v="1"/>
    <n v="0"/>
    <n v="1"/>
    <n v="124013.91"/>
    <x v="1"/>
  </r>
  <r>
    <n v="342"/>
    <s v="Moore"/>
    <n v="670"/>
    <x v="1"/>
    <x v="0"/>
    <n v="83"/>
    <n v="2"/>
    <n v="28880.560000000001"/>
    <n v="3"/>
    <n v="1"/>
    <n v="1"/>
    <n v="124392.15"/>
    <x v="1"/>
  </r>
  <r>
    <n v="268"/>
    <s v="Johnson"/>
    <n v="455"/>
    <x v="2"/>
    <x v="1"/>
    <n v="23"/>
    <n v="9"/>
    <n v="63959.82"/>
    <n v="4"/>
    <n v="0"/>
    <n v="1"/>
    <n v="124481.95"/>
    <x v="1"/>
  </r>
  <r>
    <n v="45"/>
    <s v="Wilson"/>
    <n v="640"/>
    <x v="0"/>
    <x v="1"/>
    <n v="44"/>
    <n v="1"/>
    <n v="133364.17000000001"/>
    <n v="4"/>
    <n v="1"/>
    <n v="0"/>
    <n v="124490.71"/>
    <x v="1"/>
  </r>
  <r>
    <n v="217"/>
    <s v="Taylor"/>
    <n v="362"/>
    <x v="0"/>
    <x v="1"/>
    <n v="52"/>
    <n v="0"/>
    <n v="146945.31"/>
    <n v="4"/>
    <n v="1"/>
    <n v="0"/>
    <n v="125091.68"/>
    <x v="1"/>
  </r>
  <r>
    <n v="51"/>
    <s v="Smith"/>
    <n v="521"/>
    <x v="0"/>
    <x v="0"/>
    <n v="79"/>
    <n v="8"/>
    <n v="133180.14000000001"/>
    <n v="3"/>
    <n v="1"/>
    <n v="1"/>
    <n v="125168.23"/>
    <x v="0"/>
  </r>
  <r>
    <n v="490"/>
    <s v="Miller"/>
    <n v="567"/>
    <x v="1"/>
    <x v="0"/>
    <n v="22"/>
    <n v="9"/>
    <n v="67796.41"/>
    <n v="4"/>
    <n v="1"/>
    <n v="1"/>
    <n v="125551.64"/>
    <x v="1"/>
  </r>
  <r>
    <n v="413"/>
    <s v="Johnson"/>
    <n v="821"/>
    <x v="0"/>
    <x v="1"/>
    <n v="86"/>
    <n v="1"/>
    <n v="89639.64"/>
    <n v="3"/>
    <n v="1"/>
    <n v="0"/>
    <n v="125590.02"/>
    <x v="0"/>
  </r>
  <r>
    <n v="101"/>
    <s v="Smith"/>
    <n v="422"/>
    <x v="1"/>
    <x v="1"/>
    <n v="27"/>
    <n v="1"/>
    <n v="103031.97"/>
    <n v="2"/>
    <n v="0"/>
    <n v="0"/>
    <n v="125609.39"/>
    <x v="0"/>
  </r>
  <r>
    <n v="338"/>
    <s v="Taylor"/>
    <n v="412"/>
    <x v="0"/>
    <x v="0"/>
    <n v="50"/>
    <n v="7"/>
    <n v="57433.4"/>
    <n v="3"/>
    <n v="1"/>
    <n v="0"/>
    <n v="125784.2"/>
    <x v="0"/>
  </r>
  <r>
    <n v="11"/>
    <s v="Wilson"/>
    <n v="519"/>
    <x v="1"/>
    <x v="1"/>
    <n v="22"/>
    <n v="10"/>
    <n v="198399.26"/>
    <n v="3"/>
    <n v="1"/>
    <n v="0"/>
    <n v="125839.96"/>
    <x v="0"/>
  </r>
  <r>
    <n v="173"/>
    <s v="Moore"/>
    <n v="426"/>
    <x v="1"/>
    <x v="1"/>
    <n v="25"/>
    <n v="0"/>
    <n v="239377.45"/>
    <n v="4"/>
    <n v="0"/>
    <n v="1"/>
    <n v="126167.25"/>
    <x v="1"/>
  </r>
  <r>
    <n v="325"/>
    <s v="Jones"/>
    <n v="508"/>
    <x v="1"/>
    <x v="0"/>
    <n v="79"/>
    <n v="10"/>
    <n v="248917.55"/>
    <n v="4"/>
    <n v="1"/>
    <n v="0"/>
    <n v="126187.32"/>
    <x v="1"/>
  </r>
  <r>
    <n v="401"/>
    <s v="Moore"/>
    <n v="716"/>
    <x v="0"/>
    <x v="1"/>
    <n v="74"/>
    <n v="10"/>
    <n v="193015.5"/>
    <n v="4"/>
    <n v="0"/>
    <n v="0"/>
    <n v="127051.78"/>
    <x v="1"/>
  </r>
  <r>
    <n v="279"/>
    <s v="Miller"/>
    <n v="607"/>
    <x v="0"/>
    <x v="1"/>
    <n v="45"/>
    <n v="2"/>
    <n v="72836.13"/>
    <n v="3"/>
    <n v="1"/>
    <n v="1"/>
    <n v="127236.12"/>
    <x v="0"/>
  </r>
  <r>
    <n v="328"/>
    <s v="Williams"/>
    <n v="797"/>
    <x v="0"/>
    <x v="1"/>
    <n v="49"/>
    <n v="8"/>
    <n v="230551.53"/>
    <n v="2"/>
    <n v="1"/>
    <n v="1"/>
    <n v="127716.72"/>
    <x v="0"/>
  </r>
  <r>
    <n v="122"/>
    <s v="Johnson"/>
    <n v="547"/>
    <x v="1"/>
    <x v="0"/>
    <n v="24"/>
    <n v="4"/>
    <n v="228358.15"/>
    <n v="2"/>
    <n v="0"/>
    <n v="0"/>
    <n v="127955.4"/>
    <x v="0"/>
  </r>
  <r>
    <n v="148"/>
    <s v="Brown"/>
    <n v="362"/>
    <x v="1"/>
    <x v="0"/>
    <n v="86"/>
    <n v="6"/>
    <n v="77731.5"/>
    <n v="4"/>
    <n v="0"/>
    <n v="1"/>
    <n v="128074.02"/>
    <x v="0"/>
  </r>
  <r>
    <n v="390"/>
    <s v="Johnson"/>
    <n v="429"/>
    <x v="1"/>
    <x v="1"/>
    <n v="41"/>
    <n v="9"/>
    <n v="110666.99"/>
    <n v="1"/>
    <n v="0"/>
    <n v="1"/>
    <n v="128261.18"/>
    <x v="0"/>
  </r>
  <r>
    <n v="71"/>
    <s v="Smith"/>
    <n v="683"/>
    <x v="1"/>
    <x v="1"/>
    <n v="62"/>
    <n v="2"/>
    <n v="88669.440000000002"/>
    <n v="3"/>
    <n v="1"/>
    <n v="0"/>
    <n v="128437.74"/>
    <x v="0"/>
  </r>
  <r>
    <n v="104"/>
    <s v="Smith"/>
    <n v="483"/>
    <x v="2"/>
    <x v="1"/>
    <n v="40"/>
    <n v="9"/>
    <n v="199427.98"/>
    <n v="4"/>
    <n v="1"/>
    <n v="1"/>
    <n v="128540.03"/>
    <x v="0"/>
  </r>
  <r>
    <n v="35"/>
    <s v="Jones"/>
    <n v="488"/>
    <x v="1"/>
    <x v="1"/>
    <n v="91"/>
    <n v="8"/>
    <n v="200786.02"/>
    <n v="1"/>
    <n v="0"/>
    <n v="0"/>
    <n v="128936.13"/>
    <x v="0"/>
  </r>
  <r>
    <n v="28"/>
    <s v="Jones"/>
    <n v="574"/>
    <x v="1"/>
    <x v="0"/>
    <n v="49"/>
    <n v="4"/>
    <n v="47828.14"/>
    <n v="3"/>
    <n v="1"/>
    <n v="0"/>
    <n v="129087.2"/>
    <x v="1"/>
  </r>
  <r>
    <n v="486"/>
    <s v="Williams"/>
    <n v="643"/>
    <x v="2"/>
    <x v="0"/>
    <n v="34"/>
    <n v="3"/>
    <n v="70266.98"/>
    <n v="2"/>
    <n v="0"/>
    <n v="1"/>
    <n v="129097.79"/>
    <x v="0"/>
  </r>
  <r>
    <n v="321"/>
    <s v="Taylor"/>
    <n v="450"/>
    <x v="2"/>
    <x v="0"/>
    <n v="83"/>
    <n v="6"/>
    <n v="188229.59"/>
    <n v="2"/>
    <n v="0"/>
    <n v="0"/>
    <n v="129283.37"/>
    <x v="0"/>
  </r>
  <r>
    <n v="25"/>
    <s v="Brown"/>
    <n v="464"/>
    <x v="0"/>
    <x v="1"/>
    <n v="81"/>
    <n v="0"/>
    <n v="242071.38"/>
    <n v="2"/>
    <n v="0"/>
    <n v="0"/>
    <n v="129312.08"/>
    <x v="1"/>
  </r>
  <r>
    <n v="228"/>
    <s v="Brown"/>
    <n v="656"/>
    <x v="2"/>
    <x v="0"/>
    <n v="65"/>
    <n v="6"/>
    <n v="244926.41"/>
    <n v="3"/>
    <n v="0"/>
    <n v="1"/>
    <n v="129494.46"/>
    <x v="0"/>
  </r>
  <r>
    <n v="312"/>
    <s v="Smith"/>
    <n v="624"/>
    <x v="0"/>
    <x v="0"/>
    <n v="80"/>
    <n v="10"/>
    <n v="81815.67"/>
    <n v="4"/>
    <n v="0"/>
    <n v="0"/>
    <n v="129536.99"/>
    <x v="1"/>
  </r>
  <r>
    <n v="350"/>
    <s v="Moore"/>
    <n v="433"/>
    <x v="2"/>
    <x v="0"/>
    <n v="87"/>
    <n v="0"/>
    <n v="161025.64000000001"/>
    <n v="4"/>
    <n v="1"/>
    <n v="1"/>
    <n v="129607.96"/>
    <x v="1"/>
  </r>
  <r>
    <n v="23"/>
    <s v="Moore"/>
    <n v="524"/>
    <x v="0"/>
    <x v="0"/>
    <n v="56"/>
    <n v="7"/>
    <n v="34050.82"/>
    <n v="4"/>
    <n v="0"/>
    <n v="1"/>
    <n v="130037.45"/>
    <x v="0"/>
  </r>
  <r>
    <n v="58"/>
    <s v="Johnson"/>
    <n v="465"/>
    <x v="2"/>
    <x v="0"/>
    <n v="18"/>
    <n v="0"/>
    <n v="55329.78"/>
    <n v="1"/>
    <n v="0"/>
    <n v="0"/>
    <n v="130050.9"/>
    <x v="0"/>
  </r>
  <r>
    <n v="289"/>
    <s v="Smith"/>
    <n v="732"/>
    <x v="1"/>
    <x v="1"/>
    <n v="48"/>
    <n v="7"/>
    <n v="218144.92"/>
    <n v="4"/>
    <n v="1"/>
    <n v="1"/>
    <n v="130492.75"/>
    <x v="0"/>
  </r>
  <r>
    <n v="366"/>
    <s v="Wilson"/>
    <n v="565"/>
    <x v="2"/>
    <x v="0"/>
    <n v="63"/>
    <n v="7"/>
    <n v="244367.77"/>
    <n v="4"/>
    <n v="1"/>
    <n v="1"/>
    <n v="130825.14"/>
    <x v="1"/>
  </r>
  <r>
    <n v="191"/>
    <s v="Davis"/>
    <n v="671"/>
    <x v="2"/>
    <x v="0"/>
    <n v="21"/>
    <n v="1"/>
    <n v="87143.41"/>
    <n v="2"/>
    <n v="0"/>
    <n v="0"/>
    <n v="130888.76"/>
    <x v="0"/>
  </r>
  <r>
    <n v="422"/>
    <s v="Jones"/>
    <n v="421"/>
    <x v="1"/>
    <x v="1"/>
    <n v="76"/>
    <n v="4"/>
    <n v="24418.55"/>
    <n v="3"/>
    <n v="0"/>
    <n v="1"/>
    <n v="131045.9"/>
    <x v="1"/>
  </r>
  <r>
    <n v="494"/>
    <s v="Miller"/>
    <n v="813"/>
    <x v="2"/>
    <x v="0"/>
    <n v="55"/>
    <n v="10"/>
    <n v="201976.42"/>
    <n v="3"/>
    <n v="0"/>
    <n v="1"/>
    <n v="131084.15"/>
    <x v="1"/>
  </r>
  <r>
    <n v="463"/>
    <s v="Smith"/>
    <n v="538"/>
    <x v="0"/>
    <x v="0"/>
    <n v="73"/>
    <n v="5"/>
    <n v="4387.1899999999996"/>
    <n v="2"/>
    <n v="1"/>
    <n v="0"/>
    <n v="131348.78"/>
    <x v="0"/>
  </r>
  <r>
    <n v="457"/>
    <s v="Jones"/>
    <n v="666"/>
    <x v="1"/>
    <x v="0"/>
    <n v="24"/>
    <n v="2"/>
    <n v="75143.55"/>
    <n v="1"/>
    <n v="1"/>
    <n v="0"/>
    <n v="132228.18"/>
    <x v="1"/>
  </r>
  <r>
    <n v="283"/>
    <s v="Brown"/>
    <n v="612"/>
    <x v="0"/>
    <x v="0"/>
    <n v="56"/>
    <n v="9"/>
    <n v="235159.65"/>
    <n v="3"/>
    <n v="0"/>
    <n v="1"/>
    <n v="132280.03"/>
    <x v="0"/>
  </r>
  <r>
    <n v="83"/>
    <s v="Moore"/>
    <n v="779"/>
    <x v="2"/>
    <x v="0"/>
    <n v="82"/>
    <n v="9"/>
    <n v="241939.64"/>
    <n v="4"/>
    <n v="1"/>
    <n v="1"/>
    <n v="132532.96"/>
    <x v="0"/>
  </r>
  <r>
    <n v="361"/>
    <s v="Wilson"/>
    <n v="485"/>
    <x v="0"/>
    <x v="1"/>
    <n v="44"/>
    <n v="8"/>
    <n v="45468.26"/>
    <n v="2"/>
    <n v="1"/>
    <n v="1"/>
    <n v="132665.07999999999"/>
    <x v="1"/>
  </r>
  <r>
    <n v="89"/>
    <s v="Smith"/>
    <n v="469"/>
    <x v="1"/>
    <x v="0"/>
    <n v="68"/>
    <n v="9"/>
    <n v="19196.560000000001"/>
    <n v="3"/>
    <n v="1"/>
    <n v="0"/>
    <n v="133731.54999999999"/>
    <x v="0"/>
  </r>
  <r>
    <n v="47"/>
    <s v="Williams"/>
    <n v="353"/>
    <x v="2"/>
    <x v="1"/>
    <n v="50"/>
    <n v="4"/>
    <n v="35813.31"/>
    <n v="4"/>
    <n v="0"/>
    <n v="0"/>
    <n v="133876.07999999999"/>
    <x v="1"/>
  </r>
  <r>
    <n v="388"/>
    <s v="Moore"/>
    <n v="842"/>
    <x v="0"/>
    <x v="1"/>
    <n v="79"/>
    <n v="8"/>
    <n v="99607.93"/>
    <n v="1"/>
    <n v="1"/>
    <n v="1"/>
    <n v="134066.89000000001"/>
    <x v="1"/>
  </r>
  <r>
    <n v="218"/>
    <s v="Wilson"/>
    <n v="454"/>
    <x v="1"/>
    <x v="0"/>
    <n v="77"/>
    <n v="1"/>
    <n v="183306.47"/>
    <n v="1"/>
    <n v="1"/>
    <n v="1"/>
    <n v="134198.82999999999"/>
    <x v="0"/>
  </r>
  <r>
    <n v="380"/>
    <s v="Miller"/>
    <n v="662"/>
    <x v="2"/>
    <x v="0"/>
    <n v="24"/>
    <n v="3"/>
    <n v="148964.49"/>
    <n v="1"/>
    <n v="1"/>
    <n v="0"/>
    <n v="134929.35"/>
    <x v="0"/>
  </r>
  <r>
    <n v="373"/>
    <s v="Wilson"/>
    <n v="494"/>
    <x v="0"/>
    <x v="1"/>
    <n v="35"/>
    <n v="5"/>
    <n v="60811.89"/>
    <n v="1"/>
    <n v="1"/>
    <n v="0"/>
    <n v="135514.51"/>
    <x v="1"/>
  </r>
  <r>
    <n v="420"/>
    <s v="Davis"/>
    <n v="687"/>
    <x v="1"/>
    <x v="1"/>
    <n v="69"/>
    <n v="3"/>
    <n v="136486.32999999999"/>
    <n v="4"/>
    <n v="0"/>
    <n v="0"/>
    <n v="135558.76"/>
    <x v="1"/>
  </r>
  <r>
    <n v="192"/>
    <s v="Wilson"/>
    <n v="725"/>
    <x v="1"/>
    <x v="1"/>
    <n v="39"/>
    <n v="5"/>
    <n v="96291.25"/>
    <n v="1"/>
    <n v="0"/>
    <n v="0"/>
    <n v="135564.73000000001"/>
    <x v="1"/>
  </r>
  <r>
    <n v="308"/>
    <s v="Jones"/>
    <n v="397"/>
    <x v="0"/>
    <x v="1"/>
    <n v="66"/>
    <n v="3"/>
    <n v="232462.02"/>
    <n v="4"/>
    <n v="1"/>
    <n v="1"/>
    <n v="135716.10999999999"/>
    <x v="0"/>
  </r>
  <r>
    <n v="7"/>
    <s v="Jones"/>
    <n v="432"/>
    <x v="2"/>
    <x v="1"/>
    <n v="81"/>
    <n v="10"/>
    <n v="136164.96"/>
    <n v="4"/>
    <n v="0"/>
    <n v="0"/>
    <n v="135962.88"/>
    <x v="1"/>
  </r>
  <r>
    <n v="115"/>
    <s v="Jones"/>
    <n v="475"/>
    <x v="0"/>
    <x v="1"/>
    <n v="78"/>
    <n v="5"/>
    <n v="5741.56"/>
    <n v="3"/>
    <n v="0"/>
    <n v="1"/>
    <n v="136090.56"/>
    <x v="1"/>
  </r>
  <r>
    <n v="447"/>
    <s v="Smith"/>
    <n v="380"/>
    <x v="1"/>
    <x v="1"/>
    <n v="62"/>
    <n v="7"/>
    <n v="114966.17"/>
    <n v="3"/>
    <n v="0"/>
    <n v="1"/>
    <n v="136504.93"/>
    <x v="0"/>
  </r>
  <r>
    <n v="493"/>
    <s v="Jones"/>
    <n v="566"/>
    <x v="1"/>
    <x v="1"/>
    <n v="67"/>
    <n v="8"/>
    <n v="107431.37"/>
    <n v="2"/>
    <n v="1"/>
    <n v="0"/>
    <n v="136772.28"/>
    <x v="1"/>
  </r>
  <r>
    <n v="27"/>
    <s v="Smith"/>
    <n v="618"/>
    <x v="2"/>
    <x v="0"/>
    <n v="22"/>
    <n v="4"/>
    <n v="39874.14"/>
    <n v="3"/>
    <n v="1"/>
    <n v="1"/>
    <n v="137124.10999999999"/>
    <x v="0"/>
  </r>
  <r>
    <n v="305"/>
    <s v="Brown"/>
    <n v="429"/>
    <x v="1"/>
    <x v="0"/>
    <n v="53"/>
    <n v="9"/>
    <n v="187975.23"/>
    <n v="1"/>
    <n v="1"/>
    <n v="0"/>
    <n v="137236.54"/>
    <x v="0"/>
  </r>
  <r>
    <n v="72"/>
    <s v="Jones"/>
    <n v="755"/>
    <x v="2"/>
    <x v="0"/>
    <n v="88"/>
    <n v="1"/>
    <n v="185926.28"/>
    <n v="1"/>
    <n v="1"/>
    <n v="0"/>
    <n v="138274.03"/>
    <x v="0"/>
  </r>
  <r>
    <n v="179"/>
    <s v="Miller"/>
    <n v="816"/>
    <x v="2"/>
    <x v="1"/>
    <n v="51"/>
    <n v="9"/>
    <n v="55692.78"/>
    <n v="2"/>
    <n v="0"/>
    <n v="0"/>
    <n v="138662.49"/>
    <x v="0"/>
  </r>
  <r>
    <n v="368"/>
    <s v="Taylor"/>
    <n v="680"/>
    <x v="2"/>
    <x v="1"/>
    <n v="74"/>
    <n v="10"/>
    <n v="3229.42"/>
    <n v="2"/>
    <n v="0"/>
    <n v="0"/>
    <n v="139041.32999999999"/>
    <x v="0"/>
  </r>
  <r>
    <n v="196"/>
    <s v="Miller"/>
    <n v="848"/>
    <x v="0"/>
    <x v="1"/>
    <n v="44"/>
    <n v="3"/>
    <n v="249802"/>
    <n v="1"/>
    <n v="1"/>
    <n v="0"/>
    <n v="139671.38"/>
    <x v="0"/>
  </r>
  <r>
    <n v="249"/>
    <s v="Johnson"/>
    <n v="350"/>
    <x v="0"/>
    <x v="1"/>
    <n v="76"/>
    <n v="3"/>
    <n v="47176.34"/>
    <n v="4"/>
    <n v="1"/>
    <n v="1"/>
    <n v="139671.97"/>
    <x v="1"/>
  </r>
  <r>
    <n v="168"/>
    <s v="Brown"/>
    <n v="496"/>
    <x v="2"/>
    <x v="1"/>
    <n v="63"/>
    <n v="6"/>
    <n v="145172.32"/>
    <n v="3"/>
    <n v="0"/>
    <n v="0"/>
    <n v="139690.22"/>
    <x v="0"/>
  </r>
  <r>
    <n v="275"/>
    <s v="Taylor"/>
    <n v="501"/>
    <x v="1"/>
    <x v="0"/>
    <n v="61"/>
    <n v="2"/>
    <n v="213218.12"/>
    <n v="1"/>
    <n v="1"/>
    <n v="0"/>
    <n v="140183.29"/>
    <x v="1"/>
  </r>
  <r>
    <n v="459"/>
    <s v="Taylor"/>
    <n v="600"/>
    <x v="0"/>
    <x v="0"/>
    <n v="21"/>
    <n v="4"/>
    <n v="30283.43"/>
    <n v="1"/>
    <n v="0"/>
    <n v="0"/>
    <n v="140478.74"/>
    <x v="0"/>
  </r>
  <r>
    <n v="300"/>
    <s v="Taylor"/>
    <n v="466"/>
    <x v="0"/>
    <x v="1"/>
    <n v="91"/>
    <n v="5"/>
    <n v="58953.35"/>
    <n v="4"/>
    <n v="1"/>
    <n v="0"/>
    <n v="140486.14000000001"/>
    <x v="0"/>
  </r>
  <r>
    <n v="183"/>
    <s v="Moore"/>
    <n v="696"/>
    <x v="1"/>
    <x v="1"/>
    <n v="42"/>
    <n v="2"/>
    <n v="27700.99"/>
    <n v="2"/>
    <n v="0"/>
    <n v="0"/>
    <n v="140547.93"/>
    <x v="1"/>
  </r>
  <r>
    <n v="59"/>
    <s v="Brown"/>
    <n v="740"/>
    <x v="0"/>
    <x v="0"/>
    <n v="76"/>
    <n v="6"/>
    <n v="46184.63"/>
    <n v="4"/>
    <n v="0"/>
    <n v="1"/>
    <n v="140603.54"/>
    <x v="1"/>
  </r>
  <r>
    <n v="151"/>
    <s v="Brown"/>
    <n v="724"/>
    <x v="1"/>
    <x v="1"/>
    <n v="42"/>
    <n v="2"/>
    <n v="97001.53"/>
    <n v="3"/>
    <n v="0"/>
    <n v="0"/>
    <n v="140671.21"/>
    <x v="1"/>
  </r>
  <r>
    <n v="348"/>
    <s v="Moore"/>
    <n v="739"/>
    <x v="0"/>
    <x v="1"/>
    <n v="53"/>
    <n v="1"/>
    <n v="221804.74"/>
    <n v="2"/>
    <n v="0"/>
    <n v="1"/>
    <n v="140925.68"/>
    <x v="1"/>
  </r>
  <r>
    <n v="187"/>
    <s v="Jones"/>
    <n v="353"/>
    <x v="0"/>
    <x v="0"/>
    <n v="77"/>
    <n v="7"/>
    <n v="110096.43"/>
    <n v="4"/>
    <n v="1"/>
    <n v="0"/>
    <n v="141135.62"/>
    <x v="0"/>
  </r>
  <r>
    <n v="282"/>
    <s v="Moore"/>
    <n v="731"/>
    <x v="1"/>
    <x v="1"/>
    <n v="90"/>
    <n v="8"/>
    <n v="183281.65"/>
    <n v="1"/>
    <n v="1"/>
    <n v="1"/>
    <n v="141248.29"/>
    <x v="0"/>
  </r>
  <r>
    <n v="124"/>
    <s v="Miller"/>
    <n v="700"/>
    <x v="1"/>
    <x v="0"/>
    <n v="49"/>
    <n v="0"/>
    <n v="64161.88"/>
    <n v="1"/>
    <n v="1"/>
    <n v="1"/>
    <n v="141665.95000000001"/>
    <x v="0"/>
  </r>
  <r>
    <n v="297"/>
    <s v="Wilson"/>
    <n v="465"/>
    <x v="1"/>
    <x v="0"/>
    <n v="81"/>
    <n v="8"/>
    <n v="124862.63"/>
    <n v="4"/>
    <n v="1"/>
    <n v="1"/>
    <n v="141751.96"/>
    <x v="1"/>
  </r>
  <r>
    <n v="223"/>
    <s v="Williams"/>
    <n v="728"/>
    <x v="1"/>
    <x v="1"/>
    <n v="19"/>
    <n v="4"/>
    <n v="16689.2"/>
    <n v="3"/>
    <n v="1"/>
    <n v="1"/>
    <n v="141842.12"/>
    <x v="0"/>
  </r>
  <r>
    <n v="9"/>
    <s v="Williams"/>
    <n v="570"/>
    <x v="2"/>
    <x v="1"/>
    <n v="31"/>
    <n v="1"/>
    <n v="182609.21"/>
    <n v="2"/>
    <n v="0"/>
    <n v="1"/>
    <n v="141848.51"/>
    <x v="0"/>
  </r>
  <r>
    <n v="455"/>
    <s v="Smith"/>
    <n v="801"/>
    <x v="0"/>
    <x v="1"/>
    <n v="59"/>
    <n v="8"/>
    <n v="88835.65"/>
    <n v="2"/>
    <n v="1"/>
    <n v="0"/>
    <n v="141964.46"/>
    <x v="1"/>
  </r>
  <r>
    <n v="478"/>
    <s v="Taylor"/>
    <n v="705"/>
    <x v="1"/>
    <x v="0"/>
    <n v="78"/>
    <n v="2"/>
    <n v="217177.04"/>
    <n v="3"/>
    <n v="0"/>
    <n v="0"/>
    <n v="142428.82999999999"/>
    <x v="0"/>
  </r>
  <r>
    <n v="141"/>
    <s v="Smith"/>
    <n v="585"/>
    <x v="1"/>
    <x v="1"/>
    <n v="41"/>
    <n v="8"/>
    <n v="157571.35999999999"/>
    <n v="2"/>
    <n v="0"/>
    <n v="0"/>
    <n v="142792.82999999999"/>
    <x v="0"/>
  </r>
  <r>
    <n v="84"/>
    <s v="Brown"/>
    <n v="579"/>
    <x v="0"/>
    <x v="0"/>
    <n v="31"/>
    <n v="9"/>
    <n v="34457.83"/>
    <n v="3"/>
    <n v="1"/>
    <n v="1"/>
    <n v="142833.29999999999"/>
    <x v="0"/>
  </r>
  <r>
    <n v="10"/>
    <s v="Brown"/>
    <n v="671"/>
    <x v="1"/>
    <x v="1"/>
    <n v="56"/>
    <n v="7"/>
    <n v="56345.73"/>
    <n v="2"/>
    <n v="0"/>
    <n v="0"/>
    <n v="143065.1"/>
    <x v="0"/>
  </r>
  <r>
    <n v="14"/>
    <s v="Moore"/>
    <n v="698"/>
    <x v="2"/>
    <x v="0"/>
    <n v="34"/>
    <n v="3"/>
    <n v="128968.35"/>
    <n v="1"/>
    <n v="0"/>
    <n v="0"/>
    <n v="143532.82"/>
    <x v="0"/>
  </r>
  <r>
    <n v="185"/>
    <s v="Jones"/>
    <n v="844"/>
    <x v="1"/>
    <x v="1"/>
    <n v="78"/>
    <n v="10"/>
    <n v="138185.18"/>
    <n v="1"/>
    <n v="0"/>
    <n v="0"/>
    <n v="143728.42000000001"/>
    <x v="1"/>
  </r>
  <r>
    <n v="233"/>
    <s v="Smith"/>
    <n v="506"/>
    <x v="0"/>
    <x v="1"/>
    <n v="72"/>
    <n v="5"/>
    <n v="120906.58"/>
    <n v="2"/>
    <n v="1"/>
    <n v="0"/>
    <n v="143845.99"/>
    <x v="0"/>
  </r>
  <r>
    <n v="487"/>
    <s v="Jones"/>
    <n v="717"/>
    <x v="0"/>
    <x v="1"/>
    <n v="55"/>
    <n v="3"/>
    <n v="117513.1"/>
    <n v="1"/>
    <n v="0"/>
    <n v="0"/>
    <n v="143986.04"/>
    <x v="0"/>
  </r>
  <r>
    <n v="475"/>
    <s v="Jones"/>
    <n v="732"/>
    <x v="0"/>
    <x v="0"/>
    <n v="55"/>
    <n v="10"/>
    <n v="31845.15"/>
    <n v="2"/>
    <n v="1"/>
    <n v="1"/>
    <n v="144035.23000000001"/>
    <x v="0"/>
  </r>
  <r>
    <n v="172"/>
    <s v="Wilson"/>
    <n v="398"/>
    <x v="1"/>
    <x v="1"/>
    <n v="78"/>
    <n v="0"/>
    <n v="124423.84"/>
    <n v="4"/>
    <n v="1"/>
    <n v="1"/>
    <n v="144202.79"/>
    <x v="0"/>
  </r>
  <r>
    <n v="19"/>
    <s v="Moore"/>
    <n v="450"/>
    <x v="2"/>
    <x v="1"/>
    <n v="78"/>
    <n v="1"/>
    <n v="224549.07"/>
    <n v="4"/>
    <n v="0"/>
    <n v="1"/>
    <n v="144262.57"/>
    <x v="0"/>
  </r>
  <r>
    <n v="107"/>
    <s v="Taylor"/>
    <n v="520"/>
    <x v="1"/>
    <x v="0"/>
    <n v="79"/>
    <n v="9"/>
    <n v="165628.62"/>
    <n v="2"/>
    <n v="0"/>
    <n v="0"/>
    <n v="144375.79999999999"/>
    <x v="0"/>
  </r>
  <r>
    <n v="181"/>
    <s v="Johnson"/>
    <n v="399"/>
    <x v="2"/>
    <x v="0"/>
    <n v="91"/>
    <n v="8"/>
    <n v="230097.2"/>
    <n v="4"/>
    <n v="0"/>
    <n v="0"/>
    <n v="144755.60999999999"/>
    <x v="1"/>
  </r>
  <r>
    <n v="343"/>
    <s v="Moore"/>
    <n v="763"/>
    <x v="2"/>
    <x v="0"/>
    <n v="88"/>
    <n v="9"/>
    <n v="126389.5"/>
    <n v="1"/>
    <n v="1"/>
    <n v="0"/>
    <n v="145049.72"/>
    <x v="0"/>
  </r>
  <r>
    <n v="87"/>
    <s v="Davis"/>
    <n v="503"/>
    <x v="0"/>
    <x v="1"/>
    <n v="89"/>
    <n v="2"/>
    <n v="161781.32999999999"/>
    <n v="2"/>
    <n v="0"/>
    <n v="0"/>
    <n v="145603.81"/>
    <x v="0"/>
  </r>
  <r>
    <n v="213"/>
    <s v="Wilson"/>
    <n v="440"/>
    <x v="2"/>
    <x v="0"/>
    <n v="79"/>
    <n v="10"/>
    <n v="201052.55"/>
    <n v="2"/>
    <n v="0"/>
    <n v="0"/>
    <n v="145868.74"/>
    <x v="1"/>
  </r>
  <r>
    <n v="292"/>
    <s v="Wilson"/>
    <n v="657"/>
    <x v="0"/>
    <x v="1"/>
    <n v="86"/>
    <n v="5"/>
    <n v="44447.47"/>
    <n v="2"/>
    <n v="0"/>
    <n v="0"/>
    <n v="145899.54"/>
    <x v="1"/>
  </r>
  <r>
    <n v="355"/>
    <s v="Brown"/>
    <n v="810"/>
    <x v="2"/>
    <x v="0"/>
    <n v="19"/>
    <n v="2"/>
    <n v="136582.23000000001"/>
    <n v="2"/>
    <n v="1"/>
    <n v="0"/>
    <n v="146255.76999999999"/>
    <x v="0"/>
  </r>
  <r>
    <n v="477"/>
    <s v="Brown"/>
    <n v="622"/>
    <x v="2"/>
    <x v="0"/>
    <n v="22"/>
    <n v="0"/>
    <n v="34494.730000000003"/>
    <n v="1"/>
    <n v="1"/>
    <n v="1"/>
    <n v="146557.31"/>
    <x v="1"/>
  </r>
  <r>
    <n v="211"/>
    <s v="Taylor"/>
    <n v="723"/>
    <x v="2"/>
    <x v="1"/>
    <n v="62"/>
    <n v="6"/>
    <n v="73255.710000000006"/>
    <n v="1"/>
    <n v="1"/>
    <n v="0"/>
    <n v="146668.19"/>
    <x v="1"/>
  </r>
  <r>
    <n v="4"/>
    <s v="Jones"/>
    <n v="516"/>
    <x v="2"/>
    <x v="1"/>
    <n v="59"/>
    <n v="0"/>
    <n v="23572.03"/>
    <n v="1"/>
    <n v="1"/>
    <n v="0"/>
    <n v="146739.54999999999"/>
    <x v="1"/>
  </r>
  <r>
    <n v="96"/>
    <s v="Smith"/>
    <n v="696"/>
    <x v="0"/>
    <x v="0"/>
    <n v="64"/>
    <n v="3"/>
    <n v="141361.44"/>
    <n v="2"/>
    <n v="1"/>
    <n v="1"/>
    <n v="147488.24"/>
    <x v="0"/>
  </r>
  <r>
    <n v="417"/>
    <s v="Moore"/>
    <n v="440"/>
    <x v="1"/>
    <x v="0"/>
    <n v="29"/>
    <n v="2"/>
    <n v="38378.400000000001"/>
    <n v="2"/>
    <n v="0"/>
    <n v="0"/>
    <n v="148498.85"/>
    <x v="0"/>
  </r>
  <r>
    <n v="460"/>
    <s v="Jones"/>
    <n v="443"/>
    <x v="0"/>
    <x v="1"/>
    <n v="34"/>
    <n v="1"/>
    <n v="234557.34"/>
    <n v="2"/>
    <n v="0"/>
    <n v="1"/>
    <n v="148617.01"/>
    <x v="0"/>
  </r>
  <r>
    <n v="320"/>
    <s v="Jones"/>
    <n v="356"/>
    <x v="2"/>
    <x v="1"/>
    <n v="26"/>
    <n v="10"/>
    <n v="114332.53"/>
    <n v="3"/>
    <n v="0"/>
    <n v="0"/>
    <n v="148688.76999999999"/>
    <x v="0"/>
  </r>
  <r>
    <n v="446"/>
    <s v="Jones"/>
    <n v="500"/>
    <x v="2"/>
    <x v="0"/>
    <n v="54"/>
    <n v="0"/>
    <n v="43219.63"/>
    <n v="1"/>
    <n v="0"/>
    <n v="1"/>
    <n v="148736.87"/>
    <x v="0"/>
  </r>
  <r>
    <n v="498"/>
    <s v="Wilson"/>
    <n v="814"/>
    <x v="0"/>
    <x v="1"/>
    <n v="34"/>
    <n v="9"/>
    <n v="161580.20000000001"/>
    <n v="3"/>
    <n v="0"/>
    <n v="0"/>
    <n v="148752.49"/>
    <x v="1"/>
  </r>
  <r>
    <n v="204"/>
    <s v="Jones"/>
    <n v="615"/>
    <x v="1"/>
    <x v="1"/>
    <n v="72"/>
    <n v="6"/>
    <n v="199237.9"/>
    <n v="2"/>
    <n v="0"/>
    <n v="0"/>
    <n v="149768.04999999999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n v="341"/>
    <s v="Wilson"/>
    <n v="443"/>
    <s v="Germany"/>
    <s v="Male"/>
    <n v="91"/>
    <n v="8"/>
    <n v="245454.02"/>
    <x v="0"/>
    <x v="0"/>
    <x v="0"/>
    <n v="49422.5"/>
    <x v="0"/>
    <n v="1.6265261599916101"/>
    <n v="-0.80145844239072284"/>
    <x v="0"/>
  </r>
  <r>
    <n v="306"/>
    <s v="Miller"/>
    <n v="412"/>
    <s v="Spain"/>
    <s v="Female"/>
    <n v="91"/>
    <n v="1"/>
    <n v="71844.740000000005"/>
    <x v="1"/>
    <x v="0"/>
    <x v="1"/>
    <n v="105880.01"/>
    <x v="1"/>
    <n v="-0.78563515248547633"/>
    <n v="0.57815654018831453"/>
    <x v="0"/>
  </r>
  <r>
    <n v="35"/>
    <s v="Jones"/>
    <n v="488"/>
    <s v="France"/>
    <s v="Female"/>
    <n v="91"/>
    <n v="8"/>
    <n v="200786.02"/>
    <x v="1"/>
    <x v="0"/>
    <x v="0"/>
    <n v="128936.13"/>
    <x v="0"/>
    <n v="1.0059002262527772"/>
    <n v="1.1415637572643105"/>
    <x v="0"/>
  </r>
  <r>
    <n v="300"/>
    <s v="Taylor"/>
    <n v="466"/>
    <s v="Spain"/>
    <s v="Female"/>
    <n v="91"/>
    <n v="5"/>
    <n v="58953.35"/>
    <x v="0"/>
    <x v="1"/>
    <x v="0"/>
    <n v="140486.14000000001"/>
    <x v="0"/>
    <n v="-0.96475064805146238"/>
    <n v="1.42380374349356"/>
    <x v="0"/>
  </r>
  <r>
    <n v="181"/>
    <s v="Johnson"/>
    <n v="399"/>
    <s v="Germany"/>
    <s v="Male"/>
    <n v="91"/>
    <n v="8"/>
    <n v="230097.2"/>
    <x v="0"/>
    <x v="0"/>
    <x v="0"/>
    <n v="144755.60999999999"/>
    <x v="1"/>
    <n v="1.4131554975093148"/>
    <n v="1.5281339695285319"/>
    <x v="0"/>
  </r>
  <r>
    <n v="22"/>
    <s v="Taylor"/>
    <n v="528"/>
    <s v="Spain"/>
    <s v="Female"/>
    <n v="90"/>
    <n v="10"/>
    <n v="192616.6"/>
    <x v="0"/>
    <x v="1"/>
    <x v="0"/>
    <n v="27413.39"/>
    <x v="1"/>
    <n v="0.8923927059786505"/>
    <n v="-1.3392805657757272"/>
    <x v="0"/>
  </r>
  <r>
    <n v="242"/>
    <s v="Brown"/>
    <n v="502"/>
    <s v="Germany"/>
    <s v="Female"/>
    <n v="90"/>
    <n v="6"/>
    <n v="242675.6"/>
    <x v="0"/>
    <x v="1"/>
    <x v="0"/>
    <n v="38576.97"/>
    <x v="0"/>
    <n v="1.5879222487616773"/>
    <n v="-1.0664835149100462"/>
    <x v="0"/>
  </r>
  <r>
    <n v="240"/>
    <s v="Moore"/>
    <n v="473"/>
    <s v="France"/>
    <s v="Female"/>
    <n v="90"/>
    <n v="6"/>
    <n v="56926.6"/>
    <x v="2"/>
    <x v="0"/>
    <x v="0"/>
    <n v="52021.75"/>
    <x v="0"/>
    <n v="-0.99291070919602176"/>
    <n v="-0.73794228230026604"/>
    <x v="0"/>
  </r>
  <r>
    <n v="448"/>
    <s v="Davis"/>
    <n v="605"/>
    <s v="France"/>
    <s v="Female"/>
    <n v="90"/>
    <n v="6"/>
    <n v="125191.91"/>
    <x v="3"/>
    <x v="0"/>
    <x v="1"/>
    <n v="74035.929999999993"/>
    <x v="0"/>
    <n v="-4.4419132212030928E-2"/>
    <n v="-0.19999626666493631"/>
    <x v="0"/>
  </r>
  <r>
    <n v="313"/>
    <s v="Moore"/>
    <n v="695"/>
    <s v="France"/>
    <s v="Female"/>
    <n v="90"/>
    <n v="0"/>
    <n v="34576.69"/>
    <x v="0"/>
    <x v="0"/>
    <x v="0"/>
    <n v="87838.32"/>
    <x v="0"/>
    <n v="-1.3034447327191003"/>
    <n v="0.13728364595251882"/>
    <x v="0"/>
  </r>
  <r>
    <n v="252"/>
    <s v="Johnson"/>
    <n v="740"/>
    <s v="France"/>
    <s v="Male"/>
    <n v="90"/>
    <n v="1"/>
    <n v="244519.73"/>
    <x v="0"/>
    <x v="0"/>
    <x v="1"/>
    <n v="107875.29"/>
    <x v="1"/>
    <n v="1.6135449518866392"/>
    <n v="0.62691388323161024"/>
    <x v="0"/>
  </r>
  <r>
    <n v="113"/>
    <s v="Williams"/>
    <n v="695"/>
    <s v="Spain"/>
    <s v="Male"/>
    <n v="90"/>
    <n v="7"/>
    <n v="168519.32"/>
    <x v="3"/>
    <x v="1"/>
    <x v="0"/>
    <n v="108422.12"/>
    <x v="1"/>
    <n v="0.55758038170699953"/>
    <n v="0.64027640773762717"/>
    <x v="0"/>
  </r>
  <r>
    <n v="456"/>
    <s v="Moore"/>
    <n v="564"/>
    <s v="Germany"/>
    <s v="Female"/>
    <n v="90"/>
    <n v="5"/>
    <n v="223177.88"/>
    <x v="2"/>
    <x v="1"/>
    <x v="1"/>
    <n v="111640.94"/>
    <x v="1"/>
    <n v="1.3170171112856695"/>
    <n v="0.71893259179932367"/>
    <x v="0"/>
  </r>
  <r>
    <n v="377"/>
    <s v="Wilson"/>
    <n v="466"/>
    <s v="Spain"/>
    <s v="Female"/>
    <n v="90"/>
    <n v="8"/>
    <n v="3890.93"/>
    <x v="3"/>
    <x v="0"/>
    <x v="1"/>
    <n v="112863.73"/>
    <x v="0"/>
    <n v="-1.729798687507444"/>
    <n v="0.74881310556175862"/>
    <x v="0"/>
  </r>
  <r>
    <n v="282"/>
    <s v="Moore"/>
    <n v="731"/>
    <s v="France"/>
    <s v="Female"/>
    <n v="90"/>
    <n v="8"/>
    <n v="183281.65"/>
    <x v="1"/>
    <x v="1"/>
    <x v="1"/>
    <n v="141248.29"/>
    <x v="0"/>
    <n v="0.76269108378479078"/>
    <n v="1.4424279010055121"/>
    <x v="0"/>
  </r>
  <r>
    <n v="309"/>
    <s v="Wilson"/>
    <n v="426"/>
    <s v="Germany"/>
    <s v="Male"/>
    <n v="89"/>
    <n v="1"/>
    <n v="178130.78"/>
    <x v="2"/>
    <x v="0"/>
    <x v="1"/>
    <n v="21570.41"/>
    <x v="1"/>
    <n v="0.69112388795517365"/>
    <n v="-1.4820616191893414"/>
    <x v="0"/>
  </r>
  <r>
    <n v="15"/>
    <s v="Johnson"/>
    <n v="684"/>
    <s v="Germany"/>
    <s v="Male"/>
    <n v="89"/>
    <n v="2"/>
    <n v="60006.91"/>
    <x v="3"/>
    <x v="1"/>
    <x v="0"/>
    <n v="38571.279999999999"/>
    <x v="1"/>
    <n v="-0.95011227922478791"/>
    <n v="-1.0666225576919697"/>
    <x v="0"/>
  </r>
  <r>
    <n v="333"/>
    <s v="Smith"/>
    <n v="445"/>
    <s v="France"/>
    <s v="Female"/>
    <n v="89"/>
    <n v="10"/>
    <n v="239257.96"/>
    <x v="0"/>
    <x v="0"/>
    <x v="0"/>
    <n v="75002.11"/>
    <x v="1"/>
    <n v="1.5404368897533673"/>
    <n v="-0.17638636244017994"/>
    <x v="0"/>
  </r>
  <r>
    <n v="161"/>
    <s v="Taylor"/>
    <n v="402"/>
    <s v="Spain"/>
    <s v="Male"/>
    <n v="89"/>
    <n v="7"/>
    <n v="205105.61"/>
    <x v="2"/>
    <x v="1"/>
    <x v="0"/>
    <n v="75716.98"/>
    <x v="0"/>
    <n v="1.0659174550769672"/>
    <n v="-0.1589175551442813"/>
    <x v="0"/>
  </r>
  <r>
    <n v="311"/>
    <s v="Davis"/>
    <n v="470"/>
    <s v="France"/>
    <s v="Male"/>
    <n v="89"/>
    <n v="6"/>
    <n v="113690.36"/>
    <x v="0"/>
    <x v="0"/>
    <x v="1"/>
    <n v="87583.039999999994"/>
    <x v="0"/>
    <n v="-0.20422391881975629"/>
    <n v="0.13104553674875136"/>
    <x v="0"/>
  </r>
  <r>
    <n v="395"/>
    <s v="Johnson"/>
    <n v="750"/>
    <s v="France"/>
    <s v="Female"/>
    <n v="89"/>
    <n v="7"/>
    <n v="192173.02"/>
    <x v="0"/>
    <x v="0"/>
    <x v="1"/>
    <n v="99695.37"/>
    <x v="0"/>
    <n v="0.88622951864794663"/>
    <n v="0.42702656641055464"/>
    <x v="0"/>
  </r>
  <r>
    <n v="303"/>
    <s v="Brown"/>
    <n v="543"/>
    <s v="Germany"/>
    <s v="Male"/>
    <n v="89"/>
    <n v="5"/>
    <n v="248060.86"/>
    <x v="2"/>
    <x v="0"/>
    <x v="0"/>
    <n v="105985.33"/>
    <x v="0"/>
    <n v="1.6627461051225256"/>
    <n v="0.58073017565267049"/>
    <x v="0"/>
  </r>
  <r>
    <n v="50"/>
    <s v="Smith"/>
    <n v="515"/>
    <s v="Spain"/>
    <s v="Male"/>
    <n v="89"/>
    <n v="10"/>
    <n v="87177.02"/>
    <x v="1"/>
    <x v="1"/>
    <x v="1"/>
    <n v="118097.5"/>
    <x v="1"/>
    <n v="-0.57260545356577464"/>
    <n v="0.87670729549986781"/>
    <x v="0"/>
  </r>
  <r>
    <n v="164"/>
    <s v="Jones"/>
    <n v="414"/>
    <s v="France"/>
    <s v="Female"/>
    <n v="89"/>
    <n v="4"/>
    <n v="133217.37"/>
    <x v="1"/>
    <x v="0"/>
    <x v="1"/>
    <n v="120812.2"/>
    <x v="0"/>
    <n v="6.7088179648443005E-2"/>
    <n v="0.9430446311919185"/>
    <x v="0"/>
  </r>
  <r>
    <n v="87"/>
    <s v="Davis"/>
    <n v="503"/>
    <s v="Spain"/>
    <s v="Female"/>
    <n v="89"/>
    <n v="2"/>
    <n v="161781.32999999999"/>
    <x v="3"/>
    <x v="0"/>
    <x v="0"/>
    <n v="145603.81"/>
    <x v="0"/>
    <n v="0.46396142999049261"/>
    <n v="1.5488608742082379"/>
    <x v="0"/>
  </r>
  <r>
    <n v="406"/>
    <s v="Jones"/>
    <n v="596"/>
    <s v="Spain"/>
    <s v="Female"/>
    <n v="88"/>
    <n v="4"/>
    <n v="225228.97"/>
    <x v="2"/>
    <x v="0"/>
    <x v="1"/>
    <n v="55636.3"/>
    <x v="0"/>
    <n v="1.345515357153682"/>
    <n v="-0.64961590490103138"/>
    <x v="0"/>
  </r>
  <r>
    <n v="471"/>
    <s v="Taylor"/>
    <n v="575"/>
    <s v="France"/>
    <s v="Female"/>
    <n v="88"/>
    <n v="4"/>
    <n v="75139.3"/>
    <x v="1"/>
    <x v="0"/>
    <x v="1"/>
    <n v="62313.56"/>
    <x v="1"/>
    <n v="-0.73985989108450456"/>
    <n v="-0.48644810067842759"/>
    <x v="0"/>
  </r>
  <r>
    <n v="288"/>
    <s v="Wilson"/>
    <n v="691"/>
    <s v="Germany"/>
    <s v="Female"/>
    <n v="88"/>
    <n v="1"/>
    <n v="162669.35999999999"/>
    <x v="0"/>
    <x v="0"/>
    <x v="0"/>
    <n v="71072.84"/>
    <x v="1"/>
    <n v="0.47629989260216304"/>
    <n v="-0.2724033451692861"/>
    <x v="0"/>
  </r>
  <r>
    <n v="72"/>
    <s v="Jones"/>
    <n v="755"/>
    <s v="Germany"/>
    <s v="Male"/>
    <n v="88"/>
    <n v="1"/>
    <n v="185926.28"/>
    <x v="1"/>
    <x v="1"/>
    <x v="0"/>
    <n v="138274.03"/>
    <x v="0"/>
    <n v="0.7994360905713882"/>
    <n v="1.3697478685689852"/>
    <x v="0"/>
  </r>
  <r>
    <n v="343"/>
    <s v="Moore"/>
    <n v="763"/>
    <s v="Germany"/>
    <s v="Male"/>
    <n v="88"/>
    <n v="9"/>
    <n v="126389.5"/>
    <x v="1"/>
    <x v="1"/>
    <x v="0"/>
    <n v="145049.72"/>
    <x v="0"/>
    <n v="-2.7779582378004625E-2"/>
    <n v="1.5353209418644769"/>
    <x v="0"/>
  </r>
  <r>
    <n v="40"/>
    <s v="Johnson"/>
    <n v="470"/>
    <s v="France"/>
    <s v="Female"/>
    <n v="87"/>
    <n v="5"/>
    <n v="207759.1"/>
    <x v="0"/>
    <x v="0"/>
    <x v="0"/>
    <n v="23908.03"/>
    <x v="1"/>
    <n v="1.1027855644375086"/>
    <n v="-1.4249387390698249"/>
    <x v="0"/>
  </r>
  <r>
    <n v="245"/>
    <s v="Jones"/>
    <n v="522"/>
    <s v="Spain"/>
    <s v="Male"/>
    <n v="87"/>
    <n v="5"/>
    <n v="237584.05"/>
    <x v="2"/>
    <x v="1"/>
    <x v="1"/>
    <n v="47917.63"/>
    <x v="0"/>
    <n v="1.5171792566212643"/>
    <n v="-0.83823195930341909"/>
    <x v="0"/>
  </r>
  <r>
    <n v="496"/>
    <s v="Moore"/>
    <n v="647"/>
    <s v="Germany"/>
    <s v="Male"/>
    <n v="87"/>
    <n v="7"/>
    <n v="154264.92000000001"/>
    <x v="3"/>
    <x v="1"/>
    <x v="0"/>
    <n v="97382.98"/>
    <x v="0"/>
    <n v="0.35952695845351118"/>
    <n v="0.37052021518171119"/>
    <x v="0"/>
  </r>
  <r>
    <n v="97"/>
    <s v="Johnson"/>
    <n v="424"/>
    <s v="Germany"/>
    <s v="Female"/>
    <n v="87"/>
    <n v="10"/>
    <n v="177818.74"/>
    <x v="3"/>
    <x v="0"/>
    <x v="1"/>
    <n v="111587.44"/>
    <x v="0"/>
    <n v="0.68678834312746984"/>
    <n v="0.71762524754046464"/>
    <x v="0"/>
  </r>
  <r>
    <n v="350"/>
    <s v="Moore"/>
    <n v="433"/>
    <s v="Germany"/>
    <s v="Male"/>
    <n v="87"/>
    <n v="0"/>
    <n v="161025.64000000001"/>
    <x v="0"/>
    <x v="1"/>
    <x v="1"/>
    <n v="129607.96"/>
    <x v="1"/>
    <n v="0.45346172523838635"/>
    <n v="1.1579808244312131"/>
    <x v="0"/>
  </r>
  <r>
    <n v="182"/>
    <s v="Miller"/>
    <n v="421"/>
    <s v="France"/>
    <s v="Female"/>
    <n v="86"/>
    <n v="8"/>
    <n v="58586.77"/>
    <x v="0"/>
    <x v="0"/>
    <x v="0"/>
    <n v="27139.72"/>
    <x v="0"/>
    <n v="-0.9698439823129017"/>
    <n v="-1.3459680592957639"/>
    <x v="0"/>
  </r>
  <r>
    <n v="56"/>
    <s v="Moore"/>
    <n v="740"/>
    <s v="France"/>
    <s v="Male"/>
    <n v="86"/>
    <n v="0"/>
    <n v="153882.97"/>
    <x v="3"/>
    <x v="0"/>
    <x v="1"/>
    <n v="29656.959999999999"/>
    <x v="0"/>
    <n v="0.35422007040408982"/>
    <n v="-1.284455923554261"/>
    <x v="0"/>
  </r>
  <r>
    <n v="452"/>
    <s v="Davis"/>
    <n v="712"/>
    <s v="France"/>
    <s v="Female"/>
    <n v="86"/>
    <n v="0"/>
    <n v="57728.98"/>
    <x v="1"/>
    <x v="1"/>
    <x v="1"/>
    <n v="46958.37"/>
    <x v="1"/>
    <n v="-0.9817622844464613"/>
    <n v="-0.86167276404646853"/>
    <x v="0"/>
  </r>
  <r>
    <n v="68"/>
    <s v="Miller"/>
    <n v="679"/>
    <s v="France"/>
    <s v="Female"/>
    <n v="86"/>
    <n v="4"/>
    <n v="225109.32"/>
    <x v="2"/>
    <x v="1"/>
    <x v="0"/>
    <n v="50593.37"/>
    <x v="1"/>
    <n v="1.3438529166376112"/>
    <n v="-0.77284666346791298"/>
    <x v="0"/>
  </r>
  <r>
    <n v="271"/>
    <s v="Taylor"/>
    <n v="490"/>
    <s v="Spain"/>
    <s v="Female"/>
    <n v="86"/>
    <n v="3"/>
    <n v="174710.86"/>
    <x v="2"/>
    <x v="1"/>
    <x v="1"/>
    <n v="72099.13"/>
    <x v="0"/>
    <n v="0.64360685018065678"/>
    <n v="-0.24732457246976305"/>
    <x v="0"/>
  </r>
  <r>
    <n v="374"/>
    <s v="Johnson"/>
    <n v="718"/>
    <s v="Spain"/>
    <s v="Female"/>
    <n v="86"/>
    <n v="2"/>
    <n v="117910.43"/>
    <x v="0"/>
    <x v="1"/>
    <x v="0"/>
    <n v="96850.83"/>
    <x v="1"/>
    <n v="-0.14558944035210086"/>
    <n v="0.35751641616578883"/>
    <x v="0"/>
  </r>
  <r>
    <n v="413"/>
    <s v="Johnson"/>
    <n v="821"/>
    <s v="Spain"/>
    <s v="Female"/>
    <n v="86"/>
    <n v="1"/>
    <n v="89639.64"/>
    <x v="2"/>
    <x v="1"/>
    <x v="0"/>
    <n v="125590.02"/>
    <x v="0"/>
    <n v="-0.5383893293393951"/>
    <n v="1.059797071320181"/>
    <x v="0"/>
  </r>
  <r>
    <n v="148"/>
    <s v="Brown"/>
    <n v="362"/>
    <s v="France"/>
    <s v="Male"/>
    <n v="86"/>
    <n v="6"/>
    <n v="77731.5"/>
    <x v="0"/>
    <x v="0"/>
    <x v="1"/>
    <n v="128074.02"/>
    <x v="0"/>
    <n v="-0.70384335697870615"/>
    <n v="1.1204969430773013"/>
    <x v="0"/>
  </r>
  <r>
    <n v="292"/>
    <s v="Wilson"/>
    <n v="657"/>
    <s v="Spain"/>
    <s v="Female"/>
    <n v="86"/>
    <n v="5"/>
    <n v="44447.47"/>
    <x v="3"/>
    <x v="0"/>
    <x v="0"/>
    <n v="145899.54"/>
    <x v="1"/>
    <n v="-1.166298183640776"/>
    <n v="1.556087433417068"/>
    <x v="0"/>
  </r>
  <r>
    <n v="444"/>
    <s v="Brown"/>
    <n v="580"/>
    <s v="Spain"/>
    <s v="Male"/>
    <n v="85"/>
    <n v="9"/>
    <n v="20728.86"/>
    <x v="3"/>
    <x v="0"/>
    <x v="1"/>
    <n v="33648.46"/>
    <x v="0"/>
    <n v="-1.4958491928249171"/>
    <n v="-1.1869182673068595"/>
    <x v="0"/>
  </r>
  <r>
    <n v="127"/>
    <s v="Jones"/>
    <n v="675"/>
    <s v="Germany"/>
    <s v="Male"/>
    <n v="85"/>
    <n v="3"/>
    <n v="117991.41"/>
    <x v="1"/>
    <x v="1"/>
    <x v="1"/>
    <n v="36037.629999999997"/>
    <x v="1"/>
    <n v="-0.14446428838393177"/>
    <n v="-1.1285356937939937"/>
    <x v="0"/>
  </r>
  <r>
    <n v="264"/>
    <s v="Miller"/>
    <n v="468"/>
    <s v="France"/>
    <s v="Female"/>
    <n v="85"/>
    <n v="7"/>
    <n v="101290.26"/>
    <x v="1"/>
    <x v="1"/>
    <x v="1"/>
    <n v="37047.949999999997"/>
    <x v="1"/>
    <n v="-0.37651333497796591"/>
    <n v="-1.1038471694648255"/>
    <x v="0"/>
  </r>
  <r>
    <n v="133"/>
    <s v="Jones"/>
    <n v="502"/>
    <s v="Germany"/>
    <s v="Male"/>
    <n v="85"/>
    <n v="10"/>
    <n v="157686.62"/>
    <x v="2"/>
    <x v="1"/>
    <x v="0"/>
    <n v="43499.67"/>
    <x v="1"/>
    <n v="0.40706872789638204"/>
    <n v="-0.94619073765611095"/>
    <x v="0"/>
  </r>
  <r>
    <n v="436"/>
    <s v="Moore"/>
    <n v="547"/>
    <s v="Spain"/>
    <s v="Male"/>
    <n v="85"/>
    <n v="5"/>
    <n v="191884.81"/>
    <x v="1"/>
    <x v="1"/>
    <x v="1"/>
    <n v="56017.64"/>
    <x v="0"/>
    <n v="0.88222507250388682"/>
    <n v="-0.64029735051461434"/>
    <x v="0"/>
  </r>
  <r>
    <n v="310"/>
    <s v="Moore"/>
    <n v="499"/>
    <s v="Spain"/>
    <s v="Female"/>
    <n v="85"/>
    <n v="10"/>
    <n v="203018.63"/>
    <x v="3"/>
    <x v="1"/>
    <x v="1"/>
    <n v="57175.83"/>
    <x v="0"/>
    <n v="1.0369205465251123"/>
    <n v="-0.61199542439932486"/>
    <x v="0"/>
  </r>
  <r>
    <n v="398"/>
    <s v="Brown"/>
    <n v="668"/>
    <s v="Germany"/>
    <s v="Female"/>
    <n v="85"/>
    <n v="8"/>
    <n v="137118.25"/>
    <x v="1"/>
    <x v="1"/>
    <x v="1"/>
    <n v="69952.509999999995"/>
    <x v="0"/>
    <n v="0.12128776978910616"/>
    <n v="-0.29978011140344657"/>
    <x v="0"/>
  </r>
  <r>
    <n v="123"/>
    <s v="Brown"/>
    <n v="797"/>
    <s v="Spain"/>
    <s v="Male"/>
    <n v="85"/>
    <n v="2"/>
    <n v="244614.91"/>
    <x v="3"/>
    <x v="1"/>
    <x v="1"/>
    <n v="101378.44"/>
    <x v="1"/>
    <n v="1.6148674014338151"/>
    <n v="0.46815463934060964"/>
    <x v="0"/>
  </r>
  <r>
    <n v="358"/>
    <s v="Smith"/>
    <n v="433"/>
    <s v="Spain"/>
    <s v="Female"/>
    <n v="85"/>
    <n v="6"/>
    <n v="92093.09"/>
    <x v="0"/>
    <x v="0"/>
    <x v="1"/>
    <n v="117465.12"/>
    <x v="0"/>
    <n v="-0.5043006148876279"/>
    <n v="0.86125424199674061"/>
    <x v="0"/>
  </r>
  <r>
    <n v="229"/>
    <s v="Smith"/>
    <n v="694"/>
    <s v="Spain"/>
    <s v="Male"/>
    <n v="84"/>
    <n v="8"/>
    <n v="175604.34"/>
    <x v="0"/>
    <x v="0"/>
    <x v="1"/>
    <n v="45375.97"/>
    <x v="0"/>
    <n v="0.65602103615891816"/>
    <n v="-0.90034083049915248"/>
    <x v="0"/>
  </r>
  <r>
    <n v="79"/>
    <s v="Brown"/>
    <n v="742"/>
    <s v="Spain"/>
    <s v="Female"/>
    <n v="84"/>
    <n v="0"/>
    <n v="129782.98"/>
    <x v="3"/>
    <x v="1"/>
    <x v="1"/>
    <n v="53475.839999999997"/>
    <x v="1"/>
    <n v="1.9370092862078938E-2"/>
    <n v="-0.70240964279812812"/>
    <x v="0"/>
  </r>
  <r>
    <n v="322"/>
    <s v="Williams"/>
    <n v="398"/>
    <s v="France"/>
    <s v="Male"/>
    <n v="84"/>
    <n v="6"/>
    <n v="151818.88"/>
    <x v="2"/>
    <x v="1"/>
    <x v="0"/>
    <n v="76167.42"/>
    <x v="1"/>
    <n v="0.32554119999191589"/>
    <n v="-0.14791044957492649"/>
    <x v="0"/>
  </r>
  <r>
    <n v="326"/>
    <s v="Davis"/>
    <n v="739"/>
    <s v="France"/>
    <s v="Male"/>
    <n v="84"/>
    <n v="7"/>
    <n v="191888.81"/>
    <x v="3"/>
    <x v="1"/>
    <x v="0"/>
    <n v="94143.76"/>
    <x v="0"/>
    <n v="0.88228064928670569"/>
    <n v="0.29136552975775837"/>
    <x v="0"/>
  </r>
  <r>
    <n v="180"/>
    <s v="Taylor"/>
    <n v="529"/>
    <s v="Germany"/>
    <s v="Male"/>
    <n v="83"/>
    <n v="10"/>
    <n v="140464.4"/>
    <x v="3"/>
    <x v="1"/>
    <x v="0"/>
    <n v="62160.12"/>
    <x v="0"/>
    <n v="0.16777983274648489"/>
    <n v="-0.49019761288551783"/>
    <x v="0"/>
  </r>
  <r>
    <n v="119"/>
    <s v="Johnson"/>
    <n v="536"/>
    <s v="Spain"/>
    <s v="Female"/>
    <n v="83"/>
    <n v="6"/>
    <n v="241431.37"/>
    <x v="0"/>
    <x v="1"/>
    <x v="1"/>
    <n v="111107.96"/>
    <x v="1"/>
    <n v="1.5706346736399823"/>
    <n v="0.70590851062013293"/>
    <x v="0"/>
  </r>
  <r>
    <n v="144"/>
    <s v="Jones"/>
    <n v="477"/>
    <s v="France"/>
    <s v="Male"/>
    <n v="83"/>
    <n v="9"/>
    <n v="113849.92"/>
    <x v="1"/>
    <x v="1"/>
    <x v="1"/>
    <n v="122175.46"/>
    <x v="0"/>
    <n v="-0.20200696095310977"/>
    <n v="0.97635771781495073"/>
    <x v="0"/>
  </r>
  <r>
    <n v="342"/>
    <s v="Moore"/>
    <n v="670"/>
    <s v="France"/>
    <s v="Male"/>
    <n v="83"/>
    <n v="2"/>
    <n v="28880.560000000001"/>
    <x v="2"/>
    <x v="1"/>
    <x v="1"/>
    <n v="124392.15"/>
    <x v="1"/>
    <n v="-1.3825878776986782"/>
    <n v="1.0305255111826199"/>
    <x v="0"/>
  </r>
  <r>
    <n v="321"/>
    <s v="Taylor"/>
    <n v="450"/>
    <s v="Germany"/>
    <s v="Male"/>
    <n v="83"/>
    <n v="6"/>
    <n v="188229.59"/>
    <x v="3"/>
    <x v="0"/>
    <x v="0"/>
    <n v="129283.37"/>
    <x v="0"/>
    <n v="0.83143873048004746"/>
    <n v="1.1500490324128378"/>
    <x v="0"/>
  </r>
  <r>
    <n v="197"/>
    <s v="Davis"/>
    <n v="378"/>
    <s v="Spain"/>
    <s v="Male"/>
    <n v="82"/>
    <n v="9"/>
    <n v="59302.02"/>
    <x v="3"/>
    <x v="0"/>
    <x v="1"/>
    <n v="51011.37"/>
    <x v="1"/>
    <n v="-0.95990615883509434"/>
    <n v="-0.7626322728099113"/>
    <x v="0"/>
  </r>
  <r>
    <n v="8"/>
    <s v="Davis"/>
    <n v="741"/>
    <s v="France"/>
    <s v="Male"/>
    <n v="82"/>
    <n v="5"/>
    <n v="204042.02"/>
    <x v="3"/>
    <x v="1"/>
    <x v="1"/>
    <n v="92581.54"/>
    <x v="0"/>
    <n v="1.0511397274673746"/>
    <n v="0.25319058867224775"/>
    <x v="0"/>
  </r>
  <r>
    <n v="83"/>
    <s v="Moore"/>
    <n v="779"/>
    <s v="Germany"/>
    <s v="Male"/>
    <n v="82"/>
    <n v="9"/>
    <n v="241939.64"/>
    <x v="0"/>
    <x v="1"/>
    <x v="1"/>
    <n v="132532.96"/>
    <x v="0"/>
    <n v="1.5776966764908251"/>
    <n v="1.2294571226959374"/>
    <x v="0"/>
  </r>
  <r>
    <n v="220"/>
    <s v="Davis"/>
    <n v="771"/>
    <s v="France"/>
    <s v="Female"/>
    <n v="81"/>
    <n v="3"/>
    <n v="135435.82999999999"/>
    <x v="2"/>
    <x v="0"/>
    <x v="1"/>
    <n v="72274.3"/>
    <x v="1"/>
    <n v="9.7911897051555896E-2"/>
    <n v="-0.24304405856650432"/>
    <x v="0"/>
  </r>
  <r>
    <n v="293"/>
    <s v="Wilson"/>
    <n v="608"/>
    <s v="Spain"/>
    <s v="Female"/>
    <n v="81"/>
    <n v="9"/>
    <n v="30279.62"/>
    <x v="1"/>
    <x v="0"/>
    <x v="1"/>
    <n v="74150.789999999994"/>
    <x v="0"/>
    <n v="-1.36314906425602"/>
    <n v="-0.19718950850470165"/>
    <x v="0"/>
  </r>
  <r>
    <n v="137"/>
    <s v="Moore"/>
    <n v="812"/>
    <s v="Spain"/>
    <s v="Male"/>
    <n v="81"/>
    <n v="8"/>
    <n v="153059.5"/>
    <x v="0"/>
    <x v="0"/>
    <x v="1"/>
    <n v="114484.04"/>
    <x v="0"/>
    <n v="0.34277861706711665"/>
    <n v="0.78840755371263593"/>
    <x v="0"/>
  </r>
  <r>
    <n v="362"/>
    <s v="Moore"/>
    <n v="530"/>
    <s v="France"/>
    <s v="Male"/>
    <n v="81"/>
    <n v="10"/>
    <n v="58304.43"/>
    <x v="1"/>
    <x v="0"/>
    <x v="0"/>
    <n v="122633.44"/>
    <x v="1"/>
    <n v="-0.97376686952817482"/>
    <n v="0.98754907339761"/>
    <x v="0"/>
  </r>
  <r>
    <n v="25"/>
    <s v="Brown"/>
    <n v="464"/>
    <s v="Spain"/>
    <s v="Female"/>
    <n v="81"/>
    <n v="0"/>
    <n v="242071.38"/>
    <x v="3"/>
    <x v="0"/>
    <x v="0"/>
    <n v="129312.08"/>
    <x v="1"/>
    <n v="1.5795270978329661"/>
    <n v="1.1507505997711902"/>
    <x v="0"/>
  </r>
  <r>
    <n v="7"/>
    <s v="Jones"/>
    <n v="432"/>
    <s v="Germany"/>
    <s v="Female"/>
    <n v="81"/>
    <n v="10"/>
    <n v="136164.96"/>
    <x v="0"/>
    <x v="0"/>
    <x v="0"/>
    <n v="135962.88"/>
    <x v="1"/>
    <n v="0.10804257196574499"/>
    <n v="1.3132718184033378"/>
    <x v="0"/>
  </r>
  <r>
    <n v="297"/>
    <s v="Wilson"/>
    <n v="465"/>
    <s v="France"/>
    <s v="Male"/>
    <n v="81"/>
    <n v="8"/>
    <n v="124862.63"/>
    <x v="0"/>
    <x v="1"/>
    <x v="1"/>
    <n v="141751.96"/>
    <x v="1"/>
    <n v="-4.8994212973684059E-2"/>
    <n v="1.4547357530215779"/>
    <x v="0"/>
  </r>
  <r>
    <n v="349"/>
    <s v="Taylor"/>
    <n v="642"/>
    <s v="Spain"/>
    <s v="Male"/>
    <n v="80"/>
    <n v="5"/>
    <n v="141610.87"/>
    <x v="1"/>
    <x v="1"/>
    <x v="0"/>
    <n v="35048.160000000003"/>
    <x v="1"/>
    <n v="0.1837091112960855"/>
    <n v="-1.152714720407326"/>
    <x v="0"/>
  </r>
  <r>
    <n v="157"/>
    <s v="Moore"/>
    <n v="759"/>
    <s v="France"/>
    <s v="Male"/>
    <n v="80"/>
    <n v="6"/>
    <n v="80712.23"/>
    <x v="0"/>
    <x v="1"/>
    <x v="0"/>
    <n v="49445.48"/>
    <x v="0"/>
    <n v="-0.66242851101574951"/>
    <n v="-0.8008968952679455"/>
    <x v="0"/>
  </r>
  <r>
    <n v="323"/>
    <s v="Davis"/>
    <n v="390"/>
    <s v="Germany"/>
    <s v="Male"/>
    <n v="80"/>
    <n v="2"/>
    <n v="25688.61"/>
    <x v="2"/>
    <x v="0"/>
    <x v="1"/>
    <n v="100083.34"/>
    <x v="0"/>
    <n v="-1.4269374556783878"/>
    <n v="0.43650713373970518"/>
    <x v="0"/>
  </r>
  <r>
    <n v="100"/>
    <s v="Williams"/>
    <n v="668"/>
    <s v="Spain"/>
    <s v="Male"/>
    <n v="80"/>
    <n v="4"/>
    <n v="245611.62"/>
    <x v="3"/>
    <x v="1"/>
    <x v="0"/>
    <n v="103995.53"/>
    <x v="0"/>
    <n v="1.6287158852346755"/>
    <n v="0.53210674375962785"/>
    <x v="0"/>
  </r>
  <r>
    <n v="351"/>
    <s v="Jones"/>
    <n v="477"/>
    <s v="Germany"/>
    <s v="Male"/>
    <n v="80"/>
    <n v="7"/>
    <n v="69980.850000000006"/>
    <x v="0"/>
    <x v="1"/>
    <x v="0"/>
    <n v="112678.04"/>
    <x v="1"/>
    <n v="-0.81153240491756362"/>
    <n v="0.74427552134815977"/>
    <x v="0"/>
  </r>
  <r>
    <n v="312"/>
    <s v="Smith"/>
    <n v="624"/>
    <s v="Spain"/>
    <s v="Male"/>
    <n v="80"/>
    <n v="10"/>
    <n v="81815.67"/>
    <x v="0"/>
    <x v="0"/>
    <x v="0"/>
    <n v="129536.99"/>
    <x v="1"/>
    <n v="-0.64709709970732332"/>
    <n v="1.1562465772900685"/>
    <x v="0"/>
  </r>
  <r>
    <n v="90"/>
    <s v="Johnson"/>
    <n v="515"/>
    <s v="France"/>
    <s v="Male"/>
    <n v="79"/>
    <n v="5"/>
    <n v="69882.490000000005"/>
    <x v="2"/>
    <x v="1"/>
    <x v="0"/>
    <n v="28817.75"/>
    <x v="0"/>
    <n v="-0.81289903800708074"/>
    <n v="-1.304963145525796"/>
    <x v="0"/>
  </r>
  <r>
    <n v="437"/>
    <s v="Miller"/>
    <n v="730"/>
    <s v="Germany"/>
    <s v="Male"/>
    <n v="79"/>
    <n v="9"/>
    <n v="245266.56"/>
    <x v="0"/>
    <x v="1"/>
    <x v="1"/>
    <n v="68485.740000000005"/>
    <x v="0"/>
    <n v="1.6239215540648018"/>
    <n v="-0.33562260371310459"/>
    <x v="0"/>
  </r>
  <r>
    <n v="404"/>
    <s v="Taylor"/>
    <n v="704"/>
    <s v="France"/>
    <s v="Female"/>
    <n v="79"/>
    <n v="10"/>
    <n v="222300.09"/>
    <x v="0"/>
    <x v="0"/>
    <x v="0"/>
    <n v="76217.14"/>
    <x v="0"/>
    <n v="1.3048209252380154"/>
    <n v="-0.14669547468613259"/>
    <x v="0"/>
  </r>
  <r>
    <n v="186"/>
    <s v="Williams"/>
    <n v="635"/>
    <s v="Spain"/>
    <s v="Male"/>
    <n v="79"/>
    <n v="2"/>
    <n v="113120.37"/>
    <x v="2"/>
    <x v="1"/>
    <x v="0"/>
    <n v="87508.69"/>
    <x v="1"/>
    <n v="-0.21214347142949483"/>
    <n v="0.12922869477405677"/>
    <x v="0"/>
  </r>
  <r>
    <n v="298"/>
    <s v="Smith"/>
    <n v="806"/>
    <s v="France"/>
    <s v="Female"/>
    <n v="79"/>
    <n v="1"/>
    <n v="239514.85"/>
    <x v="1"/>
    <x v="0"/>
    <x v="0"/>
    <n v="107683.81"/>
    <x v="0"/>
    <n v="1.5440061696879552"/>
    <n v="0.62223481260195923"/>
    <x v="0"/>
  </r>
  <r>
    <n v="51"/>
    <s v="Smith"/>
    <n v="521"/>
    <s v="Spain"/>
    <s v="Male"/>
    <n v="79"/>
    <n v="8"/>
    <n v="133180.14000000001"/>
    <x v="2"/>
    <x v="1"/>
    <x v="1"/>
    <n v="125168.23"/>
    <x v="0"/>
    <n v="6.6570898742356208E-2"/>
    <n v="1.0494900669287011"/>
    <x v="0"/>
  </r>
  <r>
    <n v="325"/>
    <s v="Jones"/>
    <n v="508"/>
    <s v="France"/>
    <s v="Male"/>
    <n v="79"/>
    <n v="10"/>
    <n v="248917.55"/>
    <x v="0"/>
    <x v="1"/>
    <x v="0"/>
    <n v="126187.32"/>
    <x v="1"/>
    <n v="1.6746491236408101"/>
    <n v="1.0743928979709572"/>
    <x v="0"/>
  </r>
  <r>
    <n v="388"/>
    <s v="Moore"/>
    <n v="842"/>
    <s v="Spain"/>
    <s v="Female"/>
    <n v="79"/>
    <n v="8"/>
    <n v="99607.93"/>
    <x v="1"/>
    <x v="1"/>
    <x v="1"/>
    <n v="134066.89000000001"/>
    <x v="1"/>
    <n v="-0.3998879572379026"/>
    <n v="1.266940759686437"/>
    <x v="0"/>
  </r>
  <r>
    <n v="107"/>
    <s v="Taylor"/>
    <n v="520"/>
    <s v="France"/>
    <s v="Male"/>
    <n v="79"/>
    <n v="9"/>
    <n v="165628.62"/>
    <x v="3"/>
    <x v="0"/>
    <x v="0"/>
    <n v="144375.79999999999"/>
    <x v="0"/>
    <n v="0.51741643018333938"/>
    <n v="1.518852802744284"/>
    <x v="0"/>
  </r>
  <r>
    <n v="213"/>
    <s v="Wilson"/>
    <n v="440"/>
    <s v="Germany"/>
    <s v="Male"/>
    <n v="79"/>
    <n v="10"/>
    <n v="201052.55"/>
    <x v="3"/>
    <x v="0"/>
    <x v="0"/>
    <n v="145868.74"/>
    <x v="1"/>
    <n v="1.0096034462339585"/>
    <n v="1.5553347941054254"/>
    <x v="0"/>
  </r>
  <r>
    <n v="345"/>
    <s v="Smith"/>
    <n v="837"/>
    <s v="France"/>
    <s v="Female"/>
    <n v="78"/>
    <n v="1"/>
    <n v="68129.600000000006"/>
    <x v="3"/>
    <x v="0"/>
    <x v="0"/>
    <n v="17554.759999999998"/>
    <x v="0"/>
    <n v="-0.83725403471594306"/>
    <n v="-1.5801894130788261"/>
    <x v="0"/>
  </r>
  <r>
    <n v="260"/>
    <s v="Wilson"/>
    <n v="592"/>
    <s v="Spain"/>
    <s v="Male"/>
    <n v="78"/>
    <n v="2"/>
    <n v="64372.08"/>
    <x v="3"/>
    <x v="0"/>
    <x v="1"/>
    <n v="45223.9"/>
    <x v="0"/>
    <n v="-0.88946175296037622"/>
    <n v="-0.90405686491867954"/>
    <x v="0"/>
  </r>
  <r>
    <n v="174"/>
    <s v="Moore"/>
    <n v="643"/>
    <s v="Spain"/>
    <s v="Male"/>
    <n v="78"/>
    <n v="10"/>
    <n v="55309.99"/>
    <x v="3"/>
    <x v="0"/>
    <x v="1"/>
    <n v="57614.96"/>
    <x v="0"/>
    <n v="-1.0153722049142435"/>
    <n v="-0.60126469384992709"/>
    <x v="0"/>
  </r>
  <r>
    <n v="276"/>
    <s v="Johnson"/>
    <n v="746"/>
    <s v="France"/>
    <s v="Male"/>
    <n v="78"/>
    <n v="0"/>
    <n v="238996.86"/>
    <x v="3"/>
    <x v="1"/>
    <x v="0"/>
    <n v="105194.71"/>
    <x v="1"/>
    <n v="1.5368091152548624"/>
    <n v="0.56141031550427511"/>
    <x v="0"/>
  </r>
  <r>
    <n v="115"/>
    <s v="Jones"/>
    <n v="475"/>
    <s v="Spain"/>
    <s v="Female"/>
    <n v="78"/>
    <n v="5"/>
    <n v="5741.56"/>
    <x v="2"/>
    <x v="0"/>
    <x v="1"/>
    <n v="136090.56"/>
    <x v="1"/>
    <n v="-1.7040856721104014"/>
    <n v="1.3163918504588727"/>
    <x v="0"/>
  </r>
  <r>
    <n v="478"/>
    <s v="Taylor"/>
    <n v="705"/>
    <s v="France"/>
    <s v="Male"/>
    <n v="78"/>
    <n v="2"/>
    <n v="217177.04"/>
    <x v="2"/>
    <x v="0"/>
    <x v="0"/>
    <n v="142428.82999999999"/>
    <x v="0"/>
    <n v="1.2336402659329038"/>
    <n v="1.4712759793485672"/>
    <x v="0"/>
  </r>
  <r>
    <n v="185"/>
    <s v="Jones"/>
    <n v="844"/>
    <s v="France"/>
    <s v="Female"/>
    <n v="78"/>
    <n v="10"/>
    <n v="138185.18"/>
    <x v="1"/>
    <x v="0"/>
    <x v="0"/>
    <n v="143728.42000000001"/>
    <x v="1"/>
    <n v="0.13611190401235254"/>
    <n v="1.5030332041218513"/>
    <x v="0"/>
  </r>
  <r>
    <n v="172"/>
    <s v="Wilson"/>
    <n v="398"/>
    <s v="France"/>
    <s v="Female"/>
    <n v="78"/>
    <n v="0"/>
    <n v="124423.84"/>
    <x v="0"/>
    <x v="1"/>
    <x v="1"/>
    <n v="144202.79"/>
    <x v="0"/>
    <n v="-5.5090847106962194E-2"/>
    <n v="1.5146250713382059"/>
    <x v="0"/>
  </r>
  <r>
    <n v="19"/>
    <s v="Moore"/>
    <n v="450"/>
    <s v="Germany"/>
    <s v="Female"/>
    <n v="78"/>
    <n v="1"/>
    <n v="224549.07"/>
    <x v="0"/>
    <x v="0"/>
    <x v="1"/>
    <n v="144262.57"/>
    <x v="0"/>
    <n v="1.3360686934940369"/>
    <n v="1.5160858758203477"/>
    <x v="0"/>
  </r>
  <r>
    <n v="469"/>
    <s v="Taylor"/>
    <n v="828"/>
    <s v="Germany"/>
    <s v="Male"/>
    <n v="77"/>
    <n v="10"/>
    <n v="184078.17"/>
    <x v="2"/>
    <x v="1"/>
    <x v="1"/>
    <n v="24061.040000000001"/>
    <x v="0"/>
    <n v="0.77375808854752171"/>
    <n v="-1.421199734489488"/>
    <x v="0"/>
  </r>
  <r>
    <n v="272"/>
    <s v="Taylor"/>
    <n v="621"/>
    <s v="France"/>
    <s v="Female"/>
    <n v="77"/>
    <n v="7"/>
    <n v="148341.38"/>
    <x v="3"/>
    <x v="0"/>
    <x v="1"/>
    <n v="26002.71"/>
    <x v="0"/>
    <n v="0.2772241344287209"/>
    <n v="-1.3737524237025929"/>
    <x v="0"/>
  </r>
  <r>
    <n v="33"/>
    <s v="Moore"/>
    <n v="849"/>
    <s v="France"/>
    <s v="Female"/>
    <n v="77"/>
    <n v="2"/>
    <n v="55839.55"/>
    <x v="1"/>
    <x v="1"/>
    <x v="1"/>
    <n v="45305.66"/>
    <x v="0"/>
    <n v="-1.0080143946368472"/>
    <n v="-0.9020589496550474"/>
    <x v="0"/>
  </r>
  <r>
    <n v="43"/>
    <s v="Smith"/>
    <n v="547"/>
    <s v="Germany"/>
    <s v="Female"/>
    <n v="77"/>
    <n v="5"/>
    <n v="41600.300000000003"/>
    <x v="0"/>
    <x v="0"/>
    <x v="0"/>
    <n v="48255.32"/>
    <x v="0"/>
    <n v="-1.2058573208254091"/>
    <n v="-0.82998005121418317"/>
    <x v="0"/>
  </r>
  <r>
    <n v="429"/>
    <s v="Moore"/>
    <n v="363"/>
    <s v="France"/>
    <s v="Female"/>
    <n v="77"/>
    <n v="0"/>
    <n v="36501.089999999997"/>
    <x v="3"/>
    <x v="1"/>
    <x v="1"/>
    <n v="64420.160000000003"/>
    <x v="0"/>
    <n v="-1.2767067425049201"/>
    <n v="-0.43497050412305333"/>
    <x v="0"/>
  </r>
  <r>
    <n v="403"/>
    <s v="Miller"/>
    <n v="628"/>
    <s v="France"/>
    <s v="Male"/>
    <n v="77"/>
    <n v="2"/>
    <n v="212693.91"/>
    <x v="0"/>
    <x v="1"/>
    <x v="1"/>
    <n v="71242.42"/>
    <x v="0"/>
    <n v="1.1713507803431622"/>
    <n v="-0.26825943041382216"/>
    <x v="0"/>
  </r>
  <r>
    <n v="428"/>
    <s v="Smith"/>
    <n v="787"/>
    <s v="France"/>
    <s v="Female"/>
    <n v="77"/>
    <n v="4"/>
    <n v="82614.73"/>
    <x v="1"/>
    <x v="1"/>
    <x v="0"/>
    <n v="90275.78"/>
    <x v="1"/>
    <n v="-0.63599480368750261"/>
    <n v="0.19684625038613784"/>
    <x v="0"/>
  </r>
  <r>
    <n v="445"/>
    <s v="Wilson"/>
    <n v="774"/>
    <s v="Spain"/>
    <s v="Male"/>
    <n v="77"/>
    <n v="10"/>
    <n v="10982.07"/>
    <x v="0"/>
    <x v="1"/>
    <x v="0"/>
    <n v="107521.29"/>
    <x v="1"/>
    <n v="-1.6312730005778124"/>
    <n v="0.61826341841598198"/>
    <x v="0"/>
  </r>
  <r>
    <n v="218"/>
    <s v="Wilson"/>
    <n v="454"/>
    <s v="France"/>
    <s v="Male"/>
    <n v="77"/>
    <n v="1"/>
    <n v="183306.47"/>
    <x v="1"/>
    <x v="1"/>
    <x v="1"/>
    <n v="134198.82999999999"/>
    <x v="0"/>
    <n v="0.76303593772218226"/>
    <n v="1.2701648905558545"/>
    <x v="0"/>
  </r>
  <r>
    <n v="187"/>
    <s v="Jones"/>
    <n v="353"/>
    <s v="Spain"/>
    <s v="Male"/>
    <n v="77"/>
    <n v="7"/>
    <n v="110096.43"/>
    <x v="0"/>
    <x v="1"/>
    <x v="0"/>
    <n v="141135.62"/>
    <x v="0"/>
    <n v="-0.25415868558885296"/>
    <n v="1.4396746584326958"/>
    <x v="0"/>
  </r>
  <r>
    <n v="430"/>
    <s v="Jones"/>
    <n v="451"/>
    <s v="Germany"/>
    <s v="Male"/>
    <n v="76"/>
    <n v="10"/>
    <n v="1978.31"/>
    <x v="3"/>
    <x v="1"/>
    <x v="0"/>
    <n v="19915.18"/>
    <x v="0"/>
    <n v="-1.7563730040962227"/>
    <n v="-1.5225093843779638"/>
    <x v="0"/>
  </r>
  <r>
    <n v="162"/>
    <s v="Miller"/>
    <n v="839"/>
    <s v="Germany"/>
    <s v="Female"/>
    <n v="76"/>
    <n v="7"/>
    <n v="51347.49"/>
    <x v="0"/>
    <x v="0"/>
    <x v="1"/>
    <n v="21151.48"/>
    <x v="1"/>
    <n v="-1.070427955394232"/>
    <n v="-1.4922987356447404"/>
    <x v="0"/>
  </r>
  <r>
    <n v="378"/>
    <s v="Jones"/>
    <n v="579"/>
    <s v="Germany"/>
    <s v="Female"/>
    <n v="76"/>
    <n v="4"/>
    <n v="200445.11"/>
    <x v="1"/>
    <x v="1"/>
    <x v="1"/>
    <n v="43482.28"/>
    <x v="1"/>
    <n v="1.001163555995078"/>
    <n v="-0.94661568563109333"/>
    <x v="0"/>
  </r>
  <r>
    <n v="369"/>
    <s v="Brown"/>
    <n v="602"/>
    <s v="France"/>
    <s v="Female"/>
    <n v="76"/>
    <n v="8"/>
    <n v="181947.19"/>
    <x v="2"/>
    <x v="0"/>
    <x v="1"/>
    <n v="81521.02"/>
    <x v="1"/>
    <n v="0.74414983538465829"/>
    <n v="-1.7088052860385897E-2"/>
    <x v="0"/>
  </r>
  <r>
    <n v="352"/>
    <s v="Miller"/>
    <n v="834"/>
    <s v="France"/>
    <s v="Male"/>
    <n v="76"/>
    <n v="8"/>
    <n v="77216.62"/>
    <x v="0"/>
    <x v="0"/>
    <x v="0"/>
    <n v="104636.55"/>
    <x v="0"/>
    <n v="-0.71099720046315706"/>
    <n v="0.54777092725147547"/>
    <x v="0"/>
  </r>
  <r>
    <n v="270"/>
    <s v="Davis"/>
    <n v="575"/>
    <s v="Germany"/>
    <s v="Male"/>
    <n v="76"/>
    <n v="5"/>
    <n v="59505.51"/>
    <x v="0"/>
    <x v="1"/>
    <x v="0"/>
    <n v="116792.39"/>
    <x v="0"/>
    <n v="-0.95707882895113916"/>
    <n v="0.8448151821226797"/>
    <x v="0"/>
  </r>
  <r>
    <n v="422"/>
    <s v="Jones"/>
    <n v="421"/>
    <s v="France"/>
    <s v="Female"/>
    <n v="76"/>
    <n v="4"/>
    <n v="24418.55"/>
    <x v="2"/>
    <x v="0"/>
    <x v="1"/>
    <n v="131045.9"/>
    <x v="1"/>
    <n v="-1.4445839178751358"/>
    <n v="1.1931188170215643"/>
    <x v="0"/>
  </r>
  <r>
    <n v="249"/>
    <s v="Johnson"/>
    <n v="350"/>
    <s v="Spain"/>
    <s v="Female"/>
    <n v="76"/>
    <n v="3"/>
    <n v="47176.34"/>
    <x v="0"/>
    <x v="1"/>
    <x v="1"/>
    <n v="139671.97"/>
    <x v="1"/>
    <n v="-1.1283827298080122"/>
    <n v="1.4039084075078534"/>
    <x v="0"/>
  </r>
  <r>
    <n v="59"/>
    <s v="Brown"/>
    <n v="740"/>
    <s v="Spain"/>
    <s v="Male"/>
    <n v="76"/>
    <n v="6"/>
    <n v="46184.63"/>
    <x v="0"/>
    <x v="0"/>
    <x v="1"/>
    <n v="140603.54"/>
    <x v="1"/>
    <n v="-1.142161742630349"/>
    <n v="1.4266725699606637"/>
    <x v="0"/>
  </r>
  <r>
    <n v="258"/>
    <s v="Williams"/>
    <n v="512"/>
    <s v="Spain"/>
    <s v="Female"/>
    <n v="75"/>
    <n v="10"/>
    <n v="170020.95"/>
    <x v="0"/>
    <x v="1"/>
    <x v="1"/>
    <n v="34325.360000000001"/>
    <x v="0"/>
    <n v="0.57844432280309177"/>
    <n v="-1.1703773078896313"/>
    <x v="0"/>
  </r>
  <r>
    <n v="147"/>
    <s v="Moore"/>
    <n v="507"/>
    <s v="Germany"/>
    <s v="Male"/>
    <n v="75"/>
    <n v="8"/>
    <n v="238465.26"/>
    <x v="0"/>
    <x v="0"/>
    <x v="1"/>
    <n v="55585.67"/>
    <x v="1"/>
    <n v="1.5294229608182288"/>
    <n v="-0.6508531168603966"/>
    <x v="0"/>
  </r>
  <r>
    <n v="105"/>
    <s v="Wilson"/>
    <n v="397"/>
    <s v="Spain"/>
    <s v="Male"/>
    <n v="75"/>
    <n v="9"/>
    <n v="46.68"/>
    <x v="2"/>
    <x v="1"/>
    <x v="0"/>
    <n v="61080.02"/>
    <x v="0"/>
    <n v="-1.7832114493453484"/>
    <n v="-0.51659130510969897"/>
    <x v="0"/>
  </r>
  <r>
    <n v="391"/>
    <s v="Brown"/>
    <n v="580"/>
    <s v="France"/>
    <s v="Female"/>
    <n v="75"/>
    <n v="3"/>
    <n v="206215.22"/>
    <x v="1"/>
    <x v="0"/>
    <x v="1"/>
    <n v="73777.070000000007"/>
    <x v="0"/>
    <n v="1.0813345935728917"/>
    <n v="-0.20632185797051089"/>
    <x v="0"/>
  </r>
  <r>
    <n v="255"/>
    <s v="Davis"/>
    <n v="791"/>
    <s v="France"/>
    <s v="Male"/>
    <n v="75"/>
    <n v="8"/>
    <n v="101615.64"/>
    <x v="3"/>
    <x v="1"/>
    <x v="0"/>
    <n v="108820.32"/>
    <x v="0"/>
    <n v="-0.37199244157956113"/>
    <n v="0.65000695883814497"/>
    <x v="0"/>
  </r>
  <r>
    <n v="39"/>
    <s v="Smith"/>
    <n v="534"/>
    <s v="Spain"/>
    <s v="Female"/>
    <n v="75"/>
    <n v="9"/>
    <n v="20385.3"/>
    <x v="1"/>
    <x v="0"/>
    <x v="0"/>
    <n v="118972.35"/>
    <x v="0"/>
    <n v="-1.5006226827012339"/>
    <n v="0.89808542867487462"/>
    <x v="0"/>
  </r>
  <r>
    <n v="265"/>
    <s v="Wilson"/>
    <n v="478"/>
    <s v="France"/>
    <s v="Male"/>
    <n v="74"/>
    <n v="2"/>
    <n v="50125.4"/>
    <x v="0"/>
    <x v="1"/>
    <x v="1"/>
    <n v="14640.19"/>
    <x v="0"/>
    <n v="-1.0874079130230241"/>
    <n v="-1.6514108403039265"/>
    <x v="0"/>
  </r>
  <r>
    <n v="77"/>
    <s v="Miller"/>
    <n v="593"/>
    <s v="Germany"/>
    <s v="Female"/>
    <n v="74"/>
    <n v="4"/>
    <n v="166950.85999999999"/>
    <x v="0"/>
    <x v="1"/>
    <x v="1"/>
    <n v="18020.810000000001"/>
    <x v="1"/>
    <n v="0.53578789151196005"/>
    <n v="-1.56880085622198"/>
    <x v="0"/>
  </r>
  <r>
    <n v="304"/>
    <s v="Williams"/>
    <n v="649"/>
    <s v="France"/>
    <s v="Male"/>
    <n v="74"/>
    <n v="6"/>
    <n v="39932.25"/>
    <x v="2"/>
    <x v="1"/>
    <x v="0"/>
    <n v="20310.53"/>
    <x v="1"/>
    <n v="-1.2290335339706822"/>
    <n v="-1.5128484768501147"/>
    <x v="0"/>
  </r>
  <r>
    <n v="387"/>
    <s v="Jones"/>
    <n v="359"/>
    <s v="Spain"/>
    <s v="Female"/>
    <n v="74"/>
    <n v="9"/>
    <n v="70359.16"/>
    <x v="2"/>
    <x v="0"/>
    <x v="1"/>
    <n v="21108.79"/>
    <x v="1"/>
    <n v="-0.80627609174050763"/>
    <n v="-1.4933419230542859"/>
    <x v="0"/>
  </r>
  <r>
    <n v="401"/>
    <s v="Moore"/>
    <n v="716"/>
    <s v="Spain"/>
    <s v="Female"/>
    <n v="74"/>
    <n v="10"/>
    <n v="193015.5"/>
    <x v="0"/>
    <x v="0"/>
    <x v="0"/>
    <n v="127051.78"/>
    <x v="1"/>
    <n v="0.89793510064526683"/>
    <n v="1.0955171375599908"/>
    <x v="0"/>
  </r>
  <r>
    <n v="368"/>
    <s v="Taylor"/>
    <n v="680"/>
    <s v="Germany"/>
    <s v="Female"/>
    <n v="74"/>
    <n v="10"/>
    <n v="3229.42"/>
    <x v="3"/>
    <x v="0"/>
    <x v="0"/>
    <n v="139041.32999999999"/>
    <x v="0"/>
    <n v="-1.7389898369080792"/>
    <n v="1.3884978732385655"/>
    <x v="0"/>
  </r>
  <r>
    <n v="389"/>
    <s v="Brown"/>
    <n v="540"/>
    <s v="France"/>
    <s v="Female"/>
    <n v="73"/>
    <n v="7"/>
    <n v="244670.66"/>
    <x v="3"/>
    <x v="1"/>
    <x v="1"/>
    <n v="12942.78"/>
    <x v="1"/>
    <n v="1.6156420028443539"/>
    <n v="-1.6928893303680381"/>
    <x v="0"/>
  </r>
  <r>
    <n v="131"/>
    <s v="Smith"/>
    <n v="527"/>
    <s v="Germany"/>
    <s v="Female"/>
    <n v="73"/>
    <n v="4"/>
    <n v="184707.82"/>
    <x v="0"/>
    <x v="0"/>
    <x v="0"/>
    <n v="93162.76"/>
    <x v="1"/>
    <n v="0.78250656887300429"/>
    <n v="0.26739347895512761"/>
    <x v="0"/>
  </r>
  <r>
    <n v="316"/>
    <s v="Wilson"/>
    <n v="442"/>
    <s v="France"/>
    <s v="Female"/>
    <n v="73"/>
    <n v="4"/>
    <n v="232599.36"/>
    <x v="2"/>
    <x v="0"/>
    <x v="1"/>
    <n v="103203.97"/>
    <x v="1"/>
    <n v="1.447920998233859"/>
    <n v="0.5127639134504226"/>
    <x v="0"/>
  </r>
  <r>
    <n v="463"/>
    <s v="Smith"/>
    <n v="538"/>
    <s v="Spain"/>
    <s v="Male"/>
    <n v="73"/>
    <n v="5"/>
    <n v="4387.1899999999996"/>
    <x v="3"/>
    <x v="1"/>
    <x v="0"/>
    <n v="131348.78"/>
    <x v="0"/>
    <n v="-1.7229035539470152"/>
    <n v="1.2005200960705968"/>
    <x v="0"/>
  </r>
  <r>
    <n v="62"/>
    <s v="Johnson"/>
    <n v="826"/>
    <s v="Spain"/>
    <s v="Male"/>
    <n v="72"/>
    <n v="1"/>
    <n v="60209.09"/>
    <x v="1"/>
    <x v="0"/>
    <x v="0"/>
    <n v="10127.81"/>
    <x v="0"/>
    <n v="-0.94730315073720595"/>
    <n v="-1.761676898000945"/>
    <x v="0"/>
  </r>
  <r>
    <n v="166"/>
    <s v="Moore"/>
    <n v="724"/>
    <s v="Germany"/>
    <s v="Female"/>
    <n v="72"/>
    <n v="6"/>
    <n v="191624.47"/>
    <x v="2"/>
    <x v="0"/>
    <x v="0"/>
    <n v="80375.98"/>
    <x v="1"/>
    <n v="0.87860785759411775"/>
    <n v="-4.5068641087750376E-2"/>
    <x v="0"/>
  </r>
  <r>
    <n v="34"/>
    <s v="Johnson"/>
    <n v="475"/>
    <s v="Spain"/>
    <s v="Male"/>
    <n v="72"/>
    <n v="6"/>
    <n v="72899.17"/>
    <x v="1"/>
    <x v="0"/>
    <x v="0"/>
    <n v="90761.77"/>
    <x v="1"/>
    <n v="-0.77098469570853911"/>
    <n v="0.2087220678882486"/>
    <x v="0"/>
  </r>
  <r>
    <n v="418"/>
    <s v="Brown"/>
    <n v="640"/>
    <s v="France"/>
    <s v="Female"/>
    <n v="72"/>
    <n v="1"/>
    <n v="203648.16"/>
    <x v="3"/>
    <x v="0"/>
    <x v="0"/>
    <n v="102614.36"/>
    <x v="0"/>
    <n v="1.0456673595471102"/>
    <n v="0.49835600226414417"/>
    <x v="0"/>
  </r>
  <r>
    <n v="233"/>
    <s v="Smith"/>
    <n v="506"/>
    <s v="Spain"/>
    <s v="Female"/>
    <n v="72"/>
    <n v="5"/>
    <n v="120906.58"/>
    <x v="3"/>
    <x v="1"/>
    <x v="0"/>
    <n v="143845.99"/>
    <x v="0"/>
    <n v="-0.10396034589137709"/>
    <n v="1.5059061847669735"/>
    <x v="0"/>
  </r>
  <r>
    <n v="204"/>
    <s v="Jones"/>
    <n v="615"/>
    <s v="France"/>
    <s v="Female"/>
    <n v="72"/>
    <n v="6"/>
    <n v="199237.9"/>
    <x v="3"/>
    <x v="0"/>
    <x v="0"/>
    <n v="149768.04999999999"/>
    <x v="0"/>
    <n v="0.98439034399837222"/>
    <n v="1.6506196640495703"/>
    <x v="0"/>
  </r>
  <r>
    <n v="199"/>
    <s v="Williams"/>
    <n v="693"/>
    <s v="Spain"/>
    <s v="Male"/>
    <n v="71"/>
    <n v="2"/>
    <n v="37093.39"/>
    <x v="2"/>
    <x v="1"/>
    <x v="0"/>
    <n v="40784.480000000003"/>
    <x v="0"/>
    <n v="-1.268477210389009"/>
    <n v="-1.0125400471553923"/>
    <x v="0"/>
  </r>
  <r>
    <n v="263"/>
    <s v="Johnson"/>
    <n v="521"/>
    <s v="Germany"/>
    <s v="Male"/>
    <n v="71"/>
    <n v="10"/>
    <n v="234878.9"/>
    <x v="1"/>
    <x v="0"/>
    <x v="1"/>
    <n v="55748.58"/>
    <x v="0"/>
    <n v="1.479593373110617"/>
    <n v="-0.64687219250131744"/>
    <x v="0"/>
  </r>
  <r>
    <n v="226"/>
    <s v="Davis"/>
    <n v="449"/>
    <s v="Spain"/>
    <s v="Male"/>
    <n v="71"/>
    <n v="9"/>
    <n v="190983.34"/>
    <x v="2"/>
    <x v="0"/>
    <x v="1"/>
    <n v="94496.24"/>
    <x v="1"/>
    <n v="0.86969987190194475"/>
    <n v="0.29997885133463048"/>
    <x v="0"/>
  </r>
  <r>
    <n v="382"/>
    <s v="Taylor"/>
    <n v="790"/>
    <s v="Spain"/>
    <s v="Male"/>
    <n v="71"/>
    <n v="4"/>
    <n v="7503.74"/>
    <x v="2"/>
    <x v="1"/>
    <x v="1"/>
    <n v="111705.43"/>
    <x v="0"/>
    <n v="-1.679601598323442"/>
    <n v="0.72050849144892759"/>
    <x v="0"/>
  </r>
  <r>
    <n v="465"/>
    <s v="Smith"/>
    <n v="529"/>
    <s v="Spain"/>
    <s v="Male"/>
    <n v="71"/>
    <n v="2"/>
    <n v="45202.75"/>
    <x v="0"/>
    <x v="1"/>
    <x v="0"/>
    <n v="118614.97"/>
    <x v="1"/>
    <n v="-1.1558041755089081"/>
    <n v="0.88935236902569592"/>
    <x v="0"/>
  </r>
  <r>
    <n v="93"/>
    <s v="Jones"/>
    <n v="739"/>
    <s v="Spain"/>
    <s v="Male"/>
    <n v="71"/>
    <n v="5"/>
    <n v="173851.84"/>
    <x v="3"/>
    <x v="1"/>
    <x v="1"/>
    <n v="121172.65"/>
    <x v="0"/>
    <n v="0.63167145818638071"/>
    <n v="0.95185271040884833"/>
    <x v="0"/>
  </r>
  <r>
    <n v="153"/>
    <s v="Miller"/>
    <n v="640"/>
    <s v="Spain"/>
    <s v="Male"/>
    <n v="70"/>
    <n v="2"/>
    <n v="47856.39"/>
    <x v="1"/>
    <x v="0"/>
    <x v="1"/>
    <n v="11462.63"/>
    <x v="0"/>
    <n v="-1.1189339820190112"/>
    <n v="-1.7290587809241176"/>
    <x v="1"/>
  </r>
  <r>
    <n v="24"/>
    <s v="Taylor"/>
    <n v="443"/>
    <s v="France"/>
    <s v="Female"/>
    <n v="70"/>
    <n v="0"/>
    <n v="116986.77"/>
    <x v="3"/>
    <x v="0"/>
    <x v="0"/>
    <n v="16197.08"/>
    <x v="1"/>
    <n v="-0.15842295315673066"/>
    <n v="-1.6133661449174761"/>
    <x v="1"/>
  </r>
  <r>
    <n v="332"/>
    <s v="Davis"/>
    <n v="463"/>
    <s v="France"/>
    <s v="Female"/>
    <n v="70"/>
    <n v="8"/>
    <n v="100036.16"/>
    <x v="1"/>
    <x v="0"/>
    <x v="0"/>
    <n v="27387.77"/>
    <x v="0"/>
    <n v="-0.39393804581126635"/>
    <n v="-1.3399066248395022"/>
    <x v="1"/>
  </r>
  <r>
    <n v="111"/>
    <s v="Williams"/>
    <n v="663"/>
    <s v="France"/>
    <s v="Female"/>
    <n v="70"/>
    <n v="6"/>
    <n v="108982.82"/>
    <x v="0"/>
    <x v="0"/>
    <x v="0"/>
    <n v="110349.05"/>
    <x v="0"/>
    <n v="-0.26963140086759596"/>
    <n v="0.68736352685395086"/>
    <x v="1"/>
  </r>
  <r>
    <n v="337"/>
    <s v="Taylor"/>
    <n v="638"/>
    <s v="Spain"/>
    <s v="Female"/>
    <n v="69"/>
    <n v="5"/>
    <n v="4147.6899999999996"/>
    <x v="3"/>
    <x v="0"/>
    <x v="0"/>
    <n v="37164.6"/>
    <x v="0"/>
    <n v="-1.7262312138182978"/>
    <n v="-1.1009966702536871"/>
    <x v="1"/>
  </r>
  <r>
    <n v="234"/>
    <s v="Moore"/>
    <n v="422"/>
    <s v="France"/>
    <s v="Female"/>
    <n v="69"/>
    <n v="8"/>
    <n v="198731.58"/>
    <x v="2"/>
    <x v="1"/>
    <x v="0"/>
    <n v="37615.839999999997"/>
    <x v="0"/>
    <n v="0.97735543482915377"/>
    <n v="-1.0899700156113028"/>
    <x v="1"/>
  </r>
  <r>
    <n v="36"/>
    <s v="Jones"/>
    <n v="462"/>
    <s v="Germany"/>
    <s v="Male"/>
    <n v="69"/>
    <n v="2"/>
    <n v="9295.2900000000009"/>
    <x v="2"/>
    <x v="0"/>
    <x v="0"/>
    <n v="39491.230000000003"/>
    <x v="0"/>
    <n v="-1.6547094520086352"/>
    <n v="-1.0441423455249155"/>
    <x v="1"/>
  </r>
  <r>
    <n v="42"/>
    <s v="Taylor"/>
    <n v="798"/>
    <s v="Germany"/>
    <s v="Male"/>
    <n v="69"/>
    <n v="8"/>
    <n v="34108.089999999997"/>
    <x v="2"/>
    <x v="0"/>
    <x v="0"/>
    <n v="81519.78"/>
    <x v="1"/>
    <n v="-1.3099555528263365"/>
    <n v="-1.7118353923582012E-2"/>
    <x v="1"/>
  </r>
  <r>
    <n v="485"/>
    <s v="Wilson"/>
    <n v="437"/>
    <s v="France"/>
    <s v="Female"/>
    <n v="69"/>
    <n v="3"/>
    <n v="69485.69"/>
    <x v="3"/>
    <x v="1"/>
    <x v="1"/>
    <n v="91069.46"/>
    <x v="1"/>
    <n v="-0.81841225486271718"/>
    <n v="0.21624088573887199"/>
    <x v="1"/>
  </r>
  <r>
    <n v="3"/>
    <s v="Jones"/>
    <n v="519"/>
    <s v="Germany"/>
    <s v="Male"/>
    <n v="69"/>
    <n v="6"/>
    <n v="146780.5"/>
    <x v="2"/>
    <x v="0"/>
    <x v="0"/>
    <n v="94395.02"/>
    <x v="1"/>
    <n v="0.25553696223712352"/>
    <n v="0.29750540486955168"/>
    <x v="1"/>
  </r>
  <r>
    <n v="420"/>
    <s v="Davis"/>
    <n v="687"/>
    <s v="France"/>
    <s v="Female"/>
    <n v="69"/>
    <n v="3"/>
    <n v="136486.32999999999"/>
    <x v="0"/>
    <x v="0"/>
    <x v="0"/>
    <n v="135558.76"/>
    <x v="1"/>
    <n v="0.11250774963937367"/>
    <n v="1.303396604162401"/>
    <x v="1"/>
  </r>
  <r>
    <n v="301"/>
    <s v="Smith"/>
    <n v="531"/>
    <s v="Germany"/>
    <s v="Female"/>
    <n v="68"/>
    <n v="9"/>
    <n v="25763.31"/>
    <x v="1"/>
    <x v="1"/>
    <x v="1"/>
    <n v="31564.75"/>
    <x v="1"/>
    <n v="-1.4258995592592445"/>
    <n v="-1.2378365160101723"/>
    <x v="1"/>
  </r>
  <r>
    <n v="396"/>
    <s v="Brown"/>
    <n v="578"/>
    <s v="Spain"/>
    <s v="Male"/>
    <n v="68"/>
    <n v="2"/>
    <n v="59641.51"/>
    <x v="0"/>
    <x v="0"/>
    <x v="0"/>
    <n v="61207.9"/>
    <x v="0"/>
    <n v="-0.95518921833529602"/>
    <n v="-0.51346638578590631"/>
    <x v="1"/>
  </r>
  <r>
    <n v="411"/>
    <s v="Jones"/>
    <n v="464"/>
    <s v="Spain"/>
    <s v="Female"/>
    <n v="68"/>
    <n v="7"/>
    <n v="162045.57"/>
    <x v="1"/>
    <x v="0"/>
    <x v="0"/>
    <n v="87532.67"/>
    <x v="0"/>
    <n v="0.46763283226351049"/>
    <n v="0.12981467823812096"/>
    <x v="1"/>
  </r>
  <r>
    <n v="286"/>
    <s v="Moore"/>
    <n v="681"/>
    <s v="Spain"/>
    <s v="Female"/>
    <n v="68"/>
    <n v="1"/>
    <n v="118693.43"/>
    <x v="1"/>
    <x v="1"/>
    <x v="1"/>
    <n v="119809.36"/>
    <x v="0"/>
    <n v="-0.13471028511529809"/>
    <n v="0.91853889069557781"/>
    <x v="1"/>
  </r>
  <r>
    <n v="256"/>
    <s v="Davis"/>
    <n v="804"/>
    <s v="Germany"/>
    <s v="Female"/>
    <n v="68"/>
    <n v="10"/>
    <n v="240635.59"/>
    <x v="1"/>
    <x v="0"/>
    <x v="0"/>
    <n v="122764.08"/>
    <x v="1"/>
    <n v="1.559577950582073"/>
    <n v="0.99074143702335482"/>
    <x v="1"/>
  </r>
  <r>
    <n v="89"/>
    <s v="Smith"/>
    <n v="469"/>
    <s v="France"/>
    <s v="Male"/>
    <n v="68"/>
    <n v="9"/>
    <n v="19196.560000000001"/>
    <x v="2"/>
    <x v="1"/>
    <x v="0"/>
    <n v="133731.54999999999"/>
    <x v="0"/>
    <n v="-1.5171392689032734"/>
    <n v="1.2587462769992253"/>
    <x v="1"/>
  </r>
  <r>
    <n v="295"/>
    <s v="Moore"/>
    <n v="507"/>
    <s v="France"/>
    <s v="Female"/>
    <n v="67"/>
    <n v="5"/>
    <n v="179102.53"/>
    <x v="1"/>
    <x v="0"/>
    <x v="0"/>
    <n v="14556.33"/>
    <x v="0"/>
    <n v="0.70462557263124392"/>
    <n v="-1.6534600718842616"/>
    <x v="1"/>
  </r>
  <r>
    <n v="319"/>
    <s v="Jones"/>
    <n v="563"/>
    <s v="Germany"/>
    <s v="Male"/>
    <n v="67"/>
    <n v="3"/>
    <n v="136635"/>
    <x v="1"/>
    <x v="1"/>
    <x v="1"/>
    <n v="29342.26"/>
    <x v="0"/>
    <n v="0.1145733997147959"/>
    <n v="-1.2921460401573068"/>
    <x v="1"/>
  </r>
  <r>
    <n v="251"/>
    <s v="Williams"/>
    <n v="545"/>
    <s v="Germany"/>
    <s v="Male"/>
    <n v="67"/>
    <n v="9"/>
    <n v="180722.3"/>
    <x v="3"/>
    <x v="1"/>
    <x v="1"/>
    <n v="47605.64"/>
    <x v="1"/>
    <n v="0.72713097400789262"/>
    <n v="-0.84585585342157676"/>
    <x v="1"/>
  </r>
  <r>
    <n v="385"/>
    <s v="Miller"/>
    <n v="723"/>
    <s v="Germany"/>
    <s v="Male"/>
    <n v="67"/>
    <n v="2"/>
    <n v="222765.58"/>
    <x v="3"/>
    <x v="1"/>
    <x v="1"/>
    <n v="60737.81"/>
    <x v="1"/>
    <n v="1.3112885343966094"/>
    <n v="-0.52495366546155242"/>
    <x v="1"/>
  </r>
  <r>
    <n v="493"/>
    <s v="Jones"/>
    <n v="566"/>
    <s v="France"/>
    <s v="Female"/>
    <n v="67"/>
    <n v="8"/>
    <n v="107431.37"/>
    <x v="3"/>
    <x v="1"/>
    <x v="0"/>
    <n v="136772.28"/>
    <x v="1"/>
    <n v="-0.29118755079369785"/>
    <n v="1.3330505930411047"/>
    <x v="1"/>
  </r>
  <r>
    <n v="74"/>
    <s v="Taylor"/>
    <n v="431"/>
    <s v="Germany"/>
    <s v="Male"/>
    <n v="66"/>
    <n v="9"/>
    <n v="103045.29"/>
    <x v="3"/>
    <x v="1"/>
    <x v="0"/>
    <n v="36831.440000000002"/>
    <x v="1"/>
    <n v="-0.35212860469029544"/>
    <n v="-1.1091378817168924"/>
    <x v="1"/>
  </r>
  <r>
    <n v="367"/>
    <s v="Miller"/>
    <n v="557"/>
    <s v="France"/>
    <s v="Female"/>
    <n v="66"/>
    <n v="2"/>
    <n v="89466.82"/>
    <x v="0"/>
    <x v="1"/>
    <x v="1"/>
    <n v="37239.08"/>
    <x v="0"/>
    <n v="-0.54079052424108631"/>
    <n v="-1.0991766515546249"/>
    <x v="1"/>
  </r>
  <r>
    <n v="474"/>
    <s v="Johnson"/>
    <n v="515"/>
    <s v="Germany"/>
    <s v="Male"/>
    <n v="66"/>
    <n v="0"/>
    <n v="133040.76"/>
    <x v="2"/>
    <x v="0"/>
    <x v="0"/>
    <n v="64833.38"/>
    <x v="1"/>
    <n v="6.4634325745031015E-2"/>
    <n v="-0.42487291917640402"/>
    <x v="1"/>
  </r>
  <r>
    <n v="308"/>
    <s v="Jones"/>
    <n v="397"/>
    <s v="Spain"/>
    <s v="Female"/>
    <n v="66"/>
    <n v="3"/>
    <n v="232462.02"/>
    <x v="0"/>
    <x v="1"/>
    <x v="1"/>
    <n v="135716.10999999999"/>
    <x v="0"/>
    <n v="1.4460127693957716"/>
    <n v="1.3072416624639234"/>
    <x v="1"/>
  </r>
  <r>
    <n v="491"/>
    <s v="Miller"/>
    <n v="695"/>
    <s v="Germany"/>
    <s v="Male"/>
    <n v="65"/>
    <n v="5"/>
    <n v="57896.34"/>
    <x v="0"/>
    <x v="1"/>
    <x v="1"/>
    <n v="39633.65"/>
    <x v="1"/>
    <n v="-0.97943695185331781"/>
    <n v="-1.0406621217988088"/>
    <x v="1"/>
  </r>
  <r>
    <n v="63"/>
    <s v="Johnson"/>
    <n v="452"/>
    <s v="Spain"/>
    <s v="Female"/>
    <n v="65"/>
    <n v="5"/>
    <n v="145317.32"/>
    <x v="2"/>
    <x v="0"/>
    <x v="0"/>
    <n v="60885.4"/>
    <x v="0"/>
    <n v="0.2352072529658783"/>
    <n v="-0.52134710585099142"/>
    <x v="1"/>
  </r>
  <r>
    <n v="235"/>
    <s v="Johnson"/>
    <n v="624"/>
    <s v="France"/>
    <s v="Male"/>
    <n v="65"/>
    <n v="4"/>
    <n v="179014.43"/>
    <x v="1"/>
    <x v="1"/>
    <x v="0"/>
    <n v="83705.740000000005"/>
    <x v="0"/>
    <n v="0.70340149398965723"/>
    <n v="3.6298510676335369E-2"/>
    <x v="1"/>
  </r>
  <r>
    <n v="376"/>
    <s v="Davis"/>
    <n v="434"/>
    <s v="France"/>
    <s v="Male"/>
    <n v="65"/>
    <n v="6"/>
    <n v="90083.5"/>
    <x v="1"/>
    <x v="0"/>
    <x v="1"/>
    <n v="97501.27"/>
    <x v="1"/>
    <n v="-0.53222225163389414"/>
    <n v="0.37341078999256072"/>
    <x v="1"/>
  </r>
  <r>
    <n v="53"/>
    <s v="Davis"/>
    <n v="694"/>
    <s v="France"/>
    <s v="Female"/>
    <n v="65"/>
    <n v="0"/>
    <n v="42733.7"/>
    <x v="2"/>
    <x v="0"/>
    <x v="1"/>
    <n v="103834.77"/>
    <x v="1"/>
    <n v="-1.1901096394136692"/>
    <n v="0.52817835753431619"/>
    <x v="1"/>
  </r>
  <r>
    <n v="116"/>
    <s v="Williams"/>
    <n v="556"/>
    <s v="France"/>
    <s v="Male"/>
    <n v="65"/>
    <n v="7"/>
    <n v="94298.58"/>
    <x v="1"/>
    <x v="1"/>
    <x v="0"/>
    <n v="117883.52"/>
    <x v="0"/>
    <n v="-0.47365710520280518"/>
    <n v="0.87147840719125735"/>
    <x v="1"/>
  </r>
  <r>
    <n v="307"/>
    <s v="Jones"/>
    <n v="682"/>
    <s v="Spain"/>
    <s v="Female"/>
    <n v="65"/>
    <n v="1"/>
    <n v="82186.16"/>
    <x v="1"/>
    <x v="1"/>
    <x v="0"/>
    <n v="118581.88"/>
    <x v="1"/>
    <n v="-0.64194943914067826"/>
    <n v="0.88854377049250632"/>
    <x v="1"/>
  </r>
  <r>
    <n v="228"/>
    <s v="Brown"/>
    <n v="656"/>
    <s v="Germany"/>
    <s v="Male"/>
    <n v="65"/>
    <n v="6"/>
    <n v="244926.41"/>
    <x v="2"/>
    <x v="0"/>
    <x v="1"/>
    <n v="129494.46"/>
    <x v="0"/>
    <n v="1.6191954433958382"/>
    <n v="1.1552072996951288"/>
    <x v="1"/>
  </r>
  <r>
    <n v="2"/>
    <s v="Smith"/>
    <n v="365"/>
    <s v="Spain"/>
    <s v="Female"/>
    <n v="64"/>
    <n v="3"/>
    <n v="203737.4"/>
    <x v="2"/>
    <x v="1"/>
    <x v="1"/>
    <n v="52848.11"/>
    <x v="1"/>
    <n v="1.0469072775718"/>
    <n v="-0.71774906731427013"/>
    <x v="1"/>
  </r>
  <r>
    <n v="317"/>
    <s v="Brown"/>
    <n v="586"/>
    <s v="Germany"/>
    <s v="Female"/>
    <n v="64"/>
    <n v="9"/>
    <n v="31288.48"/>
    <x v="3"/>
    <x v="0"/>
    <x v="0"/>
    <n v="111373.48"/>
    <x v="1"/>
    <n v="-1.3491317659773472"/>
    <n v="0.71239684795867964"/>
    <x v="1"/>
  </r>
  <r>
    <n v="96"/>
    <s v="Smith"/>
    <n v="696"/>
    <s v="Spain"/>
    <s v="Male"/>
    <n v="64"/>
    <n v="3"/>
    <n v="141361.44"/>
    <x v="3"/>
    <x v="1"/>
    <x v="1"/>
    <n v="147488.24"/>
    <x v="0"/>
    <n v="0.18024348206145505"/>
    <n v="1.5949094488198603"/>
    <x v="1"/>
  </r>
  <r>
    <n v="277"/>
    <s v="Taylor"/>
    <n v="739"/>
    <s v="France"/>
    <s v="Male"/>
    <n v="63"/>
    <n v="9"/>
    <n v="239749.84"/>
    <x v="1"/>
    <x v="0"/>
    <x v="0"/>
    <n v="35871.660000000003"/>
    <x v="1"/>
    <n v="1.5472711667366095"/>
    <n v="-1.1325913933574112"/>
    <x v="1"/>
  </r>
  <r>
    <n v="41"/>
    <s v="Taylor"/>
    <n v="671"/>
    <s v="Spain"/>
    <s v="Male"/>
    <n v="63"/>
    <n v="5"/>
    <n v="43010.54"/>
    <x v="2"/>
    <x v="0"/>
    <x v="1"/>
    <n v="82220.31"/>
    <x v="0"/>
    <n v="-1.1862631702747721"/>
    <n v="3.6238259901729779E-8"/>
    <x v="1"/>
  </r>
  <r>
    <n v="266"/>
    <s v="Williams"/>
    <n v="834"/>
    <s v="Spain"/>
    <s v="Female"/>
    <n v="63"/>
    <n v="4"/>
    <n v="85953.51"/>
    <x v="3"/>
    <x v="1"/>
    <x v="1"/>
    <n v="91754.31"/>
    <x v="1"/>
    <n v="-0.58960514095246774"/>
    <n v="0.23297611406933222"/>
    <x v="1"/>
  </r>
  <r>
    <n v="149"/>
    <s v="Jones"/>
    <n v="468"/>
    <s v="France"/>
    <s v="Female"/>
    <n v="63"/>
    <n v="0"/>
    <n v="99986.47"/>
    <x v="0"/>
    <x v="1"/>
    <x v="1"/>
    <n v="106009.52"/>
    <x v="0"/>
    <n v="-0.39462844839583439"/>
    <n v="0.58132129074840522"/>
    <x v="1"/>
  </r>
  <r>
    <n v="177"/>
    <s v="Moore"/>
    <n v="398"/>
    <s v="France"/>
    <s v="Female"/>
    <n v="63"/>
    <n v="2"/>
    <n v="146639.1"/>
    <x v="1"/>
    <x v="1"/>
    <x v="0"/>
    <n v="114757.22"/>
    <x v="0"/>
    <n v="0.25357232296447491"/>
    <n v="0.79508307342544216"/>
    <x v="1"/>
  </r>
  <r>
    <n v="366"/>
    <s v="Wilson"/>
    <n v="565"/>
    <s v="Germany"/>
    <s v="Male"/>
    <n v="63"/>
    <n v="7"/>
    <n v="244367.77"/>
    <x v="0"/>
    <x v="1"/>
    <x v="1"/>
    <n v="130825.14"/>
    <x v="1"/>
    <n v="1.6114335899073484"/>
    <n v="1.1877242503190275"/>
    <x v="1"/>
  </r>
  <r>
    <n v="168"/>
    <s v="Brown"/>
    <n v="496"/>
    <s v="Germany"/>
    <s v="Female"/>
    <n v="63"/>
    <n v="6"/>
    <n v="145172.32"/>
    <x v="2"/>
    <x v="0"/>
    <x v="0"/>
    <n v="139690.22"/>
    <x v="0"/>
    <n v="0.2331925945886926"/>
    <n v="1.4043543707363426"/>
    <x v="1"/>
  </r>
  <r>
    <n v="495"/>
    <s v="Smith"/>
    <n v="451"/>
    <s v="Germany"/>
    <s v="Male"/>
    <n v="62"/>
    <n v="7"/>
    <n v="38075.550000000003"/>
    <x v="3"/>
    <x v="0"/>
    <x v="1"/>
    <n v="11580.61"/>
    <x v="1"/>
    <n v="-1.2548308871356524"/>
    <n v="-1.7261757813790672"/>
    <x v="1"/>
  </r>
  <r>
    <n v="44"/>
    <s v="Brown"/>
    <n v="694"/>
    <s v="Germany"/>
    <s v="Male"/>
    <n v="62"/>
    <n v="9"/>
    <n v="689.5"/>
    <x v="2"/>
    <x v="0"/>
    <x v="0"/>
    <n v="19803.7"/>
    <x v="1"/>
    <n v="-1.7742799824624345"/>
    <n v="-1.5252335477046481"/>
    <x v="1"/>
  </r>
  <r>
    <n v="484"/>
    <s v="Williams"/>
    <n v="734"/>
    <s v="Spain"/>
    <s v="Male"/>
    <n v="62"/>
    <n v="2"/>
    <n v="239522.72"/>
    <x v="2"/>
    <x v="0"/>
    <x v="1"/>
    <n v="37534.69"/>
    <x v="1"/>
    <n v="1.5441155170081515"/>
    <n v="-1.0919530247067495"/>
    <x v="1"/>
  </r>
  <r>
    <n v="212"/>
    <s v="Taylor"/>
    <n v="450"/>
    <s v="France"/>
    <s v="Male"/>
    <n v="62"/>
    <n v="6"/>
    <n v="167423.71"/>
    <x v="0"/>
    <x v="0"/>
    <x v="1"/>
    <n v="61220.89"/>
    <x v="0"/>
    <n v="0.54235776195094121"/>
    <n v="-0.51314895771258717"/>
    <x v="1"/>
  </r>
  <r>
    <n v="239"/>
    <s v="Moore"/>
    <n v="584"/>
    <s v="Spain"/>
    <s v="Female"/>
    <n v="62"/>
    <n v="1"/>
    <n v="96431.53"/>
    <x v="2"/>
    <x v="1"/>
    <x v="1"/>
    <n v="119070.68"/>
    <x v="1"/>
    <n v="-0.4440214804744036"/>
    <n v="0.90048825411363342"/>
    <x v="1"/>
  </r>
  <r>
    <n v="71"/>
    <s v="Smith"/>
    <n v="683"/>
    <s v="France"/>
    <s v="Female"/>
    <n v="62"/>
    <n v="2"/>
    <n v="88669.440000000002"/>
    <x v="2"/>
    <x v="1"/>
    <x v="0"/>
    <n v="128437.74"/>
    <x v="0"/>
    <n v="-0.55186947801212316"/>
    <n v="1.12938492913024"/>
    <x v="1"/>
  </r>
  <r>
    <n v="447"/>
    <s v="Smith"/>
    <n v="380"/>
    <s v="France"/>
    <s v="Female"/>
    <n v="62"/>
    <n v="7"/>
    <n v="114966.17"/>
    <x v="2"/>
    <x v="0"/>
    <x v="1"/>
    <n v="136504.93"/>
    <x v="0"/>
    <n v="-0.18649756499770609"/>
    <n v="1.3265175371980023"/>
    <x v="1"/>
  </r>
  <r>
    <n v="211"/>
    <s v="Taylor"/>
    <n v="723"/>
    <s v="Germany"/>
    <s v="Female"/>
    <n v="62"/>
    <n v="6"/>
    <n v="73255.710000000006"/>
    <x v="1"/>
    <x v="1"/>
    <x v="0"/>
    <n v="146668.19"/>
    <x v="1"/>
    <n v="-0.76603085917197489"/>
    <n v="1.5748704271473861"/>
    <x v="1"/>
  </r>
  <r>
    <n v="61"/>
    <s v="Moore"/>
    <n v="442"/>
    <s v="France"/>
    <s v="Female"/>
    <n v="61"/>
    <n v="1"/>
    <n v="89085.68"/>
    <x v="1"/>
    <x v="1"/>
    <x v="1"/>
    <n v="33012.78"/>
    <x v="1"/>
    <n v="-0.5460861579919869"/>
    <n v="-1.2024519607362341"/>
    <x v="1"/>
  </r>
  <r>
    <n v="132"/>
    <s v="Miller"/>
    <n v="789"/>
    <s v="Spain"/>
    <s v="Male"/>
    <n v="61"/>
    <n v="4"/>
    <n v="166854.44"/>
    <x v="0"/>
    <x v="0"/>
    <x v="1"/>
    <n v="38147.910000000003"/>
    <x v="0"/>
    <n v="0.53444821316211033"/>
    <n v="-1.0769681715026831"/>
    <x v="1"/>
  </r>
  <r>
    <n v="54"/>
    <s v="Davis"/>
    <n v="420"/>
    <s v="Spain"/>
    <s v="Male"/>
    <n v="61"/>
    <n v="5"/>
    <n v="216419.15"/>
    <x v="0"/>
    <x v="1"/>
    <x v="1"/>
    <n v="40937.339999999997"/>
    <x v="0"/>
    <n v="1.2231099939502466"/>
    <n v="-1.0088047080262486"/>
    <x v="1"/>
  </r>
  <r>
    <n v="46"/>
    <s v="Jones"/>
    <n v="813"/>
    <s v="France"/>
    <s v="Female"/>
    <n v="61"/>
    <n v="9"/>
    <n v="92243.96"/>
    <x v="3"/>
    <x v="0"/>
    <x v="1"/>
    <n v="64920.41"/>
    <x v="0"/>
    <n v="-0.50220439758165525"/>
    <n v="-0.42274622439418885"/>
    <x v="1"/>
  </r>
  <r>
    <n v="375"/>
    <s v="Jones"/>
    <n v="807"/>
    <s v="Spain"/>
    <s v="Male"/>
    <n v="61"/>
    <n v="10"/>
    <n v="33943.949999999997"/>
    <x v="3"/>
    <x v="1"/>
    <x v="1"/>
    <n v="70802.91"/>
    <x v="1"/>
    <n v="-1.3122361461093106"/>
    <n v="-0.27899944677290894"/>
    <x v="1"/>
  </r>
  <r>
    <n v="99"/>
    <s v="Brown"/>
    <n v="428"/>
    <s v="Germany"/>
    <s v="Male"/>
    <n v="61"/>
    <n v="3"/>
    <n v="206619.49"/>
    <x v="3"/>
    <x v="0"/>
    <x v="0"/>
    <n v="102150.42"/>
    <x v="1"/>
    <n v="1.0869516000704424"/>
    <n v="0.48701900608741372"/>
    <x v="1"/>
  </r>
  <r>
    <n v="138"/>
    <s v="Williams"/>
    <n v="591"/>
    <s v="France"/>
    <s v="Male"/>
    <n v="61"/>
    <n v="7"/>
    <n v="32382.85"/>
    <x v="0"/>
    <x v="0"/>
    <x v="1"/>
    <n v="108015.6"/>
    <x v="1"/>
    <n v="-1.3339263750239632"/>
    <n v="0.63034254627760156"/>
    <x v="1"/>
  </r>
  <r>
    <n v="275"/>
    <s v="Taylor"/>
    <n v="501"/>
    <s v="France"/>
    <s v="Male"/>
    <n v="61"/>
    <n v="2"/>
    <n v="213218.12"/>
    <x v="1"/>
    <x v="1"/>
    <x v="0"/>
    <n v="140183.29"/>
    <x v="1"/>
    <n v="1.1786342566735382"/>
    <n v="1.416403197534766"/>
    <x v="1"/>
  </r>
  <r>
    <n v="67"/>
    <s v="Jones"/>
    <n v="459"/>
    <s v="Spain"/>
    <s v="Male"/>
    <n v="60"/>
    <n v="10"/>
    <n v="179198.75"/>
    <x v="3"/>
    <x v="1"/>
    <x v="1"/>
    <n v="48970.879999999997"/>
    <x v="0"/>
    <n v="0.70596247214195296"/>
    <n v="-0.8124943828427964"/>
    <x v="1"/>
  </r>
  <r>
    <n v="163"/>
    <s v="Davis"/>
    <n v="460"/>
    <s v="France"/>
    <s v="Male"/>
    <n v="60"/>
    <n v="3"/>
    <n v="163732.6"/>
    <x v="1"/>
    <x v="1"/>
    <x v="0"/>
    <n v="66914.649999999994"/>
    <x v="1"/>
    <n v="0.49107275724325933"/>
    <n v="-0.37401429514583184"/>
    <x v="1"/>
  </r>
  <r>
    <n v="450"/>
    <s v="Jones"/>
    <n v="610"/>
    <s v="France"/>
    <s v="Female"/>
    <n v="60"/>
    <n v="10"/>
    <n v="104917.3"/>
    <x v="3"/>
    <x v="0"/>
    <x v="1"/>
    <n v="72303.199999999997"/>
    <x v="0"/>
    <n v="-0.3261185313890857"/>
    <n v="-0.24233784830330771"/>
    <x v="1"/>
  </r>
  <r>
    <n v="95"/>
    <s v="Davis"/>
    <n v="746"/>
    <s v="Spain"/>
    <s v="Male"/>
    <n v="60"/>
    <n v="10"/>
    <n v="229932.49"/>
    <x v="3"/>
    <x v="1"/>
    <x v="0"/>
    <n v="81112.42"/>
    <x v="1"/>
    <n v="1.4108669845347885"/>
    <n v="-2.707274191028914E-2"/>
    <x v="1"/>
  </r>
  <r>
    <n v="120"/>
    <s v="Williams"/>
    <n v="738"/>
    <s v="Spain"/>
    <s v="Female"/>
    <n v="60"/>
    <n v="1"/>
    <n v="242524.24"/>
    <x v="3"/>
    <x v="1"/>
    <x v="0"/>
    <n v="84784.47"/>
    <x v="1"/>
    <n v="1.5858192232998094"/>
    <n v="6.2658725112952909E-2"/>
    <x v="1"/>
  </r>
  <r>
    <n v="32"/>
    <s v="Jones"/>
    <n v="806"/>
    <s v="Spain"/>
    <s v="Female"/>
    <n v="60"/>
    <n v="10"/>
    <n v="98142.26"/>
    <x v="0"/>
    <x v="0"/>
    <x v="1"/>
    <n v="88655.49"/>
    <x v="0"/>
    <n v="-0.42025226305645264"/>
    <n v="0.15725229096208637"/>
    <x v="1"/>
  </r>
  <r>
    <n v="364"/>
    <s v="Brown"/>
    <n v="763"/>
    <s v="France"/>
    <s v="Female"/>
    <n v="59"/>
    <n v="0"/>
    <n v="99046.96"/>
    <x v="0"/>
    <x v="1"/>
    <x v="0"/>
    <n v="15699.41"/>
    <x v="1"/>
    <n v="-0.40768218420238422"/>
    <n v="-1.6255273788858198"/>
    <x v="1"/>
  </r>
  <r>
    <n v="109"/>
    <s v="Williams"/>
    <n v="488"/>
    <s v="Germany"/>
    <s v="Male"/>
    <n v="59"/>
    <n v="3"/>
    <n v="122455.34"/>
    <x v="0"/>
    <x v="0"/>
    <x v="1"/>
    <n v="21425.94"/>
    <x v="0"/>
    <n v="-8.2441571351721143E-2"/>
    <n v="-1.4855919374150865"/>
    <x v="1"/>
  </r>
  <r>
    <n v="483"/>
    <s v="Johnson"/>
    <n v="550"/>
    <s v="Spain"/>
    <s v="Male"/>
    <n v="59"/>
    <n v="5"/>
    <n v="132558.04"/>
    <x v="2"/>
    <x v="1"/>
    <x v="0"/>
    <n v="55627.46"/>
    <x v="1"/>
    <n v="5.7927319594444242E-2"/>
    <n v="-0.64983192215800933"/>
    <x v="1"/>
  </r>
  <r>
    <n v="114"/>
    <s v="Jones"/>
    <n v="737"/>
    <s v="France"/>
    <s v="Female"/>
    <n v="59"/>
    <n v="1"/>
    <n v="80693.34"/>
    <x v="0"/>
    <x v="0"/>
    <x v="1"/>
    <n v="65451.93"/>
    <x v="1"/>
    <n v="-0.66269097237261176"/>
    <n v="-0.40975782027327728"/>
    <x v="1"/>
  </r>
  <r>
    <n v="108"/>
    <s v="Smith"/>
    <n v="801"/>
    <s v="Spain"/>
    <s v="Female"/>
    <n v="59"/>
    <n v="10"/>
    <n v="77661.960000000006"/>
    <x v="3"/>
    <x v="0"/>
    <x v="0"/>
    <n v="74188.759999999995"/>
    <x v="1"/>
    <n v="-0.70480955934801293"/>
    <n v="-0.19626166062603101"/>
    <x v="1"/>
  </r>
  <r>
    <n v="455"/>
    <s v="Smith"/>
    <n v="801"/>
    <s v="Spain"/>
    <s v="Female"/>
    <n v="59"/>
    <n v="8"/>
    <n v="88835.65"/>
    <x v="3"/>
    <x v="1"/>
    <x v="0"/>
    <n v="141964.46"/>
    <x v="1"/>
    <n v="-0.54956012374404017"/>
    <n v="1.4599284755450836"/>
    <x v="1"/>
  </r>
  <r>
    <n v="4"/>
    <s v="Jones"/>
    <n v="516"/>
    <s v="Germany"/>
    <s v="Female"/>
    <n v="59"/>
    <n v="0"/>
    <n v="23572.03"/>
    <x v="1"/>
    <x v="1"/>
    <x v="0"/>
    <n v="146739.54999999999"/>
    <x v="1"/>
    <n v="-1.456345632423103"/>
    <n v="1.5766142044616323"/>
    <x v="1"/>
  </r>
  <r>
    <n v="232"/>
    <s v="Davis"/>
    <n v="572"/>
    <s v="Germany"/>
    <s v="Female"/>
    <n v="58"/>
    <n v="5"/>
    <n v="180664.35"/>
    <x v="1"/>
    <x v="1"/>
    <x v="1"/>
    <n v="36108.42"/>
    <x v="1"/>
    <n v="0.7263258053668038"/>
    <n v="-1.1268058451942811"/>
    <x v="1"/>
  </r>
  <r>
    <n v="287"/>
    <s v="Moore"/>
    <n v="720"/>
    <s v="Spain"/>
    <s v="Male"/>
    <n v="58"/>
    <n v="0"/>
    <n v="11432.08"/>
    <x v="2"/>
    <x v="0"/>
    <x v="0"/>
    <n v="56250.21"/>
    <x v="0"/>
    <n v="-1.6250204735687273"/>
    <n v="-0.63461419062147684"/>
    <x v="1"/>
  </r>
  <r>
    <n v="462"/>
    <s v="Wilson"/>
    <n v="390"/>
    <s v="Spain"/>
    <s v="Female"/>
    <n v="58"/>
    <n v="2"/>
    <n v="86317.46"/>
    <x v="2"/>
    <x v="0"/>
    <x v="0"/>
    <n v="90411.33"/>
    <x v="0"/>
    <n v="-0.58454834842573145"/>
    <n v="0.20015859644760234"/>
    <x v="1"/>
  </r>
  <r>
    <n v="344"/>
    <s v="Wilson"/>
    <n v="696"/>
    <s v="France"/>
    <s v="Female"/>
    <n v="58"/>
    <n v="5"/>
    <n v="2478.15"/>
    <x v="0"/>
    <x v="1"/>
    <x v="1"/>
    <n v="118783.64"/>
    <x v="0"/>
    <n v="-1.749428129315171"/>
    <n v="0.8934740467105885"/>
    <x v="1"/>
  </r>
  <r>
    <n v="57"/>
    <s v="Brown"/>
    <n v="634"/>
    <s v="Germany"/>
    <s v="Female"/>
    <n v="57"/>
    <n v="6"/>
    <n v="147135.54"/>
    <x v="0"/>
    <x v="1"/>
    <x v="0"/>
    <n v="16131.69"/>
    <x v="0"/>
    <n v="0.26046995748013063"/>
    <n v="-1.6149640372742387"/>
    <x v="1"/>
  </r>
  <r>
    <n v="150"/>
    <s v="Smith"/>
    <n v="652"/>
    <s v="Germany"/>
    <s v="Female"/>
    <n v="57"/>
    <n v="0"/>
    <n v="7447.39"/>
    <x v="3"/>
    <x v="0"/>
    <x v="0"/>
    <n v="60175.22"/>
    <x v="0"/>
    <n v="-1.6803845362514036"/>
    <n v="-0.53870130670625371"/>
    <x v="1"/>
  </r>
  <r>
    <n v="410"/>
    <s v="Johnson"/>
    <n v="845"/>
    <s v="Germany"/>
    <s v="Female"/>
    <n v="57"/>
    <n v="3"/>
    <n v="236890.08"/>
    <x v="0"/>
    <x v="0"/>
    <x v="0"/>
    <n v="67984.02"/>
    <x v="0"/>
    <n v="1.5075371016280537"/>
    <n v="-0.34788280486366108"/>
    <x v="1"/>
  </r>
  <r>
    <n v="414"/>
    <s v="Johnson"/>
    <n v="684"/>
    <s v="Germany"/>
    <s v="Female"/>
    <n v="57"/>
    <n v="4"/>
    <n v="186325.98"/>
    <x v="0"/>
    <x v="0"/>
    <x v="0"/>
    <n v="76620.289999999994"/>
    <x v="1"/>
    <n v="0.80498960059456848"/>
    <n v="-0.13684396369624424"/>
    <x v="1"/>
  </r>
  <r>
    <n v="178"/>
    <s v="Miller"/>
    <n v="459"/>
    <s v="Spain"/>
    <s v="Male"/>
    <n v="57"/>
    <n v="10"/>
    <n v="170945.73"/>
    <x v="2"/>
    <x v="0"/>
    <x v="0"/>
    <n v="77687.86"/>
    <x v="1"/>
    <n v="0.59129339710691098"/>
    <n v="-0.1107564588283903"/>
    <x v="1"/>
  </r>
  <r>
    <n v="261"/>
    <s v="Wilson"/>
    <n v="708"/>
    <s v="Spain"/>
    <s v="Female"/>
    <n v="57"/>
    <n v="2"/>
    <n v="85692.93"/>
    <x v="1"/>
    <x v="1"/>
    <x v="1"/>
    <n v="122538.35"/>
    <x v="1"/>
    <n v="-0.59322569046920604"/>
    <n v="0.98522542170462113"/>
    <x v="1"/>
  </r>
  <r>
    <n v="222"/>
    <s v="Williams"/>
    <n v="766"/>
    <s v="Spain"/>
    <s v="Male"/>
    <n v="56"/>
    <n v="3"/>
    <n v="70283.899999999994"/>
    <x v="2"/>
    <x v="1"/>
    <x v="0"/>
    <n v="18737.27"/>
    <x v="1"/>
    <n v="-0.80732176890924567"/>
    <n v="-1.5512931951434346"/>
    <x v="1"/>
  </r>
  <r>
    <n v="102"/>
    <s v="Jones"/>
    <n v="549"/>
    <s v="Spain"/>
    <s v="Female"/>
    <n v="56"/>
    <n v="0"/>
    <n v="36824.33"/>
    <x v="1"/>
    <x v="0"/>
    <x v="1"/>
    <n v="51542.45"/>
    <x v="1"/>
    <n v="-1.2722155826853234"/>
    <n v="-0.74965462067916611"/>
    <x v="1"/>
  </r>
  <r>
    <n v="449"/>
    <s v="Taylor"/>
    <n v="369"/>
    <s v="Spain"/>
    <s v="Female"/>
    <n v="56"/>
    <n v="7"/>
    <n v="228816.63"/>
    <x v="2"/>
    <x v="1"/>
    <x v="1"/>
    <n v="52394"/>
    <x v="1"/>
    <n v="1.3953630073157099"/>
    <n v="-0.72884585425614845"/>
    <x v="1"/>
  </r>
  <r>
    <n v="412"/>
    <s v="Brown"/>
    <n v="361"/>
    <s v="France"/>
    <s v="Female"/>
    <n v="56"/>
    <n v="3"/>
    <n v="166147.69"/>
    <x v="3"/>
    <x v="1"/>
    <x v="0"/>
    <n v="56454.41"/>
    <x v="0"/>
    <n v="0.52462849034779313"/>
    <n v="-0.62962428973065399"/>
    <x v="1"/>
  </r>
  <r>
    <n v="318"/>
    <s v="Johnson"/>
    <n v="455"/>
    <s v="France"/>
    <s v="Male"/>
    <n v="56"/>
    <n v="2"/>
    <n v="184265.11"/>
    <x v="1"/>
    <x v="1"/>
    <x v="0"/>
    <n v="106046.27"/>
    <x v="0"/>
    <n v="0.7763554694925634"/>
    <n v="0.58221932629070561"/>
    <x v="1"/>
  </r>
  <r>
    <n v="397"/>
    <s v="Brown"/>
    <n v="677"/>
    <s v="France"/>
    <s v="Female"/>
    <n v="56"/>
    <n v="7"/>
    <n v="63179.37"/>
    <x v="3"/>
    <x v="0"/>
    <x v="1"/>
    <n v="121798.16"/>
    <x v="1"/>
    <n v="-0.90603349911936348"/>
    <n v="0.96713788624733332"/>
    <x v="1"/>
  </r>
  <r>
    <n v="23"/>
    <s v="Moore"/>
    <n v="524"/>
    <s v="Spain"/>
    <s v="Male"/>
    <n v="56"/>
    <n v="7"/>
    <n v="34050.82"/>
    <x v="0"/>
    <x v="0"/>
    <x v="1"/>
    <n v="130037.45"/>
    <x v="0"/>
    <n v="-1.3107512734143463"/>
    <n v="1.1684759886506031"/>
    <x v="1"/>
  </r>
  <r>
    <n v="283"/>
    <s v="Brown"/>
    <n v="612"/>
    <s v="Spain"/>
    <s v="Male"/>
    <n v="56"/>
    <n v="9"/>
    <n v="235159.65"/>
    <x v="2"/>
    <x v="0"/>
    <x v="1"/>
    <n v="132280.03"/>
    <x v="0"/>
    <n v="1.4834941685547196"/>
    <n v="1.2232764388941952"/>
    <x v="1"/>
  </r>
  <r>
    <n v="10"/>
    <s v="Brown"/>
    <n v="671"/>
    <s v="France"/>
    <s v="Female"/>
    <n v="56"/>
    <n v="7"/>
    <n v="56345.73"/>
    <x v="3"/>
    <x v="0"/>
    <x v="0"/>
    <n v="143065.1"/>
    <x v="0"/>
    <n v="-1.0009814306550275"/>
    <n v="1.4868240902193015"/>
    <x v="1"/>
  </r>
  <r>
    <n v="86"/>
    <s v="Wilson"/>
    <n v="750"/>
    <s v="Spain"/>
    <s v="Female"/>
    <n v="55"/>
    <n v="5"/>
    <n v="175912.59"/>
    <x v="3"/>
    <x v="1"/>
    <x v="1"/>
    <n v="15679.54"/>
    <x v="1"/>
    <n v="0.66030392198490084"/>
    <n v="-1.6260129289871941"/>
    <x v="1"/>
  </r>
  <r>
    <n v="170"/>
    <s v="Miller"/>
    <n v="613"/>
    <s v="Spain"/>
    <s v="Male"/>
    <n v="55"/>
    <n v="1"/>
    <n v="152640.81"/>
    <x v="0"/>
    <x v="1"/>
    <x v="0"/>
    <n v="33137.160000000003"/>
    <x v="1"/>
    <n v="0.33696125626750362"/>
    <n v="-1.1994125686069461"/>
    <x v="1"/>
  </r>
  <r>
    <n v="384"/>
    <s v="Taylor"/>
    <n v="495"/>
    <s v="Germany"/>
    <s v="Male"/>
    <n v="55"/>
    <n v="8"/>
    <n v="174803.79"/>
    <x v="1"/>
    <x v="1"/>
    <x v="1"/>
    <n v="82707.83"/>
    <x v="0"/>
    <n v="0.64489803778749755"/>
    <n v="1.191324134253988E-2"/>
    <x v="1"/>
  </r>
  <r>
    <n v="274"/>
    <s v="Smith"/>
    <n v="383"/>
    <s v="France"/>
    <s v="Male"/>
    <n v="55"/>
    <n v="10"/>
    <n v="190927.15"/>
    <x v="2"/>
    <x v="1"/>
    <x v="0"/>
    <n v="88503.02"/>
    <x v="0"/>
    <n v="0.86891915704529599"/>
    <n v="0.15352648200604443"/>
    <x v="1"/>
  </r>
  <r>
    <n v="314"/>
    <s v="Davis"/>
    <n v="363"/>
    <s v="Germany"/>
    <s v="Male"/>
    <n v="55"/>
    <n v="7"/>
    <n v="156344.54"/>
    <x v="3"/>
    <x v="0"/>
    <x v="0"/>
    <n v="90381.04"/>
    <x v="0"/>
    <n v="0.38842160572497958"/>
    <n v="0.19941841967001633"/>
    <x v="1"/>
  </r>
  <r>
    <n v="200"/>
    <s v="Jones"/>
    <n v="530"/>
    <s v="Germany"/>
    <s v="Male"/>
    <n v="55"/>
    <n v="1"/>
    <n v="205216.41"/>
    <x v="2"/>
    <x v="0"/>
    <x v="0"/>
    <n v="95781.75"/>
    <x v="0"/>
    <n v="1.0674569319610514"/>
    <n v="0.33139201242259153"/>
    <x v="1"/>
  </r>
  <r>
    <n v="400"/>
    <s v="Smith"/>
    <n v="697"/>
    <s v="Germany"/>
    <s v="Male"/>
    <n v="55"/>
    <n v="3"/>
    <n v="29981.98"/>
    <x v="1"/>
    <x v="1"/>
    <x v="0"/>
    <n v="97693.26"/>
    <x v="0"/>
    <n v="-1.3672845326655756"/>
    <n v="0.37810232315626802"/>
    <x v="1"/>
  </r>
  <r>
    <n v="29"/>
    <s v="Davis"/>
    <n v="583"/>
    <s v="Spain"/>
    <s v="Male"/>
    <n v="55"/>
    <n v="10"/>
    <n v="137337.07999999999"/>
    <x v="3"/>
    <x v="0"/>
    <x v="1"/>
    <n v="107849.47"/>
    <x v="0"/>
    <n v="0.12432823663517183"/>
    <n v="0.62628293689957792"/>
    <x v="1"/>
  </r>
  <r>
    <n v="175"/>
    <s v="Taylor"/>
    <n v="466"/>
    <s v="Germany"/>
    <s v="Female"/>
    <n v="55"/>
    <n v="7"/>
    <n v="109273.56"/>
    <x v="2"/>
    <x v="1"/>
    <x v="0"/>
    <n v="114104.65"/>
    <x v="0"/>
    <n v="-0.26559180240840319"/>
    <n v="0.77913665019172862"/>
    <x v="1"/>
  </r>
  <r>
    <n v="494"/>
    <s v="Miller"/>
    <n v="813"/>
    <s v="Germany"/>
    <s v="Male"/>
    <n v="55"/>
    <n v="10"/>
    <n v="201976.42"/>
    <x v="2"/>
    <x v="0"/>
    <x v="1"/>
    <n v="131084.15"/>
    <x v="1"/>
    <n v="1.0224398768196867"/>
    <n v="1.1940535070757954"/>
    <x v="1"/>
  </r>
  <r>
    <n v="487"/>
    <s v="Jones"/>
    <n v="717"/>
    <s v="Spain"/>
    <s v="Female"/>
    <n v="55"/>
    <n v="3"/>
    <n v="117513.1"/>
    <x v="1"/>
    <x v="0"/>
    <x v="0"/>
    <n v="143986.04"/>
    <x v="0"/>
    <n v="-0.15111002113146066"/>
    <n v="1.50932849436423"/>
    <x v="1"/>
  </r>
  <r>
    <n v="475"/>
    <s v="Jones"/>
    <n v="732"/>
    <s v="Spain"/>
    <s v="Male"/>
    <n v="55"/>
    <n v="10"/>
    <n v="31845.15"/>
    <x v="3"/>
    <x v="1"/>
    <x v="1"/>
    <n v="144035.23000000001"/>
    <x v="0"/>
    <n v="-1.3413972840543955"/>
    <n v="1.510530517992142"/>
    <x v="1"/>
  </r>
  <r>
    <n v="346"/>
    <s v="Moore"/>
    <n v="500"/>
    <s v="France"/>
    <s v="Male"/>
    <n v="54"/>
    <n v="7"/>
    <n v="56107.72"/>
    <x v="2"/>
    <x v="1"/>
    <x v="0"/>
    <n v="15514.32"/>
    <x v="1"/>
    <n v="-1.00428838817471"/>
    <n v="-1.6300503012946463"/>
    <x v="1"/>
  </r>
  <r>
    <n v="468"/>
    <s v="Johnson"/>
    <n v="840"/>
    <s v="France"/>
    <s v="Male"/>
    <n v="54"/>
    <n v="5"/>
    <n v="110774.55"/>
    <x v="3"/>
    <x v="0"/>
    <x v="0"/>
    <n v="23399.15"/>
    <x v="0"/>
    <n v="-0.244736753597562"/>
    <n v="-1.4373739044239968"/>
    <x v="1"/>
  </r>
  <r>
    <n v="419"/>
    <s v="Jones"/>
    <n v="404"/>
    <s v="France"/>
    <s v="Female"/>
    <n v="54"/>
    <n v="10"/>
    <n v="180845.4"/>
    <x v="1"/>
    <x v="0"/>
    <x v="1"/>
    <n v="67354.759999999995"/>
    <x v="0"/>
    <n v="0.72884134949914481"/>
    <n v="-0.36325961698197268"/>
    <x v="1"/>
  </r>
  <r>
    <n v="118"/>
    <s v="Brown"/>
    <n v="547"/>
    <s v="France"/>
    <s v="Male"/>
    <n v="54"/>
    <n v="6"/>
    <n v="103006.1"/>
    <x v="3"/>
    <x v="1"/>
    <x v="1"/>
    <n v="76101.240000000005"/>
    <x v="0"/>
    <n v="-0.35267311821996361"/>
    <n v="-0.14952764664130563"/>
    <x v="1"/>
  </r>
  <r>
    <n v="451"/>
    <s v="Wilson"/>
    <n v="498"/>
    <s v="Spain"/>
    <s v="Female"/>
    <n v="54"/>
    <n v="9"/>
    <n v="26944.7"/>
    <x v="0"/>
    <x v="0"/>
    <x v="0"/>
    <n v="88360.27"/>
    <x v="1"/>
    <n v="-1.4094850953956348"/>
    <n v="0.15003819428731299"/>
    <x v="1"/>
  </r>
  <r>
    <n v="70"/>
    <s v="Williams"/>
    <n v="532"/>
    <s v="Germany"/>
    <s v="Male"/>
    <n v="54"/>
    <n v="7"/>
    <n v="146834.15"/>
    <x v="3"/>
    <x v="1"/>
    <x v="1"/>
    <n v="99812.42"/>
    <x v="0"/>
    <n v="0.25628238583668217"/>
    <n v="0.42988684015820805"/>
    <x v="1"/>
  </r>
  <r>
    <n v="81"/>
    <s v="Brown"/>
    <n v="631"/>
    <s v="France"/>
    <s v="Male"/>
    <n v="54"/>
    <n v="10"/>
    <n v="68959.39"/>
    <x v="2"/>
    <x v="0"/>
    <x v="0"/>
    <n v="101131.11"/>
    <x v="1"/>
    <n v="-0.82572477006211609"/>
    <n v="0.46211079905007474"/>
    <x v="1"/>
  </r>
  <r>
    <n v="489"/>
    <s v="Wilson"/>
    <n v="760"/>
    <s v="France"/>
    <s v="Male"/>
    <n v="54"/>
    <n v="5"/>
    <n v="200253.42"/>
    <x v="1"/>
    <x v="1"/>
    <x v="1"/>
    <n v="105135.87"/>
    <x v="1"/>
    <n v="0.99850017762043886"/>
    <n v="0.55997248118294285"/>
    <x v="1"/>
  </r>
  <r>
    <n v="446"/>
    <s v="Jones"/>
    <n v="500"/>
    <s v="Germany"/>
    <s v="Male"/>
    <n v="54"/>
    <n v="0"/>
    <n v="43219.63"/>
    <x v="1"/>
    <x v="0"/>
    <x v="1"/>
    <n v="148736.87"/>
    <x v="0"/>
    <n v="-1.1833580328948705"/>
    <n v="1.6254213976411538"/>
    <x v="1"/>
  </r>
  <r>
    <n v="92"/>
    <s v="Taylor"/>
    <n v="735"/>
    <s v="France"/>
    <s v="Male"/>
    <n v="53"/>
    <n v="10"/>
    <n v="247280.33"/>
    <x v="2"/>
    <x v="1"/>
    <x v="0"/>
    <n v="54977.06"/>
    <x v="1"/>
    <n v="1.6519012685491137"/>
    <n v="-0.66572531853112971"/>
    <x v="1"/>
  </r>
  <r>
    <n v="291"/>
    <s v="Moore"/>
    <n v="528"/>
    <s v="France"/>
    <s v="Female"/>
    <n v="53"/>
    <n v="6"/>
    <n v="130816.43"/>
    <x v="2"/>
    <x v="0"/>
    <x v="0"/>
    <n v="57363.12"/>
    <x v="1"/>
    <n v="3.3729049413131033E-2"/>
    <n v="-0.60741874203966661"/>
    <x v="1"/>
  </r>
  <r>
    <n v="416"/>
    <s v="Wilson"/>
    <n v="636"/>
    <s v="France"/>
    <s v="Female"/>
    <n v="53"/>
    <n v="3"/>
    <n v="196579.74"/>
    <x v="3"/>
    <x v="1"/>
    <x v="0"/>
    <n v="58389.15"/>
    <x v="0"/>
    <n v="0.94745734874388987"/>
    <n v="-0.58234632278887832"/>
    <x v="1"/>
  </r>
  <r>
    <n v="305"/>
    <s v="Brown"/>
    <n v="429"/>
    <s v="France"/>
    <s v="Male"/>
    <n v="53"/>
    <n v="9"/>
    <n v="187975.23"/>
    <x v="1"/>
    <x v="1"/>
    <x v="0"/>
    <n v="137236.54"/>
    <x v="0"/>
    <n v="0.82790460286059275"/>
    <n v="1.3443954088470471"/>
    <x v="1"/>
  </r>
  <r>
    <n v="348"/>
    <s v="Moore"/>
    <n v="739"/>
    <s v="Spain"/>
    <s v="Female"/>
    <n v="53"/>
    <n v="1"/>
    <n v="221804.74"/>
    <x v="3"/>
    <x v="0"/>
    <x v="1"/>
    <n v="140925.68"/>
    <x v="1"/>
    <n v="1.2979384353956778"/>
    <n v="1.434544492942885"/>
    <x v="1"/>
  </r>
  <r>
    <n v="470"/>
    <s v="Williams"/>
    <n v="379"/>
    <s v="Spain"/>
    <s v="Female"/>
    <n v="52"/>
    <n v="6"/>
    <n v="159259.26"/>
    <x v="3"/>
    <x v="1"/>
    <x v="1"/>
    <n v="50254.16"/>
    <x v="1"/>
    <n v="0.42891929582946714"/>
    <n v="-0.78113571479590527"/>
    <x v="1"/>
  </r>
  <r>
    <n v="142"/>
    <s v="Moore"/>
    <n v="396"/>
    <s v="Germany"/>
    <s v="Male"/>
    <n v="52"/>
    <n v="9"/>
    <n v="227146.67"/>
    <x v="3"/>
    <x v="0"/>
    <x v="0"/>
    <n v="57655.65"/>
    <x v="0"/>
    <n v="1.3721602562566408"/>
    <n v="-0.60027037912295556"/>
    <x v="1"/>
  </r>
  <r>
    <n v="66"/>
    <s v="Taylor"/>
    <n v="547"/>
    <s v="Germany"/>
    <s v="Female"/>
    <n v="52"/>
    <n v="4"/>
    <n v="226630.81"/>
    <x v="2"/>
    <x v="0"/>
    <x v="0"/>
    <n v="103458.26"/>
    <x v="1"/>
    <n v="1.3649927964603992"/>
    <n v="0.51897783067631542"/>
    <x v="1"/>
  </r>
  <r>
    <n v="421"/>
    <s v="Miller"/>
    <n v="513"/>
    <s v="Germany"/>
    <s v="Male"/>
    <n v="52"/>
    <n v="4"/>
    <n v="64929.13"/>
    <x v="3"/>
    <x v="1"/>
    <x v="1"/>
    <n v="117045.7"/>
    <x v="1"/>
    <n v="-0.88172199124305706"/>
    <n v="0.85100515173411129"/>
    <x v="1"/>
  </r>
  <r>
    <n v="217"/>
    <s v="Taylor"/>
    <n v="362"/>
    <s v="Spain"/>
    <s v="Female"/>
    <n v="52"/>
    <n v="0"/>
    <n v="146945.31"/>
    <x v="0"/>
    <x v="1"/>
    <x v="0"/>
    <n v="125091.68"/>
    <x v="1"/>
    <n v="0.25782686463121984"/>
    <n v="1.0476194650031747"/>
    <x v="1"/>
  </r>
  <r>
    <n v="171"/>
    <s v="Davis"/>
    <n v="481"/>
    <s v="Germany"/>
    <s v="Female"/>
    <n v="51"/>
    <n v="2"/>
    <n v="139747.91"/>
    <x v="0"/>
    <x v="1"/>
    <x v="1"/>
    <n v="88266.73"/>
    <x v="1"/>
    <n v="0.15782478046600376"/>
    <n v="0.14775241892331883"/>
    <x v="1"/>
  </r>
  <r>
    <n v="179"/>
    <s v="Miller"/>
    <n v="816"/>
    <s v="Germany"/>
    <s v="Female"/>
    <n v="51"/>
    <n v="9"/>
    <n v="55692.78"/>
    <x v="3"/>
    <x v="0"/>
    <x v="0"/>
    <n v="138662.49"/>
    <x v="0"/>
    <n v="-1.0100536457404303"/>
    <n v="1.3792404097053661"/>
    <x v="1"/>
  </r>
  <r>
    <n v="273"/>
    <s v="Williams"/>
    <n v="468"/>
    <s v="France"/>
    <s v="Male"/>
    <n v="50"/>
    <n v="4"/>
    <n v="36270.720000000001"/>
    <x v="0"/>
    <x v="0"/>
    <x v="0"/>
    <n v="48088.94"/>
    <x v="0"/>
    <n v="-1.2799075483694184"/>
    <n v="-0.8340457696775283"/>
    <x v="2"/>
  </r>
  <r>
    <n v="143"/>
    <s v="Moore"/>
    <n v="846"/>
    <s v="France"/>
    <s v="Male"/>
    <n v="50"/>
    <n v="5"/>
    <n v="164636.07"/>
    <x v="0"/>
    <x v="1"/>
    <x v="0"/>
    <n v="70775.05"/>
    <x v="1"/>
    <n v="0.50362574623661083"/>
    <n v="-0.27968024324116714"/>
    <x v="2"/>
  </r>
  <r>
    <n v="285"/>
    <s v="Jones"/>
    <n v="772"/>
    <s v="Spain"/>
    <s v="Male"/>
    <n v="50"/>
    <n v="1"/>
    <n v="135560.49"/>
    <x v="1"/>
    <x v="0"/>
    <x v="0"/>
    <n v="111365.93"/>
    <x v="0"/>
    <n v="9.9643947488107454E-2"/>
    <n v="0.71221235358196211"/>
    <x v="2"/>
  </r>
  <r>
    <n v="338"/>
    <s v="Taylor"/>
    <n v="412"/>
    <s v="Spain"/>
    <s v="Male"/>
    <n v="50"/>
    <n v="7"/>
    <n v="57433.4"/>
    <x v="2"/>
    <x v="1"/>
    <x v="0"/>
    <n v="125784.2"/>
    <x v="0"/>
    <n v="-0.98586913081286487"/>
    <n v="1.0645421200713072"/>
    <x v="2"/>
  </r>
  <r>
    <n v="47"/>
    <s v="Williams"/>
    <n v="353"/>
    <s v="Germany"/>
    <s v="Female"/>
    <n v="50"/>
    <n v="4"/>
    <n v="35813.31"/>
    <x v="0"/>
    <x v="0"/>
    <x v="0"/>
    <n v="133876.07999999999"/>
    <x v="1"/>
    <n v="-1.2862628924267185"/>
    <n v="1.2622780614054476"/>
    <x v="2"/>
  </r>
  <r>
    <n v="103"/>
    <s v="Williams"/>
    <n v="651"/>
    <s v="Spain"/>
    <s v="Male"/>
    <n v="49"/>
    <n v="10"/>
    <n v="100461.13"/>
    <x v="1"/>
    <x v="0"/>
    <x v="0"/>
    <n v="30554.85"/>
    <x v="1"/>
    <n v="-0.3880334294626277"/>
    <n v="-1.2625147770759999"/>
    <x v="2"/>
  </r>
  <r>
    <n v="408"/>
    <s v="Johnson"/>
    <n v="505"/>
    <s v="France"/>
    <s v="Male"/>
    <n v="49"/>
    <n v="7"/>
    <n v="83107.39"/>
    <x v="2"/>
    <x v="0"/>
    <x v="1"/>
    <n v="41989.11"/>
    <x v="1"/>
    <n v="-0.62914968923161085"/>
    <n v="-0.98310329735073054"/>
    <x v="2"/>
  </r>
  <r>
    <n v="409"/>
    <s v="Williams"/>
    <n v="397"/>
    <s v="France"/>
    <s v="Male"/>
    <n v="49"/>
    <n v="10"/>
    <n v="232252.83"/>
    <x v="3"/>
    <x v="0"/>
    <x v="1"/>
    <n v="44531.43"/>
    <x v="1"/>
    <n v="1.4431062425962993"/>
    <n v="-0.92097829816974763"/>
    <x v="2"/>
  </r>
  <r>
    <n v="65"/>
    <s v="Taylor"/>
    <n v="729"/>
    <s v="Spain"/>
    <s v="Male"/>
    <n v="49"/>
    <n v="6"/>
    <n v="139224.43"/>
    <x v="0"/>
    <x v="1"/>
    <x v="1"/>
    <n v="68374.880000000005"/>
    <x v="0"/>
    <n v="0.15055144689849209"/>
    <n v="-0.33833161650819088"/>
    <x v="2"/>
  </r>
  <r>
    <n v="405"/>
    <s v="Jones"/>
    <n v="508"/>
    <s v="Germany"/>
    <s v="Male"/>
    <n v="49"/>
    <n v="5"/>
    <n v="220856.36"/>
    <x v="1"/>
    <x v="0"/>
    <x v="1"/>
    <n v="84471.69"/>
    <x v="0"/>
    <n v="1.2847614580732267"/>
    <n v="5.5015526285178369E-2"/>
    <x v="2"/>
  </r>
  <r>
    <n v="328"/>
    <s v="Williams"/>
    <n v="797"/>
    <s v="Spain"/>
    <s v="Female"/>
    <n v="49"/>
    <n v="8"/>
    <n v="230551.53"/>
    <x v="3"/>
    <x v="1"/>
    <x v="1"/>
    <n v="127716.72"/>
    <x v="0"/>
    <n v="1.4194680474438441"/>
    <n v="1.1117658383354256"/>
    <x v="2"/>
  </r>
  <r>
    <n v="28"/>
    <s v="Jones"/>
    <n v="574"/>
    <s v="France"/>
    <s v="Male"/>
    <n v="49"/>
    <n v="4"/>
    <n v="47828.14"/>
    <x v="2"/>
    <x v="1"/>
    <x v="0"/>
    <n v="129087.2"/>
    <x v="1"/>
    <n v="-1.1193264930476698"/>
    <n v="1.1452553553425502"/>
    <x v="2"/>
  </r>
  <r>
    <n v="124"/>
    <s v="Miller"/>
    <n v="700"/>
    <s v="France"/>
    <s v="Male"/>
    <n v="49"/>
    <n v="0"/>
    <n v="64161.88"/>
    <x v="1"/>
    <x v="1"/>
    <x v="1"/>
    <n v="141665.95000000001"/>
    <x v="0"/>
    <n v="-0.89238231289751035"/>
    <n v="1.4526339833074762"/>
    <x v="2"/>
  </r>
  <r>
    <n v="208"/>
    <s v="Jones"/>
    <n v="583"/>
    <s v="France"/>
    <s v="Female"/>
    <n v="48"/>
    <n v="10"/>
    <n v="111620.9"/>
    <x v="1"/>
    <x v="1"/>
    <x v="1"/>
    <n v="10423.709999999999"/>
    <x v="0"/>
    <n v="-0.23297740106286477"/>
    <n v="-1.7544461846140966"/>
    <x v="2"/>
  </r>
  <r>
    <n v="399"/>
    <s v="Smith"/>
    <n v="629"/>
    <s v="Germany"/>
    <s v="Female"/>
    <n v="48"/>
    <n v="4"/>
    <n v="234503.75"/>
    <x v="1"/>
    <x v="1"/>
    <x v="0"/>
    <n v="64388.61"/>
    <x v="1"/>
    <n v="1.4743809655919879"/>
    <n v="-0.43574147069066094"/>
    <x v="2"/>
  </r>
  <r>
    <n v="269"/>
    <s v="Taylor"/>
    <n v="544"/>
    <s v="Germany"/>
    <s v="Male"/>
    <n v="48"/>
    <n v="1"/>
    <n v="189398.99"/>
    <x v="3"/>
    <x v="1"/>
    <x v="1"/>
    <n v="106385.78"/>
    <x v="0"/>
    <n v="0.84768660293715736"/>
    <n v="0.59051570852108382"/>
    <x v="2"/>
  </r>
  <r>
    <n v="48"/>
    <s v="Wilson"/>
    <n v="538"/>
    <s v="Germany"/>
    <s v="Female"/>
    <n v="48"/>
    <n v="6"/>
    <n v="217182.14"/>
    <x v="3"/>
    <x v="0"/>
    <x v="1"/>
    <n v="110877.22"/>
    <x v="0"/>
    <n v="1.2337111263309979"/>
    <n v="0.70027006923155077"/>
    <x v="2"/>
  </r>
  <r>
    <n v="160"/>
    <s v="Smith"/>
    <n v="713"/>
    <s v="Germany"/>
    <s v="Female"/>
    <n v="48"/>
    <n v="8"/>
    <n v="16907.88"/>
    <x v="2"/>
    <x v="0"/>
    <x v="0"/>
    <n v="113646.28"/>
    <x v="0"/>
    <n v="-1.5489386367287723"/>
    <n v="0.76793576443596745"/>
    <x v="2"/>
  </r>
  <r>
    <n v="289"/>
    <s v="Smith"/>
    <n v="732"/>
    <s v="France"/>
    <s v="Female"/>
    <n v="48"/>
    <n v="7"/>
    <n v="218144.92"/>
    <x v="0"/>
    <x v="1"/>
    <x v="1"/>
    <n v="130492.75"/>
    <x v="0"/>
    <n v="1.2470881800715969"/>
    <n v="1.1796018548386131"/>
    <x v="2"/>
  </r>
  <r>
    <n v="464"/>
    <s v="Jones"/>
    <n v="559"/>
    <s v="France"/>
    <s v="Female"/>
    <n v="47"/>
    <n v="4"/>
    <n v="88260.36"/>
    <x v="2"/>
    <x v="0"/>
    <x v="1"/>
    <n v="16813.419999999998"/>
    <x v="0"/>
    <n v="-0.55755331559101362"/>
    <n v="-1.598305050328594"/>
    <x v="2"/>
  </r>
  <r>
    <n v="281"/>
    <s v="Brown"/>
    <n v="356"/>
    <s v="France"/>
    <s v="Female"/>
    <n v="47"/>
    <n v="6"/>
    <n v="97557.6"/>
    <x v="2"/>
    <x v="0"/>
    <x v="1"/>
    <n v="21082.35"/>
    <x v="0"/>
    <n v="-0.42837564351717933"/>
    <n v="-1.4939880199179165"/>
    <x v="2"/>
  </r>
  <r>
    <n v="262"/>
    <s v="Miller"/>
    <n v="370"/>
    <s v="Germany"/>
    <s v="Male"/>
    <n v="47"/>
    <n v="4"/>
    <n v="20999.24"/>
    <x v="2"/>
    <x v="1"/>
    <x v="1"/>
    <n v="33647.800000000003"/>
    <x v="0"/>
    <n v="-1.4920924801902724"/>
    <n v="-1.186934395292109"/>
    <x v="2"/>
  </r>
  <r>
    <n v="188"/>
    <s v="Miller"/>
    <n v="424"/>
    <s v="Germany"/>
    <s v="Male"/>
    <n v="47"/>
    <n v="6"/>
    <n v="163549.64000000001"/>
    <x v="1"/>
    <x v="1"/>
    <x v="0"/>
    <n v="33745.43"/>
    <x v="0"/>
    <n v="0.48853067519712223"/>
    <n v="-1.1845486752922509"/>
    <x v="2"/>
  </r>
  <r>
    <n v="125"/>
    <s v="Moore"/>
    <n v="502"/>
    <s v="Germany"/>
    <s v="Female"/>
    <n v="47"/>
    <n v="2"/>
    <n v="185255.98"/>
    <x v="2"/>
    <x v="0"/>
    <x v="1"/>
    <n v="48022.06"/>
    <x v="0"/>
    <n v="0.79012281119050853"/>
    <n v="-0.83568007218280871"/>
    <x v="2"/>
  </r>
  <r>
    <n v="278"/>
    <s v="Smith"/>
    <n v="388"/>
    <s v="France"/>
    <s v="Female"/>
    <n v="47"/>
    <n v="2"/>
    <n v="176592.7"/>
    <x v="0"/>
    <x v="0"/>
    <x v="0"/>
    <n v="75036.289999999994"/>
    <x v="0"/>
    <n v="0.66975350342564433"/>
    <n v="-0.17555112829498754"/>
    <x v="2"/>
  </r>
  <r>
    <n v="246"/>
    <s v="Wilson"/>
    <n v="561"/>
    <s v="Germany"/>
    <s v="Male"/>
    <n v="47"/>
    <n v="8"/>
    <n v="177892.9"/>
    <x v="1"/>
    <x v="0"/>
    <x v="0"/>
    <n v="78723.149999999994"/>
    <x v="0"/>
    <n v="0.68781873668093263"/>
    <n v="-8.5457759057283797E-2"/>
    <x v="2"/>
  </r>
  <r>
    <n v="216"/>
    <s v="Jones"/>
    <n v="360"/>
    <s v="Germany"/>
    <s v="Female"/>
    <n v="47"/>
    <n v="10"/>
    <n v="160567.84"/>
    <x v="3"/>
    <x v="1"/>
    <x v="0"/>
    <n v="96310.13"/>
    <x v="0"/>
    <n v="0.44710096244476122"/>
    <n v="0.34430368643186182"/>
    <x v="2"/>
  </r>
  <r>
    <n v="158"/>
    <s v="Davis"/>
    <n v="524"/>
    <s v="Spain"/>
    <s v="Male"/>
    <n v="47"/>
    <n v="1"/>
    <n v="95799.03"/>
    <x v="0"/>
    <x v="0"/>
    <x v="1"/>
    <n v="105598.56"/>
    <x v="1"/>
    <n v="-0.45280955925764466"/>
    <n v="0.57127893193306445"/>
    <x v="2"/>
  </r>
  <r>
    <n v="296"/>
    <s v="Brown"/>
    <n v="359"/>
    <s v="Spain"/>
    <s v="Female"/>
    <n v="47"/>
    <n v="6"/>
    <n v="71875.839999999997"/>
    <x v="1"/>
    <x v="0"/>
    <x v="1"/>
    <n v="112038.87"/>
    <x v="1"/>
    <n v="-0.78520304299905941"/>
    <n v="0.7286565450876934"/>
    <x v="2"/>
  </r>
  <r>
    <n v="334"/>
    <s v="Smith"/>
    <n v="702"/>
    <s v="Spain"/>
    <s v="Female"/>
    <n v="47"/>
    <n v="0"/>
    <n v="189373.41"/>
    <x v="0"/>
    <x v="1"/>
    <x v="1"/>
    <n v="117202.4"/>
    <x v="0"/>
    <n v="0.84733118941103058"/>
    <n v="0.85483432641379753"/>
    <x v="2"/>
  </r>
  <r>
    <n v="480"/>
    <s v="Brown"/>
    <n v="507"/>
    <s v="France"/>
    <s v="Male"/>
    <n v="47"/>
    <n v="1"/>
    <n v="167352.03"/>
    <x v="1"/>
    <x v="0"/>
    <x v="1"/>
    <n v="124013.91"/>
    <x v="1"/>
    <n v="0.54136182600282634"/>
    <n v="1.0212827094541927"/>
    <x v="2"/>
  </r>
  <r>
    <n v="189"/>
    <s v="Jones"/>
    <n v="434"/>
    <s v="Spain"/>
    <s v="Male"/>
    <n v="46"/>
    <n v="6"/>
    <n v="229121.35"/>
    <x v="3"/>
    <x v="1"/>
    <x v="0"/>
    <n v="14185.62"/>
    <x v="1"/>
    <n v="1.3995968466308548"/>
    <n v="-1.6625188679627971"/>
    <x v="2"/>
  </r>
  <r>
    <n v="98"/>
    <s v="Williams"/>
    <n v="788"/>
    <s v="Germany"/>
    <s v="Male"/>
    <n v="46"/>
    <n v="0"/>
    <n v="126692.44"/>
    <x v="1"/>
    <x v="1"/>
    <x v="1"/>
    <n v="27793.35"/>
    <x v="1"/>
    <n v="-2.3570474731214004E-2"/>
    <n v="-1.3299957335402863"/>
    <x v="2"/>
  </r>
  <r>
    <n v="423"/>
    <s v="Williams"/>
    <n v="715"/>
    <s v="France"/>
    <s v="Female"/>
    <n v="46"/>
    <n v="6"/>
    <n v="121208.33"/>
    <x v="1"/>
    <x v="1"/>
    <x v="0"/>
    <n v="32556.34"/>
    <x v="0"/>
    <n v="-9.9767772337475122E-2"/>
    <n v="-1.2136056843533114"/>
    <x v="2"/>
  </r>
  <r>
    <n v="76"/>
    <s v="Brown"/>
    <n v="587"/>
    <s v="Spain"/>
    <s v="Female"/>
    <n v="46"/>
    <n v="4"/>
    <n v="88638.62"/>
    <x v="3"/>
    <x v="1"/>
    <x v="0"/>
    <n v="60075.81"/>
    <x v="1"/>
    <n v="-0.55229769712374299"/>
    <n v="-0.54113052339360301"/>
    <x v="2"/>
  </r>
  <r>
    <n v="91"/>
    <s v="Davis"/>
    <n v="733"/>
    <s v="France"/>
    <s v="Female"/>
    <n v="46"/>
    <n v="6"/>
    <n v="15556.14"/>
    <x v="3"/>
    <x v="1"/>
    <x v="1"/>
    <n v="101797.2"/>
    <x v="1"/>
    <n v="-1.5677199768306826"/>
    <n v="0.47838760161798938"/>
    <x v="2"/>
  </r>
  <r>
    <n v="82"/>
    <s v="Brown"/>
    <n v="371"/>
    <s v="Germany"/>
    <s v="Female"/>
    <n v="46"/>
    <n v="8"/>
    <n v="55186.57"/>
    <x v="3"/>
    <x v="1"/>
    <x v="0"/>
    <n v="117137.04"/>
    <x v="1"/>
    <n v="-1.0170870265481213"/>
    <n v="0.8532371671472736"/>
    <x v="2"/>
  </r>
  <r>
    <n v="363"/>
    <s v="Brown"/>
    <n v="430"/>
    <s v="Spain"/>
    <s v="Female"/>
    <n v="45"/>
    <n v="9"/>
    <n v="226048.06"/>
    <x v="0"/>
    <x v="1"/>
    <x v="1"/>
    <n v="13741.1"/>
    <x v="0"/>
    <n v="1.3568959539134684"/>
    <n v="-1.6733813103917321"/>
    <x v="2"/>
  </r>
  <r>
    <n v="280"/>
    <s v="Smith"/>
    <n v="616"/>
    <s v="France"/>
    <s v="Male"/>
    <n v="45"/>
    <n v="9"/>
    <n v="9477.92"/>
    <x v="2"/>
    <x v="1"/>
    <x v="1"/>
    <n v="23547.86"/>
    <x v="0"/>
    <n v="-1.6521719550470804"/>
    <n v="-1.4337399761111944"/>
    <x v="2"/>
  </r>
  <r>
    <n v="247"/>
    <s v="Jones"/>
    <n v="651"/>
    <s v="Spain"/>
    <s v="Female"/>
    <n v="45"/>
    <n v="2"/>
    <n v="114118.16"/>
    <x v="0"/>
    <x v="0"/>
    <x v="0"/>
    <n v="36850.699999999997"/>
    <x v="1"/>
    <n v="-0.19827998189727319"/>
    <n v="-1.1086672377837032"/>
    <x v="2"/>
  </r>
  <r>
    <n v="379"/>
    <s v="Miller"/>
    <n v="605"/>
    <s v="Spain"/>
    <s v="Female"/>
    <n v="45"/>
    <n v="0"/>
    <n v="25176.02"/>
    <x v="1"/>
    <x v="0"/>
    <x v="1"/>
    <n v="47799.89"/>
    <x v="1"/>
    <n v="-1.4340594814546748"/>
    <n v="-0.84110909412656043"/>
    <x v="2"/>
  </r>
  <r>
    <n v="439"/>
    <s v="Wilson"/>
    <n v="735"/>
    <s v="Spain"/>
    <s v="Female"/>
    <n v="45"/>
    <n v="10"/>
    <n v="137629.67000000001"/>
    <x v="0"/>
    <x v="0"/>
    <x v="1"/>
    <n v="63609.91"/>
    <x v="1"/>
    <n v="0.12839353935641881"/>
    <n v="-0.45477004965091428"/>
    <x v="2"/>
  </r>
  <r>
    <n v="195"/>
    <s v="Brown"/>
    <n v="392"/>
    <s v="Spain"/>
    <s v="Male"/>
    <n v="45"/>
    <n v="9"/>
    <n v="233110.85"/>
    <x v="1"/>
    <x v="0"/>
    <x v="0"/>
    <n v="72202.649999999994"/>
    <x v="0"/>
    <n v="1.455027740394871"/>
    <n v="-0.24479492241972423"/>
    <x v="2"/>
  </r>
  <r>
    <n v="139"/>
    <s v="Jones"/>
    <n v="485"/>
    <s v="Spain"/>
    <s v="Female"/>
    <n v="45"/>
    <n v="10"/>
    <n v="134925.82999999999"/>
    <x v="1"/>
    <x v="1"/>
    <x v="0"/>
    <n v="103143.51"/>
    <x v="0"/>
    <n v="9.0825857242144134E-2"/>
    <n v="0.51128649225620526"/>
    <x v="2"/>
  </r>
  <r>
    <n v="434"/>
    <s v="Johnson"/>
    <n v="702"/>
    <s v="France"/>
    <s v="Male"/>
    <n v="45"/>
    <n v="4"/>
    <n v="143858.20000000001"/>
    <x v="2"/>
    <x v="0"/>
    <x v="1"/>
    <n v="111156.24"/>
    <x v="0"/>
    <n v="0.21493395412919425"/>
    <n v="0.70708829717747346"/>
    <x v="2"/>
  </r>
  <r>
    <n v="279"/>
    <s v="Miller"/>
    <n v="607"/>
    <s v="Spain"/>
    <s v="Female"/>
    <n v="45"/>
    <n v="2"/>
    <n v="72836.13"/>
    <x v="2"/>
    <x v="1"/>
    <x v="1"/>
    <n v="127236.12"/>
    <x v="0"/>
    <n v="-0.77186058580576511"/>
    <n v="1.1000217327128521"/>
    <x v="2"/>
  </r>
  <r>
    <n v="94"/>
    <s v="Smith"/>
    <n v="548"/>
    <s v="Germany"/>
    <s v="Female"/>
    <n v="44"/>
    <n v="3"/>
    <n v="107973.28"/>
    <x v="1"/>
    <x v="0"/>
    <x v="0"/>
    <n v="27995.72"/>
    <x v="1"/>
    <n v="-0.28365814719934812"/>
    <n v="-1.3250505511540187"/>
    <x v="2"/>
  </r>
  <r>
    <n v="128"/>
    <s v="Smith"/>
    <n v="774"/>
    <s v="Spain"/>
    <s v="Female"/>
    <n v="44"/>
    <n v="7"/>
    <n v="151801.15"/>
    <x v="1"/>
    <x v="0"/>
    <x v="0"/>
    <n v="36575.879999999997"/>
    <x v="0"/>
    <n v="0.32529485590207086"/>
    <n v="-1.1153828330962201"/>
    <x v="2"/>
  </r>
  <r>
    <n v="372"/>
    <s v="Taylor"/>
    <n v="673"/>
    <s v="France"/>
    <s v="Male"/>
    <n v="44"/>
    <n v="0"/>
    <n v="42307.27"/>
    <x v="0"/>
    <x v="1"/>
    <x v="0"/>
    <n v="91193.31"/>
    <x v="0"/>
    <n v="-1.1960345412880367"/>
    <n v="0.2192673266072773"/>
    <x v="2"/>
  </r>
  <r>
    <n v="299"/>
    <s v="Brown"/>
    <n v="739"/>
    <s v="Germany"/>
    <s v="Female"/>
    <n v="44"/>
    <n v="4"/>
    <n v="8330.89"/>
    <x v="1"/>
    <x v="0"/>
    <x v="1"/>
    <n v="102035.16"/>
    <x v="0"/>
    <n v="-1.6681090143462756"/>
    <n v="0.48420247339066441"/>
    <x v="2"/>
  </r>
  <r>
    <n v="383"/>
    <s v="Johnson"/>
    <n v="398"/>
    <s v="France"/>
    <s v="Female"/>
    <n v="44"/>
    <n v="1"/>
    <n v="27423.79"/>
    <x v="1"/>
    <x v="1"/>
    <x v="1"/>
    <n v="103883.72"/>
    <x v="0"/>
    <n v="-1.4028285251754562"/>
    <n v="0.52937451644031897"/>
    <x v="2"/>
  </r>
  <r>
    <n v="45"/>
    <s v="Wilson"/>
    <n v="640"/>
    <s v="Spain"/>
    <s v="Female"/>
    <n v="44"/>
    <n v="1"/>
    <n v="133364.17000000001"/>
    <x v="0"/>
    <x v="1"/>
    <x v="0"/>
    <n v="124490.71"/>
    <x v="1"/>
    <n v="6.9127847577897458E-2"/>
    <n v="1.0329339569798752"/>
    <x v="2"/>
  </r>
  <r>
    <n v="361"/>
    <s v="Wilson"/>
    <n v="485"/>
    <s v="Spain"/>
    <s v="Female"/>
    <n v="44"/>
    <n v="8"/>
    <n v="45468.26"/>
    <x v="3"/>
    <x v="1"/>
    <x v="1"/>
    <n v="132665.07999999999"/>
    <x v="1"/>
    <n v="-1.1521151276073458"/>
    <n v="1.232685652106787"/>
    <x v="2"/>
  </r>
  <r>
    <n v="196"/>
    <s v="Miller"/>
    <n v="848"/>
    <s v="Spain"/>
    <s v="Female"/>
    <n v="44"/>
    <n v="3"/>
    <n v="249802"/>
    <x v="1"/>
    <x v="1"/>
    <x v="0"/>
    <n v="139671.38"/>
    <x v="0"/>
    <n v="1.6869378450318577"/>
    <n v="1.4038939900664942"/>
    <x v="2"/>
  </r>
  <r>
    <n v="38"/>
    <s v="Wilson"/>
    <n v="505"/>
    <s v="Spain"/>
    <s v="Male"/>
    <n v="43"/>
    <n v="9"/>
    <n v="190574.23"/>
    <x v="1"/>
    <x v="1"/>
    <x v="0"/>
    <n v="22363.52"/>
    <x v="1"/>
    <n v="0.86401561749718325"/>
    <n v="-1.4626809125511411"/>
    <x v="2"/>
  </r>
  <r>
    <n v="427"/>
    <s v="Brown"/>
    <n v="418"/>
    <s v="Germany"/>
    <s v="Female"/>
    <n v="43"/>
    <n v="7"/>
    <n v="205080.33"/>
    <x v="2"/>
    <x v="0"/>
    <x v="1"/>
    <n v="22885.14"/>
    <x v="0"/>
    <n v="1.0655662098095517"/>
    <n v="-1.4499344282089717"/>
    <x v="2"/>
  </r>
  <r>
    <n v="165"/>
    <s v="Johnson"/>
    <n v="682"/>
    <s v="Spain"/>
    <s v="Female"/>
    <n v="43"/>
    <n v="9"/>
    <n v="197321.37"/>
    <x v="0"/>
    <x v="0"/>
    <x v="0"/>
    <n v="28096.07"/>
    <x v="0"/>
    <n v="0.95776170110438807"/>
    <n v="-1.3225983643058596"/>
    <x v="2"/>
  </r>
  <r>
    <n v="443"/>
    <s v="Miller"/>
    <n v="814"/>
    <s v="Spain"/>
    <s v="Male"/>
    <n v="43"/>
    <n v="9"/>
    <n v="144405.5"/>
    <x v="1"/>
    <x v="0"/>
    <x v="1"/>
    <n v="30241.09"/>
    <x v="0"/>
    <n v="0.22253824743839226"/>
    <n v="-1.2701819235182359"/>
    <x v="2"/>
  </r>
  <r>
    <n v="167"/>
    <s v="Smith"/>
    <n v="423"/>
    <s v="France"/>
    <s v="Female"/>
    <n v="43"/>
    <n v="9"/>
    <n v="143851"/>
    <x v="1"/>
    <x v="0"/>
    <x v="1"/>
    <n v="36084.61"/>
    <x v="0"/>
    <n v="0.21483391592012005"/>
    <n v="-1.1273876744803264"/>
    <x v="2"/>
  </r>
  <r>
    <n v="16"/>
    <s v="Miller"/>
    <n v="579"/>
    <s v="France"/>
    <s v="Female"/>
    <n v="42"/>
    <n v="3"/>
    <n v="180430.72"/>
    <x v="0"/>
    <x v="0"/>
    <x v="1"/>
    <n v="43961.45"/>
    <x v="0"/>
    <n v="0.72307970442430791"/>
    <n v="-0.9349065239765606"/>
    <x v="2"/>
  </r>
  <r>
    <n v="190"/>
    <s v="Miller"/>
    <n v="840"/>
    <s v="Germany"/>
    <s v="Male"/>
    <n v="42"/>
    <n v="2"/>
    <n v="46465.66"/>
    <x v="2"/>
    <x v="1"/>
    <x v="1"/>
    <n v="108093.18"/>
    <x v="0"/>
    <n v="-1.138257056811449"/>
    <n v="0.63223831763465332"/>
    <x v="2"/>
  </r>
  <r>
    <n v="183"/>
    <s v="Moore"/>
    <n v="696"/>
    <s v="France"/>
    <s v="Female"/>
    <n v="42"/>
    <n v="2"/>
    <n v="27700.99"/>
    <x v="3"/>
    <x v="0"/>
    <x v="0"/>
    <n v="140547.93"/>
    <x v="1"/>
    <n v="-1.3989770541261053"/>
    <n v="1.4253136650216884"/>
    <x v="2"/>
  </r>
  <r>
    <n v="151"/>
    <s v="Brown"/>
    <n v="724"/>
    <s v="France"/>
    <s v="Female"/>
    <n v="42"/>
    <n v="2"/>
    <n v="97001.53"/>
    <x v="2"/>
    <x v="0"/>
    <x v="0"/>
    <n v="140671.21"/>
    <x v="1"/>
    <n v="-0.43610178892270807"/>
    <n v="1.4283261771755604"/>
    <x v="2"/>
  </r>
  <r>
    <n v="339"/>
    <s v="Miller"/>
    <n v="744"/>
    <s v="Spain"/>
    <s v="Female"/>
    <n v="41"/>
    <n v="7"/>
    <n v="117825.55"/>
    <x v="2"/>
    <x v="0"/>
    <x v="1"/>
    <n v="33868.199999999997"/>
    <x v="0"/>
    <n v="-0.14676877968351812"/>
    <n v="-1.1815486256724355"/>
    <x v="2"/>
  </r>
  <r>
    <n v="112"/>
    <s v="Taylor"/>
    <n v="825"/>
    <s v="France"/>
    <s v="Male"/>
    <n v="41"/>
    <n v="5"/>
    <n v="159554.78"/>
    <x v="2"/>
    <x v="0"/>
    <x v="1"/>
    <n v="75419.12"/>
    <x v="1"/>
    <n v="0.43302530854412852"/>
    <n v="-0.16619616376005258"/>
    <x v="2"/>
  </r>
  <r>
    <n v="37"/>
    <s v="Jones"/>
    <n v="568"/>
    <s v="Germany"/>
    <s v="Female"/>
    <n v="41"/>
    <n v="10"/>
    <n v="192830.21"/>
    <x v="3"/>
    <x v="0"/>
    <x v="0"/>
    <n v="82220.31"/>
    <x v="1"/>
    <n v="0.89536064512313751"/>
    <n v="3.6238259901729779E-8"/>
    <x v="2"/>
  </r>
  <r>
    <n v="467"/>
    <s v="Miller"/>
    <n v="409"/>
    <s v="Germany"/>
    <s v="Female"/>
    <n v="41"/>
    <n v="3"/>
    <n v="156420.72"/>
    <x v="3"/>
    <x v="1"/>
    <x v="1"/>
    <n v="101660.52"/>
    <x v="1"/>
    <n v="0.38948006555376574"/>
    <n v="0.47504764249087073"/>
    <x v="2"/>
  </r>
  <r>
    <n v="110"/>
    <s v="Wilson"/>
    <n v="592"/>
    <s v="Spain"/>
    <s v="Male"/>
    <n v="41"/>
    <n v="4"/>
    <n v="66018.19"/>
    <x v="2"/>
    <x v="0"/>
    <x v="0"/>
    <n v="102543.92"/>
    <x v="1"/>
    <n v="-0.86659037846886489"/>
    <n v="0.49663470638388185"/>
    <x v="2"/>
  </r>
  <r>
    <n v="390"/>
    <s v="Johnson"/>
    <n v="429"/>
    <s v="France"/>
    <s v="Female"/>
    <n v="41"/>
    <n v="9"/>
    <n v="110666.99"/>
    <x v="1"/>
    <x v="0"/>
    <x v="1"/>
    <n v="128261.18"/>
    <x v="0"/>
    <n v="-0.24623121328756262"/>
    <n v="1.1250704487125918"/>
    <x v="2"/>
  </r>
  <r>
    <n v="141"/>
    <s v="Smith"/>
    <n v="585"/>
    <s v="France"/>
    <s v="Female"/>
    <n v="41"/>
    <n v="8"/>
    <n v="157571.35999999999"/>
    <x v="3"/>
    <x v="0"/>
    <x v="0"/>
    <n v="142792.82999999999"/>
    <x v="0"/>
    <n v="0.40546728289945483"/>
    <n v="1.4801708075770663"/>
    <x v="2"/>
  </r>
  <r>
    <n v="290"/>
    <s v="Jones"/>
    <n v="720"/>
    <s v="Germany"/>
    <s v="Female"/>
    <n v="40"/>
    <n v="0"/>
    <n v="115463.15"/>
    <x v="3"/>
    <x v="1"/>
    <x v="0"/>
    <n v="11871.68"/>
    <x v="1"/>
    <n v="-0.17959242761636993"/>
    <n v="-1.7190630955206356"/>
    <x v="2"/>
  </r>
  <r>
    <n v="466"/>
    <s v="Jones"/>
    <n v="646"/>
    <s v="France"/>
    <s v="Female"/>
    <n v="40"/>
    <n v="7"/>
    <n v="66516.78"/>
    <x v="0"/>
    <x v="1"/>
    <x v="0"/>
    <n v="14893.47"/>
    <x v="0"/>
    <n v="-0.85966287143244413"/>
    <n v="-1.6452216037827334"/>
    <x v="2"/>
  </r>
  <r>
    <n v="145"/>
    <s v="Moore"/>
    <n v="767"/>
    <s v="Spain"/>
    <s v="Female"/>
    <n v="40"/>
    <n v="1"/>
    <n v="116715.57"/>
    <x v="1"/>
    <x v="0"/>
    <x v="0"/>
    <n v="22814.14"/>
    <x v="1"/>
    <n v="-0.16219105903185313"/>
    <n v="-1.4516694084403547"/>
    <x v="2"/>
  </r>
  <r>
    <n v="64"/>
    <s v="Wilson"/>
    <n v="707"/>
    <s v="Spain"/>
    <s v="Female"/>
    <n v="40"/>
    <n v="0"/>
    <n v="214046.15"/>
    <x v="1"/>
    <x v="0"/>
    <x v="1"/>
    <n v="86343.96"/>
    <x v="1"/>
    <n v="1.1901390675429249"/>
    <n v="0.10076695498674987"/>
    <x v="2"/>
  </r>
  <r>
    <n v="31"/>
    <s v="Williams"/>
    <n v="416"/>
    <s v="Germany"/>
    <s v="Male"/>
    <n v="40"/>
    <n v="1"/>
    <n v="192565.36"/>
    <x v="2"/>
    <x v="0"/>
    <x v="0"/>
    <n v="106833.18"/>
    <x v="0"/>
    <n v="0.89168076739073998"/>
    <n v="0.60144852761292567"/>
    <x v="2"/>
  </r>
  <r>
    <n v="18"/>
    <s v="Wilson"/>
    <n v="596"/>
    <s v="Spain"/>
    <s v="Male"/>
    <n v="40"/>
    <n v="7"/>
    <n v="124186.11"/>
    <x v="2"/>
    <x v="1"/>
    <x v="1"/>
    <n v="108305.55"/>
    <x v="1"/>
    <n v="-5.8393914251847354E-2"/>
    <n v="0.63742786343379187"/>
    <x v="2"/>
  </r>
  <r>
    <n v="227"/>
    <s v="Moore"/>
    <n v="567"/>
    <s v="Spain"/>
    <s v="Male"/>
    <n v="40"/>
    <n v="5"/>
    <n v="49223"/>
    <x v="3"/>
    <x v="0"/>
    <x v="1"/>
    <n v="111037.23"/>
    <x v="1"/>
    <n v="-1.0999460352269717"/>
    <n v="0.70418012820089715"/>
    <x v="2"/>
  </r>
  <r>
    <n v="104"/>
    <s v="Smith"/>
    <n v="483"/>
    <s v="Germany"/>
    <s v="Female"/>
    <n v="40"/>
    <n v="9"/>
    <n v="199427.98"/>
    <x v="0"/>
    <x v="1"/>
    <x v="1"/>
    <n v="128540.03"/>
    <x v="0"/>
    <n v="0.9870313527179273"/>
    <n v="1.1318845224804959"/>
    <x v="2"/>
  </r>
  <r>
    <n v="146"/>
    <s v="Williams"/>
    <n v="687"/>
    <s v="Germany"/>
    <s v="Female"/>
    <n v="39"/>
    <n v="8"/>
    <n v="52909.38"/>
    <x v="0"/>
    <x v="0"/>
    <x v="1"/>
    <n v="34759.360000000001"/>
    <x v="1"/>
    <n v="-1.0487267500649731"/>
    <n v="-1.1597719357710363"/>
    <x v="2"/>
  </r>
  <r>
    <n v="26"/>
    <s v="Jones"/>
    <n v="511"/>
    <s v="Spain"/>
    <s v="Female"/>
    <n v="39"/>
    <n v="6"/>
    <n v="88252.4"/>
    <x v="3"/>
    <x v="1"/>
    <x v="1"/>
    <n v="57083.95"/>
    <x v="1"/>
    <n v="-0.55766391338882337"/>
    <n v="-0.61424063543678231"/>
    <x v="2"/>
  </r>
  <r>
    <n v="194"/>
    <s v="Moore"/>
    <n v="558"/>
    <s v="Spain"/>
    <s v="Male"/>
    <n v="39"/>
    <n v="9"/>
    <n v="222626.19"/>
    <x v="3"/>
    <x v="0"/>
    <x v="0"/>
    <n v="59452.54"/>
    <x v="0"/>
    <n v="1.3093518224573275"/>
    <n v="-0.55636096182760464"/>
    <x v="2"/>
  </r>
  <r>
    <n v="106"/>
    <s v="Davis"/>
    <n v="537"/>
    <s v="France"/>
    <s v="Female"/>
    <n v="39"/>
    <n v="3"/>
    <n v="238648.7"/>
    <x v="1"/>
    <x v="1"/>
    <x v="1"/>
    <n v="71498.5"/>
    <x v="0"/>
    <n v="1.5319717120783043"/>
    <n v="-0.26200177213702525"/>
    <x v="2"/>
  </r>
  <r>
    <n v="219"/>
    <s v="Wilson"/>
    <n v="575"/>
    <s v="Germany"/>
    <s v="Female"/>
    <n v="39"/>
    <n v="3"/>
    <n v="213911.63"/>
    <x v="2"/>
    <x v="0"/>
    <x v="1"/>
    <n v="84036.97"/>
    <x v="0"/>
    <n v="1.1882700203367247"/>
    <n v="4.4392560000856569E-2"/>
    <x v="2"/>
  </r>
  <r>
    <n v="356"/>
    <s v="Taylor"/>
    <n v="504"/>
    <s v="Spain"/>
    <s v="Female"/>
    <n v="39"/>
    <n v="0"/>
    <n v="65011.59"/>
    <x v="3"/>
    <x v="1"/>
    <x v="1"/>
    <n v="100509.25"/>
    <x v="0"/>
    <n v="-0.88057627586524512"/>
    <n v="0.44691481585728782"/>
    <x v="2"/>
  </r>
  <r>
    <n v="192"/>
    <s v="Wilson"/>
    <n v="725"/>
    <s v="France"/>
    <s v="Female"/>
    <n v="39"/>
    <n v="5"/>
    <n v="96291.25"/>
    <x v="1"/>
    <x v="0"/>
    <x v="0"/>
    <n v="135564.73000000001"/>
    <x v="1"/>
    <n v="-0.44597055824786291"/>
    <n v="1.303542489119885"/>
    <x v="2"/>
  </r>
  <r>
    <n v="140"/>
    <s v="Williams"/>
    <n v="787"/>
    <s v="Spain"/>
    <s v="Female"/>
    <n v="38"/>
    <n v="9"/>
    <n v="216858.41"/>
    <x v="1"/>
    <x v="0"/>
    <x v="1"/>
    <n v="13005.86"/>
    <x v="1"/>
    <n v="1.2292131583555059"/>
    <n v="-1.6913478859596489"/>
    <x v="2"/>
  </r>
  <r>
    <n v="134"/>
    <s v="Jones"/>
    <n v="511"/>
    <s v="Spain"/>
    <s v="Female"/>
    <n v="38"/>
    <n v="4"/>
    <n v="30108.06"/>
    <x v="3"/>
    <x v="1"/>
    <x v="1"/>
    <n v="17973.88"/>
    <x v="0"/>
    <n v="-1.3655327524711234"/>
    <n v="-1.5699476537185826"/>
    <x v="2"/>
  </r>
  <r>
    <n v="330"/>
    <s v="Johnson"/>
    <n v="387"/>
    <s v="Spain"/>
    <s v="Female"/>
    <n v="38"/>
    <n v="2"/>
    <n v="211996.17"/>
    <x v="3"/>
    <x v="1"/>
    <x v="0"/>
    <n v="45722.09"/>
    <x v="1"/>
    <n v="1.1616562442321448"/>
    <n v="-0.89188292405286662"/>
    <x v="2"/>
  </r>
  <r>
    <n v="386"/>
    <s v="Smith"/>
    <n v="791"/>
    <s v="Germany"/>
    <s v="Male"/>
    <n v="38"/>
    <n v="8"/>
    <n v="13669.44"/>
    <x v="3"/>
    <x v="1"/>
    <x v="1"/>
    <n v="64850.98"/>
    <x v="1"/>
    <n v="-1.5939341558667948"/>
    <n v="-0.42444283956975121"/>
    <x v="2"/>
  </r>
  <r>
    <n v="13"/>
    <s v="Moore"/>
    <n v="464"/>
    <s v="Spain"/>
    <s v="Female"/>
    <n v="37"/>
    <n v="2"/>
    <n v="58317.75"/>
    <x v="2"/>
    <x v="0"/>
    <x v="0"/>
    <n v="13740.96"/>
    <x v="1"/>
    <n v="-0.97358179884138796"/>
    <n v="-1.6733847314795125"/>
    <x v="2"/>
  </r>
  <r>
    <n v="394"/>
    <s v="Jones"/>
    <n v="738"/>
    <s v="Germany"/>
    <s v="Female"/>
    <n v="37"/>
    <n v="7"/>
    <n v="206465.41"/>
    <x v="3"/>
    <x v="1"/>
    <x v="1"/>
    <n v="81839.69"/>
    <x v="1"/>
    <n v="1.0848107823962578"/>
    <n v="-9.300923982430433E-3"/>
    <x v="2"/>
  </r>
  <r>
    <n v="482"/>
    <s v="Brown"/>
    <n v="629"/>
    <s v="Germany"/>
    <s v="Male"/>
    <n v="37"/>
    <n v="9"/>
    <n v="24530.880000000001"/>
    <x v="3"/>
    <x v="1"/>
    <x v="0"/>
    <n v="100372.28"/>
    <x v="1"/>
    <n v="-1.4430231828716236"/>
    <n v="0.4435677701911957"/>
    <x v="2"/>
  </r>
  <r>
    <n v="353"/>
    <s v="Johnson"/>
    <n v="611"/>
    <s v="Germany"/>
    <s v="Female"/>
    <n v="36"/>
    <n v="4"/>
    <n v="124751.31"/>
    <x v="1"/>
    <x v="0"/>
    <x v="0"/>
    <n v="16581.23"/>
    <x v="0"/>
    <n v="-5.0540914839534587E-2"/>
    <n v="-1.6039789244120424"/>
    <x v="2"/>
  </r>
  <r>
    <n v="431"/>
    <s v="Taylor"/>
    <n v="625"/>
    <s v="France"/>
    <s v="Male"/>
    <n v="36"/>
    <n v="0"/>
    <n v="165914.53"/>
    <x v="3"/>
    <x v="1"/>
    <x v="0"/>
    <n v="71091.44"/>
    <x v="1"/>
    <n v="0.52138891967727852"/>
    <n v="-0.27194882922134622"/>
    <x v="2"/>
  </r>
  <r>
    <n v="243"/>
    <s v="Smith"/>
    <n v="496"/>
    <s v="Germany"/>
    <s v="Male"/>
    <n v="36"/>
    <n v="3"/>
    <n v="183880.09"/>
    <x v="2"/>
    <x v="1"/>
    <x v="1"/>
    <n v="116196.88"/>
    <x v="1"/>
    <n v="0.77100592626232878"/>
    <n v="0.83026309652280761"/>
    <x v="2"/>
  </r>
  <r>
    <n v="473"/>
    <s v="Taylor"/>
    <n v="588"/>
    <s v="France"/>
    <s v="Male"/>
    <n v="35"/>
    <n v="8"/>
    <n v="199536.6"/>
    <x v="2"/>
    <x v="1"/>
    <x v="1"/>
    <n v="19461.59"/>
    <x v="0"/>
    <n v="0.98854054025537486"/>
    <n v="-1.533593464422373"/>
    <x v="2"/>
  </r>
  <r>
    <n v="426"/>
    <s v="Johnson"/>
    <n v="771"/>
    <s v="France"/>
    <s v="Female"/>
    <n v="35"/>
    <n v="3"/>
    <n v="231139.73"/>
    <x v="0"/>
    <x v="1"/>
    <x v="0"/>
    <n v="19540.71"/>
    <x v="0"/>
    <n v="1.4276406133573658"/>
    <n v="-1.5316600610997388"/>
    <x v="2"/>
  </r>
  <r>
    <n v="215"/>
    <s v="Williams"/>
    <n v="455"/>
    <s v="Spain"/>
    <s v="Male"/>
    <n v="35"/>
    <n v="9"/>
    <n v="116072.5"/>
    <x v="0"/>
    <x v="0"/>
    <x v="0"/>
    <n v="19713.43"/>
    <x v="1"/>
    <n v="-0.17112599946369328"/>
    <n v="-1.5274394162326332"/>
    <x v="2"/>
  </r>
  <r>
    <n v="302"/>
    <s v="Miller"/>
    <n v="585"/>
    <s v="Spain"/>
    <s v="Male"/>
    <n v="35"/>
    <n v="0"/>
    <n v="205498.11"/>
    <x v="3"/>
    <x v="0"/>
    <x v="1"/>
    <n v="24566"/>
    <x v="0"/>
    <n v="1.0713709268910734"/>
    <n v="-1.4088603595931612"/>
    <x v="2"/>
  </r>
  <r>
    <n v="407"/>
    <s v="Williams"/>
    <n v="430"/>
    <s v="Germany"/>
    <s v="Female"/>
    <n v="35"/>
    <n v="2"/>
    <n v="245176.21"/>
    <x v="1"/>
    <x v="0"/>
    <x v="1"/>
    <n v="35708.43"/>
    <x v="0"/>
    <n v="1.6226662134828793"/>
    <n v="-1.1365801373457023"/>
    <x v="2"/>
  </r>
  <r>
    <n v="248"/>
    <s v="Williams"/>
    <n v="660"/>
    <s v="Spain"/>
    <s v="Female"/>
    <n v="35"/>
    <n v="9"/>
    <n v="80413.460000000006"/>
    <x v="3"/>
    <x v="0"/>
    <x v="1"/>
    <n v="42147.48"/>
    <x v="1"/>
    <n v="-0.66657967986645117"/>
    <n v="-0.97923331398109481"/>
    <x v="2"/>
  </r>
  <r>
    <n v="370"/>
    <s v="Johnson"/>
    <n v="481"/>
    <s v="Germany"/>
    <s v="Female"/>
    <n v="35"/>
    <n v="7"/>
    <n v="121359.53"/>
    <x v="2"/>
    <x v="0"/>
    <x v="0"/>
    <n v="50215.32"/>
    <x v="0"/>
    <n v="-9.7666969946920146E-2"/>
    <n v="-0.78208482229149578"/>
    <x v="2"/>
  </r>
  <r>
    <n v="359"/>
    <s v="Moore"/>
    <n v="746"/>
    <s v="Germany"/>
    <s v="Female"/>
    <n v="35"/>
    <n v="5"/>
    <n v="196029.87"/>
    <x v="0"/>
    <x v="1"/>
    <x v="0"/>
    <n v="77933.48"/>
    <x v="1"/>
    <n v="0.93981734735173061"/>
    <n v="-0.1047544046814565"/>
    <x v="2"/>
  </r>
  <r>
    <n v="206"/>
    <s v="Davis"/>
    <n v="722"/>
    <s v="France"/>
    <s v="Male"/>
    <n v="35"/>
    <n v="7"/>
    <n v="212738.23"/>
    <x v="0"/>
    <x v="1"/>
    <x v="1"/>
    <n v="95777.53"/>
    <x v="0"/>
    <n v="1.1719665710967959"/>
    <n v="0.33128889106235998"/>
    <x v="2"/>
  </r>
  <r>
    <n v="225"/>
    <s v="Johnson"/>
    <n v="760"/>
    <s v="France"/>
    <s v="Male"/>
    <n v="35"/>
    <n v="9"/>
    <n v="241023.24"/>
    <x v="0"/>
    <x v="0"/>
    <x v="0"/>
    <n v="97832.3"/>
    <x v="1"/>
    <n v="1.5649640355470111"/>
    <n v="0.38149995204882459"/>
    <x v="2"/>
  </r>
  <r>
    <n v="221"/>
    <s v="Johnson"/>
    <n v="517"/>
    <s v="Spain"/>
    <s v="Male"/>
    <n v="35"/>
    <n v="1"/>
    <n v="239854.9"/>
    <x v="1"/>
    <x v="1"/>
    <x v="1"/>
    <n v="99332.87"/>
    <x v="1"/>
    <n v="1.5487308909373483"/>
    <n v="0.41816839269398615"/>
    <x v="2"/>
  </r>
  <r>
    <n v="152"/>
    <s v="Jones"/>
    <n v="638"/>
    <s v="Spain"/>
    <s v="Male"/>
    <n v="35"/>
    <n v="3"/>
    <n v="29176.44"/>
    <x v="0"/>
    <x v="1"/>
    <x v="1"/>
    <n v="119718.19"/>
    <x v="1"/>
    <n v="-1.3784768630735629"/>
    <n v="0.9163110294604343"/>
    <x v="2"/>
  </r>
  <r>
    <n v="373"/>
    <s v="Wilson"/>
    <n v="494"/>
    <s v="Spain"/>
    <s v="Female"/>
    <n v="35"/>
    <n v="5"/>
    <n v="60811.89"/>
    <x v="1"/>
    <x v="1"/>
    <x v="0"/>
    <n v="135514.51"/>
    <x v="1"/>
    <n v="-0.93892772956639525"/>
    <n v="1.3023152960604474"/>
    <x v="2"/>
  </r>
  <r>
    <n v="126"/>
    <s v="Williams"/>
    <n v="481"/>
    <s v="Spain"/>
    <s v="Male"/>
    <n v="34"/>
    <n v="8"/>
    <n v="43863.71"/>
    <x v="3"/>
    <x v="0"/>
    <x v="0"/>
    <n v="23962.59"/>
    <x v="1"/>
    <n v="-1.1744090593253684"/>
    <n v="-1.4236054922892016"/>
    <x v="2"/>
  </r>
  <r>
    <n v="324"/>
    <s v="Williams"/>
    <n v="760"/>
    <s v="Spain"/>
    <s v="Female"/>
    <n v="34"/>
    <n v="1"/>
    <n v="104789.1"/>
    <x v="3"/>
    <x v="1"/>
    <x v="0"/>
    <n v="47420.92"/>
    <x v="0"/>
    <n v="-0.3278997672784319"/>
    <n v="-0.85036973438412722"/>
    <x v="2"/>
  </r>
  <r>
    <n v="6"/>
    <s v="Taylor"/>
    <n v="777"/>
    <s v="Spain"/>
    <s v="Female"/>
    <n v="34"/>
    <n v="0"/>
    <n v="127812.9"/>
    <x v="0"/>
    <x v="1"/>
    <x v="0"/>
    <n v="65189.1"/>
    <x v="1"/>
    <n v="-8.0025842118935098E-3"/>
    <n v="-0.41618042385376197"/>
    <x v="2"/>
  </r>
  <r>
    <n v="497"/>
    <s v="Smith"/>
    <n v="751"/>
    <s v="Spain"/>
    <s v="Female"/>
    <n v="34"/>
    <n v="1"/>
    <n v="118072.6"/>
    <x v="2"/>
    <x v="0"/>
    <x v="1"/>
    <n v="98955.37"/>
    <x v="0"/>
    <n v="-0.14333621863466481"/>
    <n v="0.40894367385811142"/>
    <x v="2"/>
  </r>
  <r>
    <n v="438"/>
    <s v="Brown"/>
    <n v="450"/>
    <s v="Spain"/>
    <s v="Female"/>
    <n v="34"/>
    <n v="2"/>
    <n v="32148.54"/>
    <x v="3"/>
    <x v="0"/>
    <x v="1"/>
    <n v="99026.41"/>
    <x v="1"/>
    <n v="-1.3371819240195382"/>
    <n v="0.41067963154314618"/>
    <x v="2"/>
  </r>
  <r>
    <n v="176"/>
    <s v="Williams"/>
    <n v="843"/>
    <s v="France"/>
    <s v="Male"/>
    <n v="34"/>
    <n v="6"/>
    <n v="104696.85"/>
    <x v="3"/>
    <x v="0"/>
    <x v="0"/>
    <n v="106102.67"/>
    <x v="0"/>
    <n v="-0.32918150683219316"/>
    <n v="0.58359753593929709"/>
    <x v="2"/>
  </r>
  <r>
    <n v="486"/>
    <s v="Williams"/>
    <n v="643"/>
    <s v="Germany"/>
    <s v="Male"/>
    <n v="34"/>
    <n v="3"/>
    <n v="70266.98"/>
    <x v="3"/>
    <x v="0"/>
    <x v="1"/>
    <n v="129097.79"/>
    <x v="0"/>
    <n v="-0.80755685870056959"/>
    <n v="1.1455141361967804"/>
    <x v="2"/>
  </r>
  <r>
    <n v="14"/>
    <s v="Moore"/>
    <n v="698"/>
    <s v="Germany"/>
    <s v="Male"/>
    <n v="34"/>
    <n v="3"/>
    <n v="128968.35"/>
    <x v="1"/>
    <x v="0"/>
    <x v="0"/>
    <n v="143532.82"/>
    <x v="0"/>
    <n v="8.0514642151357247E-3"/>
    <n v="1.4982534557660971"/>
    <x v="2"/>
  </r>
  <r>
    <n v="460"/>
    <s v="Jones"/>
    <n v="443"/>
    <s v="Spain"/>
    <s v="Female"/>
    <n v="34"/>
    <n v="1"/>
    <n v="234557.34"/>
    <x v="3"/>
    <x v="0"/>
    <x v="1"/>
    <n v="148617.01"/>
    <x v="0"/>
    <n v="1.4751255555398044"/>
    <n v="1.6224924577744841"/>
    <x v="2"/>
  </r>
  <r>
    <n v="498"/>
    <s v="Wilson"/>
    <n v="814"/>
    <s v="Spain"/>
    <s v="Female"/>
    <n v="34"/>
    <n v="9"/>
    <n v="161580.20000000001"/>
    <x v="2"/>
    <x v="0"/>
    <x v="0"/>
    <n v="148752.49"/>
    <x v="1"/>
    <n v="0.46116689040840081"/>
    <n v="1.625803093292058"/>
    <x v="2"/>
  </r>
  <r>
    <n v="224"/>
    <s v="Moore"/>
    <n v="639"/>
    <s v="Germany"/>
    <s v="Male"/>
    <n v="33"/>
    <n v="3"/>
    <n v="96088.43"/>
    <x v="1"/>
    <x v="1"/>
    <x v="0"/>
    <n v="43587.17"/>
    <x v="1"/>
    <n v="-0.44878857902069613"/>
    <n v="-0.94405255779349095"/>
    <x v="2"/>
  </r>
  <r>
    <n v="257"/>
    <s v="Davis"/>
    <n v="753"/>
    <s v="France"/>
    <s v="Male"/>
    <n v="33"/>
    <n v="6"/>
    <n v="147696.65"/>
    <x v="3"/>
    <x v="1"/>
    <x v="0"/>
    <n v="46897.41"/>
    <x v="0"/>
    <n v="0.26826612963201085"/>
    <n v="-0.86316240341132922"/>
    <x v="2"/>
  </r>
  <r>
    <n v="117"/>
    <s v="Jones"/>
    <n v="688"/>
    <s v="Germany"/>
    <s v="Male"/>
    <n v="33"/>
    <n v="6"/>
    <n v="93844.5"/>
    <x v="0"/>
    <x v="1"/>
    <x v="0"/>
    <n v="49103.38"/>
    <x v="0"/>
    <n v="-0.47996618158840848"/>
    <n v="-0.80925656762225751"/>
    <x v="2"/>
  </r>
  <r>
    <n v="55"/>
    <s v="Miller"/>
    <n v="498"/>
    <s v="France"/>
    <s v="Male"/>
    <n v="33"/>
    <n v="6"/>
    <n v="146361.20000000001"/>
    <x v="0"/>
    <x v="0"/>
    <x v="1"/>
    <n v="56949.24"/>
    <x v="1"/>
    <n v="0.24971112597813083"/>
    <n v="-0.61753245497156561"/>
    <x v="2"/>
  </r>
  <r>
    <n v="135"/>
    <s v="Moore"/>
    <n v="752"/>
    <s v="Germany"/>
    <s v="Female"/>
    <n v="32"/>
    <n v="2"/>
    <n v="239097.38"/>
    <x v="1"/>
    <x v="1"/>
    <x v="1"/>
    <n v="13545.02"/>
    <x v="0"/>
    <n v="1.5382057598071022"/>
    <n v="-1.6781727881913038"/>
    <x v="2"/>
  </r>
  <r>
    <n v="49"/>
    <s v="Williams"/>
    <n v="588"/>
    <s v="Spain"/>
    <s v="Female"/>
    <n v="32"/>
    <n v="9"/>
    <n v="126550.42"/>
    <x v="2"/>
    <x v="0"/>
    <x v="1"/>
    <n v="21781.599999999999"/>
    <x v="0"/>
    <n v="-2.5543728405199667E-2"/>
    <n v="-1.4769009082729219"/>
    <x v="2"/>
  </r>
  <r>
    <n v="488"/>
    <s v="Taylor"/>
    <n v="797"/>
    <s v="Spain"/>
    <s v="Female"/>
    <n v="32"/>
    <n v="8"/>
    <n v="236925.82"/>
    <x v="1"/>
    <x v="0"/>
    <x v="1"/>
    <n v="46753.37"/>
    <x v="0"/>
    <n v="1.5080336801825409"/>
    <n v="-0.86668221401032097"/>
    <x v="2"/>
  </r>
  <r>
    <n v="331"/>
    <s v="Miller"/>
    <n v="409"/>
    <s v="Germany"/>
    <s v="Male"/>
    <n v="32"/>
    <n v="9"/>
    <n v="100270.85"/>
    <x v="1"/>
    <x v="1"/>
    <x v="1"/>
    <n v="57238.53"/>
    <x v="1"/>
    <n v="-0.39067721702132352"/>
    <n v="-0.6104632658006246"/>
    <x v="2"/>
  </r>
  <r>
    <n v="136"/>
    <s v="Moore"/>
    <n v="703"/>
    <s v="France"/>
    <s v="Male"/>
    <n v="32"/>
    <n v="4"/>
    <n v="35229.26"/>
    <x v="3"/>
    <x v="1"/>
    <x v="0"/>
    <n v="59763.13"/>
    <x v="0"/>
    <n v="-1.2943777974280655"/>
    <n v="-0.54877127858724883"/>
    <x v="2"/>
  </r>
  <r>
    <n v="336"/>
    <s v="Johnson"/>
    <n v="558"/>
    <s v="Germany"/>
    <s v="Male"/>
    <n v="32"/>
    <n v="0"/>
    <n v="122399.16"/>
    <x v="1"/>
    <x v="0"/>
    <x v="0"/>
    <n v="107283.07"/>
    <x v="1"/>
    <n v="-8.3222147266412722E-2"/>
    <n v="0.61244219319457283"/>
    <x v="2"/>
  </r>
  <r>
    <n v="454"/>
    <s v="Moore"/>
    <n v="473"/>
    <s v="Germany"/>
    <s v="Male"/>
    <n v="31"/>
    <n v="4"/>
    <n v="148788.01"/>
    <x v="3"/>
    <x v="1"/>
    <x v="1"/>
    <n v="13370.94"/>
    <x v="0"/>
    <n v="0.28342969905632409"/>
    <n v="-1.6824266664825596"/>
    <x v="2"/>
  </r>
  <r>
    <n v="365"/>
    <s v="Johnson"/>
    <n v="350"/>
    <s v="Germany"/>
    <s v="Female"/>
    <n v="31"/>
    <n v="10"/>
    <n v="213425.22"/>
    <x v="3"/>
    <x v="0"/>
    <x v="0"/>
    <n v="36418.230000000003"/>
    <x v="0"/>
    <n v="1.1815117446039876"/>
    <n v="-1.119235222300129"/>
    <x v="2"/>
  </r>
  <r>
    <n v="357"/>
    <s v="Williams"/>
    <n v="591"/>
    <s v="Spain"/>
    <s v="Female"/>
    <n v="31"/>
    <n v="8"/>
    <n v="36493.35"/>
    <x v="3"/>
    <x v="1"/>
    <x v="0"/>
    <n v="50480.54"/>
    <x v="0"/>
    <n v="-1.2768142835796747"/>
    <n v="-0.77560381585533489"/>
    <x v="2"/>
  </r>
  <r>
    <n v="415"/>
    <s v="Smith"/>
    <n v="837"/>
    <s v="France"/>
    <s v="Male"/>
    <n v="31"/>
    <n v="5"/>
    <n v="150640.24"/>
    <x v="0"/>
    <x v="0"/>
    <x v="0"/>
    <n v="52816.7"/>
    <x v="0"/>
    <n v="0.30916494516649395"/>
    <n v="-0.71851661279409751"/>
    <x v="2"/>
  </r>
  <r>
    <n v="481"/>
    <s v="Taylor"/>
    <n v="415"/>
    <s v="France"/>
    <s v="Female"/>
    <n v="31"/>
    <n v="5"/>
    <n v="224202.59"/>
    <x v="2"/>
    <x v="1"/>
    <x v="0"/>
    <n v="58513.24"/>
    <x v="1"/>
    <n v="1.3312546325662622"/>
    <n v="-0.57931401719856401"/>
    <x v="2"/>
  </r>
  <r>
    <n v="453"/>
    <s v="Davis"/>
    <n v="424"/>
    <s v="France"/>
    <s v="Female"/>
    <n v="31"/>
    <n v="9"/>
    <n v="236352.17"/>
    <x v="0"/>
    <x v="0"/>
    <x v="0"/>
    <n v="111036.69"/>
    <x v="0"/>
    <n v="1.5000632748165232"/>
    <n v="0.70416693257660234"/>
    <x v="2"/>
  </r>
  <r>
    <n v="9"/>
    <s v="Williams"/>
    <n v="570"/>
    <s v="Germany"/>
    <s v="Female"/>
    <n v="31"/>
    <n v="1"/>
    <n v="182609.21"/>
    <x v="3"/>
    <x v="0"/>
    <x v="1"/>
    <n v="141848.51"/>
    <x v="0"/>
    <n v="0.7533480708251028"/>
    <n v="1.4570950817728465"/>
    <x v="2"/>
  </r>
  <r>
    <n v="84"/>
    <s v="Brown"/>
    <n v="579"/>
    <s v="Spain"/>
    <s v="Male"/>
    <n v="31"/>
    <n v="9"/>
    <n v="34457.83"/>
    <x v="2"/>
    <x v="1"/>
    <x v="1"/>
    <n v="142833.29999999999"/>
    <x v="0"/>
    <n v="-1.3050961968205645"/>
    <n v="1.4811597463089547"/>
    <x v="2"/>
  </r>
  <r>
    <n v="347"/>
    <s v="Miller"/>
    <n v="753"/>
    <s v="Germany"/>
    <s v="Female"/>
    <n v="30"/>
    <n v="7"/>
    <n v="151272.32999999999"/>
    <x v="3"/>
    <x v="0"/>
    <x v="0"/>
    <n v="12942.16"/>
    <x v="1"/>
    <n v="0.31794732732949599"/>
    <n v="-1.6929044808996361"/>
    <x v="3"/>
  </r>
  <r>
    <n v="458"/>
    <s v="Miller"/>
    <n v="579"/>
    <s v="Spain"/>
    <s v="Female"/>
    <n v="30"/>
    <n v="5"/>
    <n v="220273.68"/>
    <x v="0"/>
    <x v="0"/>
    <x v="0"/>
    <n v="57395.97"/>
    <x v="1"/>
    <n v="1.2766655881199955"/>
    <n v="-0.60661600822838591"/>
    <x v="3"/>
  </r>
  <r>
    <n v="60"/>
    <s v="Taylor"/>
    <n v="672"/>
    <s v="Germany"/>
    <s v="Male"/>
    <n v="30"/>
    <n v="7"/>
    <n v="119338.08"/>
    <x v="3"/>
    <x v="0"/>
    <x v="1"/>
    <n v="111048.16"/>
    <x v="0"/>
    <n v="-0.12575339185424445"/>
    <n v="0.70444721741116523"/>
    <x v="3"/>
  </r>
  <r>
    <n v="432"/>
    <s v="Davis"/>
    <n v="713"/>
    <s v="Germany"/>
    <s v="Female"/>
    <n v="30"/>
    <n v="0"/>
    <n v="46903.02"/>
    <x v="3"/>
    <x v="1"/>
    <x v="1"/>
    <n v="120900.9"/>
    <x v="1"/>
    <n v="-1.1321802913780286"/>
    <n v="0.94521213466408283"/>
    <x v="3"/>
  </r>
  <r>
    <n v="230"/>
    <s v="Williams"/>
    <n v="560"/>
    <s v="Germany"/>
    <s v="Female"/>
    <n v="29"/>
    <n v="10"/>
    <n v="199808.98"/>
    <x v="1"/>
    <x v="1"/>
    <x v="1"/>
    <n v="38969.33"/>
    <x v="0"/>
    <n v="0.99232504128142907"/>
    <n v="-1.0568956720426455"/>
    <x v="3"/>
  </r>
  <r>
    <n v="159"/>
    <s v="Taylor"/>
    <n v="848"/>
    <s v="France"/>
    <s v="Male"/>
    <n v="29"/>
    <n v="10"/>
    <n v="208033.65"/>
    <x v="0"/>
    <x v="1"/>
    <x v="1"/>
    <n v="43662.79"/>
    <x v="0"/>
    <n v="1.106600215868242"/>
    <n v="-0.94220468166536153"/>
    <x v="3"/>
  </r>
  <r>
    <n v="327"/>
    <s v="Wilson"/>
    <n v="493"/>
    <s v="Spain"/>
    <s v="Male"/>
    <n v="29"/>
    <n v="8"/>
    <n v="190645.09"/>
    <x v="1"/>
    <x v="1"/>
    <x v="1"/>
    <n v="46765.52"/>
    <x v="0"/>
    <n v="0.86500016020482018"/>
    <n v="-0.86638531246368311"/>
    <x v="3"/>
  </r>
  <r>
    <n v="254"/>
    <s v="Williams"/>
    <n v="705"/>
    <s v="Germany"/>
    <s v="Male"/>
    <n v="29"/>
    <n v="10"/>
    <n v="78681.009999999995"/>
    <x v="1"/>
    <x v="0"/>
    <x v="0"/>
    <n v="69503.59"/>
    <x v="1"/>
    <n v="-0.69065067921510903"/>
    <n v="-0.3107500737340449"/>
    <x v="3"/>
  </r>
  <r>
    <n v="284"/>
    <s v="Jones"/>
    <n v="452"/>
    <s v="France"/>
    <s v="Male"/>
    <n v="29"/>
    <n v="1"/>
    <n v="28385.09"/>
    <x v="2"/>
    <x v="0"/>
    <x v="1"/>
    <n v="70010.28"/>
    <x v="1"/>
    <n v="-1.3894720348445002"/>
    <n v="-0.29836842396729152"/>
    <x v="3"/>
  </r>
  <r>
    <n v="130"/>
    <s v="Miller"/>
    <n v="408"/>
    <s v="Spain"/>
    <s v="Female"/>
    <n v="29"/>
    <n v="1"/>
    <n v="136796.01999999999"/>
    <x v="0"/>
    <x v="1"/>
    <x v="0"/>
    <n v="81668.89"/>
    <x v="1"/>
    <n v="0.11681064310717121"/>
    <n v="-1.3474651074264692E-2"/>
    <x v="3"/>
  </r>
  <r>
    <n v="17"/>
    <s v="Wilson"/>
    <n v="569"/>
    <s v="Germany"/>
    <s v="Male"/>
    <n v="29"/>
    <n v="7"/>
    <n v="75466.39"/>
    <x v="1"/>
    <x v="0"/>
    <x v="0"/>
    <n v="103226.64"/>
    <x v="0"/>
    <n v="-0.73531523861144477"/>
    <n v="0.51331788530740086"/>
    <x v="3"/>
  </r>
  <r>
    <n v="202"/>
    <s v="Wilson"/>
    <n v="800"/>
    <s v="Germany"/>
    <s v="Male"/>
    <n v="29"/>
    <n v="0"/>
    <n v="88974.52"/>
    <x v="0"/>
    <x v="1"/>
    <x v="1"/>
    <n v="115636.53"/>
    <x v="1"/>
    <n v="-0.54763063678652435"/>
    <n v="0.81657019268258912"/>
    <x v="3"/>
  </r>
  <r>
    <n v="267"/>
    <s v="Jones"/>
    <n v="715"/>
    <s v="France"/>
    <s v="Male"/>
    <n v="29"/>
    <n v="4"/>
    <n v="48947.26"/>
    <x v="0"/>
    <x v="1"/>
    <x v="0"/>
    <n v="119204.73"/>
    <x v="0"/>
    <n v="-1.1037772207505936"/>
    <n v="0.90376394566316731"/>
    <x v="3"/>
  </r>
  <r>
    <n v="250"/>
    <s v="Johnson"/>
    <n v="488"/>
    <s v="France"/>
    <s v="Female"/>
    <n v="29"/>
    <n v="2"/>
    <n v="218420.19"/>
    <x v="1"/>
    <x v="1"/>
    <x v="0"/>
    <n v="122291.38"/>
    <x v="1"/>
    <n v="1.2509128353232375"/>
    <n v="0.97919037849694968"/>
    <x v="3"/>
  </r>
  <r>
    <n v="417"/>
    <s v="Moore"/>
    <n v="440"/>
    <s v="France"/>
    <s v="Male"/>
    <n v="29"/>
    <n v="2"/>
    <n v="38378.400000000001"/>
    <x v="3"/>
    <x v="0"/>
    <x v="0"/>
    <n v="148498.85"/>
    <x v="0"/>
    <n v="-1.2506230299664751"/>
    <n v="1.6196050596880021"/>
    <x v="3"/>
  </r>
  <r>
    <n v="329"/>
    <s v="Wilson"/>
    <n v="835"/>
    <s v="Spain"/>
    <s v="Male"/>
    <n v="28"/>
    <n v="4"/>
    <n v="182346.37"/>
    <x v="0"/>
    <x v="1"/>
    <x v="0"/>
    <n v="23783.4"/>
    <x v="1"/>
    <n v="0.74969612042607192"/>
    <n v="-1.4279842402844343"/>
    <x v="3"/>
  </r>
  <r>
    <n v="237"/>
    <s v="Smith"/>
    <n v="758"/>
    <s v="France"/>
    <s v="Female"/>
    <n v="28"/>
    <n v="0"/>
    <n v="229680.01"/>
    <x v="1"/>
    <x v="1"/>
    <x v="0"/>
    <n v="33894.089999999997"/>
    <x v="1"/>
    <n v="1.4073589780032587"/>
    <n v="-1.1809159687965127"/>
    <x v="3"/>
  </r>
  <r>
    <n v="156"/>
    <s v="Smith"/>
    <n v="474"/>
    <s v="Germany"/>
    <s v="Female"/>
    <n v="28"/>
    <n v="5"/>
    <n v="209434.77"/>
    <x v="3"/>
    <x v="0"/>
    <x v="0"/>
    <n v="42983.99"/>
    <x v="1"/>
    <n v="1.1260676513540517"/>
    <n v="-0.95879207013103518"/>
    <x v="3"/>
  </r>
  <r>
    <n v="479"/>
    <s v="Wilson"/>
    <n v="517"/>
    <s v="France"/>
    <s v="Female"/>
    <n v="28"/>
    <n v="6"/>
    <n v="32317.55"/>
    <x v="2"/>
    <x v="1"/>
    <x v="0"/>
    <n v="48172.94"/>
    <x v="0"/>
    <n v="-1.3348336660034816"/>
    <n v="-0.83199311700941314"/>
    <x v="3"/>
  </r>
  <r>
    <n v="435"/>
    <s v="Wilson"/>
    <n v="559"/>
    <s v="Germany"/>
    <s v="Male"/>
    <n v="28"/>
    <n v="5"/>
    <n v="117504.37"/>
    <x v="2"/>
    <x v="1"/>
    <x v="1"/>
    <n v="69683.199999999997"/>
    <x v="0"/>
    <n v="-0.15123131745996307"/>
    <n v="-0.30636106247547146"/>
    <x v="3"/>
  </r>
  <r>
    <n v="499"/>
    <s v="Miller"/>
    <n v="718"/>
    <s v="Spain"/>
    <s v="Male"/>
    <n v="28"/>
    <n v="0"/>
    <n v="100871.3"/>
    <x v="0"/>
    <x v="0"/>
    <x v="0"/>
    <n v="106391.64"/>
    <x v="0"/>
    <n v="-0.38233444721041904"/>
    <n v="0.59065890548102618"/>
    <x v="3"/>
  </r>
  <r>
    <n v="78"/>
    <s v="Brown"/>
    <n v="600"/>
    <s v="Spain"/>
    <s v="Female"/>
    <n v="27"/>
    <n v="7"/>
    <n v="127193.14"/>
    <x v="3"/>
    <x v="0"/>
    <x v="0"/>
    <n v="11971.58"/>
    <x v="1"/>
    <n v="-1.6613650941856253E-2"/>
    <n v="-1.7166219050260554"/>
    <x v="3"/>
  </r>
  <r>
    <n v="392"/>
    <s v="Davis"/>
    <n v="556"/>
    <s v="Spain"/>
    <s v="Male"/>
    <n v="27"/>
    <n v="6"/>
    <n v="70279.97"/>
    <x v="0"/>
    <x v="0"/>
    <x v="0"/>
    <n v="35799.879999999997"/>
    <x v="0"/>
    <n v="-0.80737637309836507"/>
    <n v="-1.1343454339349983"/>
    <x v="3"/>
  </r>
  <r>
    <n v="75"/>
    <s v="Brown"/>
    <n v="385"/>
    <s v="Germany"/>
    <s v="Female"/>
    <n v="27"/>
    <n v="8"/>
    <n v="35744.699999999997"/>
    <x v="1"/>
    <x v="0"/>
    <x v="1"/>
    <n v="67445.009999999995"/>
    <x v="1"/>
    <n v="-1.2872161731940199"/>
    <n v="-0.36105423718081325"/>
    <x v="3"/>
  </r>
  <r>
    <n v="80"/>
    <s v="Jones"/>
    <n v="604"/>
    <s v="Germany"/>
    <s v="Male"/>
    <n v="27"/>
    <n v="7"/>
    <n v="162041.47"/>
    <x v="2"/>
    <x v="1"/>
    <x v="0"/>
    <n v="109301.93"/>
    <x v="0"/>
    <n v="0.467575866061121"/>
    <n v="0.66177574516541782"/>
    <x v="3"/>
  </r>
  <r>
    <n v="231"/>
    <s v="Davis"/>
    <n v="626"/>
    <s v="Germany"/>
    <s v="Male"/>
    <n v="27"/>
    <n v="9"/>
    <n v="13467.28"/>
    <x v="1"/>
    <x v="0"/>
    <x v="0"/>
    <n v="114472.4"/>
    <x v="0"/>
    <n v="-1.5967430064704629"/>
    <n v="0.78812311470005436"/>
    <x v="3"/>
  </r>
  <r>
    <n v="424"/>
    <s v="Taylor"/>
    <n v="665"/>
    <s v="Germany"/>
    <s v="Male"/>
    <n v="27"/>
    <n v="9"/>
    <n v="36155.39"/>
    <x v="2"/>
    <x v="0"/>
    <x v="0"/>
    <n v="122338.51"/>
    <x v="0"/>
    <n v="-1.2815099659600449"/>
    <n v="0.98034206326180973"/>
    <x v="3"/>
  </r>
  <r>
    <n v="101"/>
    <s v="Smith"/>
    <n v="422"/>
    <s v="France"/>
    <s v="Female"/>
    <n v="27"/>
    <n v="1"/>
    <n v="103031.97"/>
    <x v="3"/>
    <x v="0"/>
    <x v="0"/>
    <n v="125609.39"/>
    <x v="0"/>
    <n v="-0.35231367537708236"/>
    <n v="1.0602704032509118"/>
    <x v="3"/>
  </r>
  <r>
    <n v="241"/>
    <s v="Brown"/>
    <n v="634"/>
    <s v="Spain"/>
    <s v="Male"/>
    <n v="26"/>
    <n v="8"/>
    <n v="195884.79999999999"/>
    <x v="2"/>
    <x v="0"/>
    <x v="1"/>
    <n v="58187.74"/>
    <x v="0"/>
    <n v="0.93780171638084542"/>
    <n v="-0.58726804628751028"/>
    <x v="3"/>
  </r>
  <r>
    <n v="21"/>
    <s v="Davis"/>
    <n v="571"/>
    <s v="France"/>
    <s v="Male"/>
    <n v="26"/>
    <n v="6"/>
    <n v="239474.66"/>
    <x v="1"/>
    <x v="0"/>
    <x v="1"/>
    <n v="71646.19"/>
    <x v="0"/>
    <n v="1.5434477619625822"/>
    <n v="-0.25839276889233559"/>
    <x v="3"/>
  </r>
  <r>
    <n v="154"/>
    <s v="Taylor"/>
    <n v="465"/>
    <s v="France"/>
    <s v="Female"/>
    <n v="26"/>
    <n v="1"/>
    <n v="197384.58"/>
    <x v="2"/>
    <x v="0"/>
    <x v="0"/>
    <n v="73040.67"/>
    <x v="0"/>
    <n v="0.95863995321488382"/>
    <n v="-0.22431677969432079"/>
    <x v="3"/>
  </r>
  <r>
    <n v="425"/>
    <s v="Moore"/>
    <n v="462"/>
    <s v="France"/>
    <s v="Male"/>
    <n v="26"/>
    <n v="9"/>
    <n v="190443.29"/>
    <x v="0"/>
    <x v="1"/>
    <x v="0"/>
    <n v="77215.990000000005"/>
    <x v="0"/>
    <n v="0.86219631151160603"/>
    <n v="-0.12228723519152718"/>
    <x v="3"/>
  </r>
  <r>
    <n v="320"/>
    <s v="Jones"/>
    <n v="356"/>
    <s v="Germany"/>
    <s v="Female"/>
    <n v="26"/>
    <n v="10"/>
    <n v="114332.53"/>
    <x v="2"/>
    <x v="0"/>
    <x v="0"/>
    <n v="148688.76999999999"/>
    <x v="0"/>
    <n v="-0.19530148316405052"/>
    <n v="1.6242460096252449"/>
    <x v="3"/>
  </r>
  <r>
    <n v="201"/>
    <s v="Taylor"/>
    <n v="654"/>
    <s v="France"/>
    <s v="Female"/>
    <n v="25"/>
    <n v="6"/>
    <n v="232419.55"/>
    <x v="1"/>
    <x v="1"/>
    <x v="1"/>
    <n v="25837.27"/>
    <x v="0"/>
    <n v="1.4454226829041916"/>
    <n v="-1.377795172005128"/>
    <x v="3"/>
  </r>
  <r>
    <n v="371"/>
    <s v="Davis"/>
    <n v="411"/>
    <s v="Germany"/>
    <s v="Female"/>
    <n v="25"/>
    <n v="6"/>
    <n v="221855.45"/>
    <x v="2"/>
    <x v="0"/>
    <x v="1"/>
    <n v="27505.16"/>
    <x v="1"/>
    <n v="1.2986430100598649"/>
    <n v="-1.3370380427358113"/>
    <x v="3"/>
  </r>
  <r>
    <n v="30"/>
    <s v="Smith"/>
    <n v="686"/>
    <s v="France"/>
    <s v="Female"/>
    <n v="25"/>
    <n v="5"/>
    <n v="5425.45"/>
    <x v="0"/>
    <x v="1"/>
    <x v="0"/>
    <n v="82220.31"/>
    <x v="0"/>
    <n v="-1.7084777663146233"/>
    <n v="3.6238259901729779E-8"/>
    <x v="3"/>
  </r>
  <r>
    <n v="442"/>
    <s v="Jones"/>
    <n v="739"/>
    <s v="Spain"/>
    <s v="Male"/>
    <n v="25"/>
    <n v="1"/>
    <n v="7336.57"/>
    <x v="2"/>
    <x v="1"/>
    <x v="0"/>
    <n v="102957.36"/>
    <x v="0"/>
    <n v="-1.6819242910194019"/>
    <n v="0.50673766732561454"/>
    <x v="3"/>
  </r>
  <r>
    <n v="381"/>
    <s v="Wilson"/>
    <n v="668"/>
    <s v="Spain"/>
    <s v="Female"/>
    <n v="25"/>
    <n v="10"/>
    <n v="65557.83"/>
    <x v="1"/>
    <x v="1"/>
    <x v="1"/>
    <n v="119298.33"/>
    <x v="0"/>
    <n v="-0.87298671040349396"/>
    <n v="0.90605118720763855"/>
    <x v="3"/>
  </r>
  <r>
    <n v="173"/>
    <s v="Moore"/>
    <n v="426"/>
    <s v="France"/>
    <s v="Female"/>
    <n v="25"/>
    <n v="0"/>
    <n v="239377.45"/>
    <x v="0"/>
    <x v="0"/>
    <x v="1"/>
    <n v="126167.25"/>
    <x v="1"/>
    <n v="1.5420971071981255"/>
    <n v="1.0739024606013252"/>
    <x v="3"/>
  </r>
  <r>
    <n v="193"/>
    <s v="Smith"/>
    <n v="370"/>
    <s v="France"/>
    <s v="Male"/>
    <n v="24"/>
    <n v="6"/>
    <n v="38342.589999999997"/>
    <x v="3"/>
    <x v="0"/>
    <x v="1"/>
    <n v="18606.009999999998"/>
    <x v="1"/>
    <n v="-1.2511205811146617"/>
    <n v="-1.5545007093007777"/>
    <x v="3"/>
  </r>
  <r>
    <n v="238"/>
    <s v="Jones"/>
    <n v="389"/>
    <s v="France"/>
    <s v="Female"/>
    <n v="24"/>
    <n v="3"/>
    <n v="144426.62"/>
    <x v="1"/>
    <x v="1"/>
    <x v="0"/>
    <n v="64031.99"/>
    <x v="1"/>
    <n v="0.22283169285167606"/>
    <n v="-0.4444559587204614"/>
    <x v="3"/>
  </r>
  <r>
    <n v="472"/>
    <s v="Brown"/>
    <n v="444"/>
    <s v="France"/>
    <s v="Female"/>
    <n v="24"/>
    <n v="9"/>
    <n v="80969.13"/>
    <x v="1"/>
    <x v="1"/>
    <x v="0"/>
    <n v="80855.009999999995"/>
    <x v="0"/>
    <n v="-0.65885909213920446"/>
    <n v="-3.3362900520997878E-2"/>
    <x v="3"/>
  </r>
  <r>
    <n v="440"/>
    <s v="Jones"/>
    <n v="603"/>
    <s v="France"/>
    <s v="Male"/>
    <n v="24"/>
    <n v="0"/>
    <n v="78305.72"/>
    <x v="3"/>
    <x v="0"/>
    <x v="1"/>
    <n v="84684"/>
    <x v="1"/>
    <n v="-0.69586503192113669"/>
    <n v="6.0203605903839413E-2"/>
    <x v="3"/>
  </r>
  <r>
    <n v="129"/>
    <s v="Smith"/>
    <n v="514"/>
    <s v="France"/>
    <s v="Female"/>
    <n v="24"/>
    <n v="2"/>
    <n v="44897.120000000003"/>
    <x v="2"/>
    <x v="0"/>
    <x v="0"/>
    <n v="87587.83"/>
    <x v="1"/>
    <n v="-1.1600506585421444"/>
    <n v="0.1311625868235167"/>
    <x v="3"/>
  </r>
  <r>
    <n v="73"/>
    <s v="Davis"/>
    <n v="509"/>
    <s v="Germany"/>
    <s v="Female"/>
    <n v="24"/>
    <n v="4"/>
    <n v="112469.92"/>
    <x v="0"/>
    <x v="0"/>
    <x v="0"/>
    <n v="92201.91"/>
    <x v="1"/>
    <n v="-0.22118095102563573"/>
    <n v="0.24391382042943177"/>
    <x v="3"/>
  </r>
  <r>
    <n v="340"/>
    <s v="Miller"/>
    <n v="746"/>
    <s v="Spain"/>
    <s v="Female"/>
    <n v="24"/>
    <n v="4"/>
    <n v="73449.679999999993"/>
    <x v="0"/>
    <x v="1"/>
    <x v="0"/>
    <n v="108174.82"/>
    <x v="0"/>
    <n v="-0.76333580203112883"/>
    <n v="0.63423330053733129"/>
    <x v="3"/>
  </r>
  <r>
    <n v="184"/>
    <s v="Moore"/>
    <n v="783"/>
    <s v="Spain"/>
    <s v="Female"/>
    <n v="24"/>
    <n v="1"/>
    <n v="69808.100000000006"/>
    <x v="2"/>
    <x v="1"/>
    <x v="0"/>
    <n v="116721.45"/>
    <x v="1"/>
    <n v="-0.81393262722555548"/>
    <n v="0.84308166807177387"/>
    <x v="3"/>
  </r>
  <r>
    <n v="122"/>
    <s v="Johnson"/>
    <n v="547"/>
    <s v="France"/>
    <s v="Male"/>
    <n v="24"/>
    <n v="4"/>
    <n v="228358.15"/>
    <x v="3"/>
    <x v="0"/>
    <x v="0"/>
    <n v="127955.4"/>
    <x v="0"/>
    <n v="1.3889927964690056"/>
    <n v="1.1175983042738269"/>
    <x v="3"/>
  </r>
  <r>
    <n v="457"/>
    <s v="Jones"/>
    <n v="666"/>
    <s v="France"/>
    <s v="Male"/>
    <n v="24"/>
    <n v="2"/>
    <n v="75143.55"/>
    <x v="1"/>
    <x v="1"/>
    <x v="0"/>
    <n v="132228.18"/>
    <x v="1"/>
    <n v="-0.73980084075275943"/>
    <n v="1.2220094145984597"/>
    <x v="3"/>
  </r>
  <r>
    <n v="380"/>
    <s v="Miller"/>
    <n v="662"/>
    <s v="Germany"/>
    <s v="Male"/>
    <n v="24"/>
    <n v="3"/>
    <n v="148964.49"/>
    <x v="1"/>
    <x v="1"/>
    <x v="0"/>
    <n v="134929.35"/>
    <x v="0"/>
    <n v="0.28588174671429439"/>
    <n v="1.2880161265928964"/>
    <x v="3"/>
  </r>
  <r>
    <n v="402"/>
    <s v="Brown"/>
    <n v="357"/>
    <s v="Germany"/>
    <s v="Female"/>
    <n v="23"/>
    <n v="0"/>
    <n v="184400.14"/>
    <x v="3"/>
    <x v="1"/>
    <x v="1"/>
    <n v="22278.37"/>
    <x v="1"/>
    <n v="0.77823160273857339"/>
    <n v="-1.4647616670117367"/>
    <x v="3"/>
  </r>
  <r>
    <n v="360"/>
    <s v="Williams"/>
    <n v="836"/>
    <s v="France"/>
    <s v="Female"/>
    <n v="23"/>
    <n v="3"/>
    <n v="149033.25"/>
    <x v="3"/>
    <x v="0"/>
    <x v="0"/>
    <n v="26370.52"/>
    <x v="0"/>
    <n v="0.28683711161095166"/>
    <n v="-1.3647644930137899"/>
    <x v="3"/>
  </r>
  <r>
    <n v="461"/>
    <s v="Williams"/>
    <n v="519"/>
    <s v="Spain"/>
    <s v="Male"/>
    <n v="23"/>
    <n v="0"/>
    <n v="234421.59"/>
    <x v="0"/>
    <x v="1"/>
    <x v="0"/>
    <n v="35122.36"/>
    <x v="0"/>
    <n v="1.4732394184728874"/>
    <n v="-1.1509015438838244"/>
    <x v="3"/>
  </r>
  <r>
    <n v="335"/>
    <s v="Jones"/>
    <n v="846"/>
    <s v="Germany"/>
    <s v="Female"/>
    <n v="23"/>
    <n v="3"/>
    <n v="117828.86"/>
    <x v="1"/>
    <x v="0"/>
    <x v="0"/>
    <n v="67005.429999999993"/>
    <x v="0"/>
    <n v="-0.14672278989573551"/>
    <n v="-0.37179596408379029"/>
    <x v="3"/>
  </r>
  <r>
    <n v="155"/>
    <s v="Moore"/>
    <n v="437"/>
    <s v="Spain"/>
    <s v="Male"/>
    <n v="23"/>
    <n v="9"/>
    <n v="118047.52"/>
    <x v="0"/>
    <x v="0"/>
    <x v="1"/>
    <n v="69509.759999999995"/>
    <x v="0"/>
    <n v="-0.14368468506293944"/>
    <n v="-0.31059930150830362"/>
    <x v="3"/>
  </r>
  <r>
    <n v="500"/>
    <s v="Davis"/>
    <n v="393"/>
    <s v="Germany"/>
    <s v="Male"/>
    <n v="23"/>
    <n v="9"/>
    <n v="189955.55"/>
    <x v="2"/>
    <x v="1"/>
    <x v="1"/>
    <n v="85565.14"/>
    <x v="0"/>
    <n v="0.85541955649858126"/>
    <n v="8.1735443665541835E-2"/>
    <x v="3"/>
  </r>
  <r>
    <n v="315"/>
    <s v="Brown"/>
    <n v="572"/>
    <s v="France"/>
    <s v="Male"/>
    <n v="23"/>
    <n v="6"/>
    <n v="169958.77"/>
    <x v="3"/>
    <x v="1"/>
    <x v="0"/>
    <n v="90227.36"/>
    <x v="0"/>
    <n v="0.57758038171417136"/>
    <n v="0.1956630427410172"/>
    <x v="3"/>
  </r>
  <r>
    <n v="207"/>
    <s v="Jones"/>
    <n v="714"/>
    <s v="Germany"/>
    <s v="Male"/>
    <n v="23"/>
    <n v="5"/>
    <n v="160251.42000000001"/>
    <x v="2"/>
    <x v="1"/>
    <x v="0"/>
    <n v="117590.06"/>
    <x v="0"/>
    <n v="0.4427045610398711"/>
    <n v="0.86430731847714914"/>
    <x v="3"/>
  </r>
  <r>
    <n v="205"/>
    <s v="Brown"/>
    <n v="608"/>
    <s v="Germany"/>
    <s v="Female"/>
    <n v="23"/>
    <n v="3"/>
    <n v="88373.18"/>
    <x v="1"/>
    <x v="0"/>
    <x v="0"/>
    <n v="122196.71"/>
    <x v="1"/>
    <n v="-0.55598577243160618"/>
    <n v="0.97687699006730133"/>
    <x v="3"/>
  </r>
  <r>
    <n v="268"/>
    <s v="Johnson"/>
    <n v="455"/>
    <s v="Germany"/>
    <s v="Female"/>
    <n v="23"/>
    <n v="9"/>
    <n v="63959.82"/>
    <x v="0"/>
    <x v="0"/>
    <x v="1"/>
    <n v="124481.95"/>
    <x v="1"/>
    <n v="-0.89518977408160783"/>
    <n v="1.0327198946302001"/>
    <x v="3"/>
  </r>
  <r>
    <n v="294"/>
    <s v="Johnson"/>
    <n v="682"/>
    <s v="France"/>
    <s v="Female"/>
    <n v="22"/>
    <n v="8"/>
    <n v="153461.96"/>
    <x v="1"/>
    <x v="0"/>
    <x v="1"/>
    <n v="66758.63"/>
    <x v="1"/>
    <n v="0.34837047507044172"/>
    <n v="-0.37782685311344266"/>
    <x v="3"/>
  </r>
  <r>
    <n v="236"/>
    <s v="Johnson"/>
    <n v="759"/>
    <s v="Spain"/>
    <s v="Male"/>
    <n v="22"/>
    <n v="5"/>
    <n v="44104.69"/>
    <x v="0"/>
    <x v="1"/>
    <x v="1"/>
    <n v="101878.09"/>
    <x v="0"/>
    <n v="-1.1710608360444428"/>
    <n v="0.48036425726470172"/>
    <x v="3"/>
  </r>
  <r>
    <n v="490"/>
    <s v="Miller"/>
    <n v="567"/>
    <s v="France"/>
    <s v="Male"/>
    <n v="22"/>
    <n v="9"/>
    <n v="67796.41"/>
    <x v="0"/>
    <x v="1"/>
    <x v="1"/>
    <n v="125551.64"/>
    <x v="1"/>
    <n v="-0.84188344178280172"/>
    <n v="1.0588592045415826"/>
    <x v="3"/>
  </r>
  <r>
    <n v="11"/>
    <s v="Wilson"/>
    <n v="519"/>
    <s v="France"/>
    <s v="Female"/>
    <n v="22"/>
    <n v="10"/>
    <n v="198399.26"/>
    <x v="2"/>
    <x v="1"/>
    <x v="0"/>
    <n v="125839.96"/>
    <x v="0"/>
    <n v="0.97273811571255853"/>
    <n v="1.0659046904614753"/>
    <x v="3"/>
  </r>
  <r>
    <n v="27"/>
    <s v="Smith"/>
    <n v="618"/>
    <s v="Germany"/>
    <s v="Male"/>
    <n v="22"/>
    <n v="4"/>
    <n v="39874.14"/>
    <x v="2"/>
    <x v="1"/>
    <x v="1"/>
    <n v="137124.10999999999"/>
    <x v="0"/>
    <n v="-1.229840925683084"/>
    <n v="1.3416480309961396"/>
    <x v="3"/>
  </r>
  <r>
    <n v="477"/>
    <s v="Brown"/>
    <n v="622"/>
    <s v="Germany"/>
    <s v="Male"/>
    <n v="22"/>
    <n v="0"/>
    <n v="34494.730000000003"/>
    <x v="1"/>
    <x v="1"/>
    <x v="1"/>
    <n v="146557.31"/>
    <x v="1"/>
    <n v="-1.3045835009990601"/>
    <n v="1.572160925625474"/>
    <x v="3"/>
  </r>
  <r>
    <n v="5"/>
    <s v="Wilson"/>
    <n v="659"/>
    <s v="Spain"/>
    <s v="Female"/>
    <n v="21"/>
    <n v="2"/>
    <n v="7463.43"/>
    <x v="1"/>
    <x v="1"/>
    <x v="1"/>
    <n v="16036.55"/>
    <x v="1"/>
    <n v="-1.6801616733522997"/>
    <n v="-1.6172889107842918"/>
    <x v="3"/>
  </r>
  <r>
    <n v="88"/>
    <s v="Davis"/>
    <n v="844"/>
    <s v="Germany"/>
    <s v="Female"/>
    <n v="21"/>
    <n v="6"/>
    <n v="92743.31"/>
    <x v="0"/>
    <x v="0"/>
    <x v="0"/>
    <n v="54061.89"/>
    <x v="1"/>
    <n v="-0.49526633095649902"/>
    <n v="-0.6880887249868316"/>
    <x v="3"/>
  </r>
  <r>
    <n v="12"/>
    <s v="Miller"/>
    <n v="672"/>
    <s v="Germany"/>
    <s v="Male"/>
    <n v="21"/>
    <n v="3"/>
    <n v="157278.91"/>
    <x v="2"/>
    <x v="0"/>
    <x v="0"/>
    <n v="58708.71"/>
    <x v="0"/>
    <n v="0.40140392536560709"/>
    <n v="-0.57453744556717745"/>
    <x v="3"/>
  </r>
  <r>
    <n v="253"/>
    <s v="Brown"/>
    <n v="569"/>
    <s v="Spain"/>
    <s v="Male"/>
    <n v="21"/>
    <n v="1"/>
    <n v="18800.849999999999"/>
    <x v="1"/>
    <x v="0"/>
    <x v="0"/>
    <n v="60995.519999999997"/>
    <x v="0"/>
    <n v="-1.5226373410855918"/>
    <n v="-0.5186561759484577"/>
    <x v="3"/>
  </r>
  <r>
    <n v="209"/>
    <s v="Wilson"/>
    <n v="695"/>
    <s v="Germany"/>
    <s v="Female"/>
    <n v="21"/>
    <n v="10"/>
    <n v="112981.4"/>
    <x v="0"/>
    <x v="0"/>
    <x v="1"/>
    <n v="69975.320000000007"/>
    <x v="1"/>
    <n v="-0.21407434780658102"/>
    <n v="-0.29922271845868786"/>
    <x v="3"/>
  </r>
  <r>
    <n v="259"/>
    <s v="Davis"/>
    <n v="400"/>
    <s v="Germany"/>
    <s v="Male"/>
    <n v="21"/>
    <n v="3"/>
    <n v="67715.59"/>
    <x v="3"/>
    <x v="1"/>
    <x v="1"/>
    <n v="71585.87"/>
    <x v="0"/>
    <n v="-0.843006370679658"/>
    <n v="-0.2598667689987727"/>
    <x v="3"/>
  </r>
  <r>
    <n v="169"/>
    <s v="Taylor"/>
    <n v="610"/>
    <s v="Germany"/>
    <s v="Male"/>
    <n v="21"/>
    <n v="4"/>
    <n v="183590.26"/>
    <x v="2"/>
    <x v="1"/>
    <x v="1"/>
    <n v="86790.47"/>
    <x v="1"/>
    <n v="0.7669789715212274"/>
    <n v="0.11167802573484625"/>
    <x v="3"/>
  </r>
  <r>
    <n v="198"/>
    <s v="Moore"/>
    <n v="760"/>
    <s v="France"/>
    <s v="Female"/>
    <n v="21"/>
    <n v="4"/>
    <n v="17937.98"/>
    <x v="1"/>
    <x v="0"/>
    <x v="0"/>
    <n v="106372.6"/>
    <x v="1"/>
    <n v="-1.5346262257333312"/>
    <n v="0.5901936375429202"/>
    <x v="3"/>
  </r>
  <r>
    <n v="191"/>
    <s v="Davis"/>
    <n v="671"/>
    <s v="Germany"/>
    <s v="Male"/>
    <n v="21"/>
    <n v="1"/>
    <n v="87143.41"/>
    <x v="3"/>
    <x v="0"/>
    <x v="0"/>
    <n v="130888.76"/>
    <x v="0"/>
    <n v="-0.57307243748341063"/>
    <n v="1.1892788903517117"/>
    <x v="3"/>
  </r>
  <r>
    <n v="459"/>
    <s v="Taylor"/>
    <n v="600"/>
    <s v="Spain"/>
    <s v="Male"/>
    <n v="21"/>
    <n v="4"/>
    <n v="30283.43"/>
    <x v="1"/>
    <x v="0"/>
    <x v="0"/>
    <n v="140478.74"/>
    <x v="0"/>
    <n v="-1.363096127370385"/>
    <n v="1.423622914568035"/>
    <x v="3"/>
  </r>
  <r>
    <n v="203"/>
    <s v="Davis"/>
    <n v="452"/>
    <s v="Spain"/>
    <s v="Male"/>
    <n v="20"/>
    <n v="2"/>
    <n v="240624.04"/>
    <x v="2"/>
    <x v="0"/>
    <x v="0"/>
    <n v="16236.92"/>
    <x v="0"/>
    <n v="1.5594174726216836"/>
    <n v="-1.6123926010805987"/>
    <x v="3"/>
  </r>
  <r>
    <n v="244"/>
    <s v="Taylor"/>
    <n v="545"/>
    <s v="France"/>
    <s v="Female"/>
    <n v="20"/>
    <n v="4"/>
    <n v="152465.9"/>
    <x v="2"/>
    <x v="1"/>
    <x v="1"/>
    <n v="43527.09"/>
    <x v="1"/>
    <n v="0.33453102249678945"/>
    <n v="-0.94552069317801912"/>
    <x v="3"/>
  </r>
  <r>
    <n v="20"/>
    <s v="Johnson"/>
    <n v="765"/>
    <s v="Germany"/>
    <s v="Female"/>
    <n v="20"/>
    <n v="4"/>
    <n v="246840.35"/>
    <x v="3"/>
    <x v="0"/>
    <x v="0"/>
    <n v="93337.31"/>
    <x v="1"/>
    <n v="1.6457881003229473"/>
    <n v="0.27165884232678839"/>
    <x v="3"/>
  </r>
  <r>
    <n v="1"/>
    <s v="Davis"/>
    <n v="764"/>
    <s v="Germany"/>
    <s v="Male"/>
    <n v="20"/>
    <n v="7"/>
    <n v="119274.87"/>
    <x v="2"/>
    <x v="1"/>
    <x v="0"/>
    <n v="107886.77"/>
    <x v="1"/>
    <n v="-0.12663164396474047"/>
    <n v="0.62719441242958629"/>
    <x v="3"/>
  </r>
  <r>
    <n v="85"/>
    <s v="Jones"/>
    <n v="820"/>
    <s v="Spain"/>
    <s v="Female"/>
    <n v="20"/>
    <n v="10"/>
    <n v="20249.55"/>
    <x v="2"/>
    <x v="0"/>
    <x v="0"/>
    <n v="121737.08"/>
    <x v="1"/>
    <n v="-1.5025088197681509"/>
    <n v="0.96564531452151814"/>
    <x v="3"/>
  </r>
  <r>
    <n v="52"/>
    <s v="Brown"/>
    <n v="561"/>
    <s v="Spain"/>
    <s v="Male"/>
    <n v="19"/>
    <n v="10"/>
    <n v="202302.98"/>
    <x v="1"/>
    <x v="1"/>
    <x v="1"/>
    <n v="24025.919999999998"/>
    <x v="1"/>
    <n v="1.0269771653690229"/>
    <n v="-1.4220579387954904"/>
    <x v="3"/>
  </r>
  <r>
    <n v="433"/>
    <s v="Davis"/>
    <n v="614"/>
    <s v="France"/>
    <s v="Male"/>
    <n v="19"/>
    <n v="0"/>
    <n v="179138.58"/>
    <x v="3"/>
    <x v="0"/>
    <x v="0"/>
    <n v="40101.64"/>
    <x v="0"/>
    <n v="0.70512645838639931"/>
    <n v="-1.0292261584398656"/>
    <x v="3"/>
  </r>
  <r>
    <n v="223"/>
    <s v="Williams"/>
    <n v="728"/>
    <s v="France"/>
    <s v="Female"/>
    <n v="19"/>
    <n v="4"/>
    <n v="16689.2"/>
    <x v="2"/>
    <x v="1"/>
    <x v="1"/>
    <n v="141842.12"/>
    <x v="0"/>
    <n v="-1.5519770194454825"/>
    <n v="1.4569389335520218"/>
    <x v="3"/>
  </r>
  <r>
    <n v="355"/>
    <s v="Brown"/>
    <n v="810"/>
    <s v="Germany"/>
    <s v="Male"/>
    <n v="19"/>
    <n v="2"/>
    <n v="136582.23000000001"/>
    <x v="3"/>
    <x v="1"/>
    <x v="0"/>
    <n v="146255.76999999999"/>
    <x v="0"/>
    <n v="0.11384020300745749"/>
    <n v="1.564792391273766"/>
    <x v="3"/>
  </r>
  <r>
    <n v="441"/>
    <s v="Davis"/>
    <n v="507"/>
    <s v="Germany"/>
    <s v="Female"/>
    <n v="18"/>
    <n v="7"/>
    <n v="6988.85"/>
    <x v="3"/>
    <x v="1"/>
    <x v="1"/>
    <n v="20477.41"/>
    <x v="0"/>
    <n v="-1.68675558074985"/>
    <n v="-1.5087705402161258"/>
    <x v="3"/>
  </r>
  <r>
    <n v="476"/>
    <s v="Williams"/>
    <n v="566"/>
    <s v="France"/>
    <s v="Male"/>
    <n v="18"/>
    <n v="10"/>
    <n v="146680.78"/>
    <x v="3"/>
    <x v="0"/>
    <x v="0"/>
    <n v="76895.64"/>
    <x v="1"/>
    <n v="0.25415143304144794"/>
    <n v="-0.13011541712284513"/>
    <x v="3"/>
  </r>
  <r>
    <n v="492"/>
    <s v="Williams"/>
    <n v="484"/>
    <s v="Spain"/>
    <s v="Female"/>
    <n v="18"/>
    <n v="1"/>
    <n v="49654.19"/>
    <x v="2"/>
    <x v="0"/>
    <x v="1"/>
    <n v="81684.84"/>
    <x v="0"/>
    <n v="-1.0939549969810496"/>
    <n v="-1.3084891430735752E-2"/>
    <x v="3"/>
  </r>
  <r>
    <n v="214"/>
    <s v="Jones"/>
    <n v="418"/>
    <s v="Germany"/>
    <s v="Female"/>
    <n v="18"/>
    <n v="1"/>
    <n v="96345.86"/>
    <x v="0"/>
    <x v="1"/>
    <x v="0"/>
    <n v="82176.899999999994"/>
    <x v="1"/>
    <n v="-0.44521179622042767"/>
    <n v="-1.0607453370125612E-3"/>
    <x v="3"/>
  </r>
  <r>
    <n v="121"/>
    <s v="Taylor"/>
    <n v="367"/>
    <s v="Germany"/>
    <s v="Male"/>
    <n v="18"/>
    <n v="8"/>
    <n v="37178.53"/>
    <x v="1"/>
    <x v="1"/>
    <x v="0"/>
    <n v="82791.570000000007"/>
    <x v="0"/>
    <n v="-1.2672942585667084"/>
    <n v="1.3959540561920541E-2"/>
    <x v="3"/>
  </r>
  <r>
    <n v="354"/>
    <s v="Wilson"/>
    <n v="698"/>
    <s v="France"/>
    <s v="Female"/>
    <n v="18"/>
    <n v="5"/>
    <n v="142139.92000000001"/>
    <x v="3"/>
    <x v="0"/>
    <x v="1"/>
    <n v="89777.41"/>
    <x v="1"/>
    <n v="0.19105983553367259"/>
    <n v="0.18466791097889321"/>
    <x v="3"/>
  </r>
  <r>
    <n v="210"/>
    <s v="Taylor"/>
    <n v="730"/>
    <s v="Germany"/>
    <s v="Female"/>
    <n v="18"/>
    <n v="2"/>
    <n v="240529.94"/>
    <x v="2"/>
    <x v="1"/>
    <x v="0"/>
    <n v="93107.1"/>
    <x v="1"/>
    <n v="1.5581100288058685"/>
    <n v="0.26603335219908869"/>
    <x v="3"/>
  </r>
  <r>
    <n v="393"/>
    <s v="Smith"/>
    <n v="767"/>
    <s v="France"/>
    <s v="Female"/>
    <n v="18"/>
    <n v="3"/>
    <n v="117042.43"/>
    <x v="1"/>
    <x v="0"/>
    <x v="0"/>
    <n v="97218.44"/>
    <x v="0"/>
    <n v="-0.15764960222380561"/>
    <n v="0.36649945958633434"/>
    <x v="3"/>
  </r>
  <r>
    <n v="58"/>
    <s v="Johnson"/>
    <n v="465"/>
    <s v="Germany"/>
    <s v="Male"/>
    <n v="18"/>
    <n v="0"/>
    <n v="55329.78"/>
    <x v="1"/>
    <x v="0"/>
    <x v="0"/>
    <n v="130050.9"/>
    <x v="0"/>
    <n v="-1.0150972387812469"/>
    <n v="1.1688046574409143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n v="313"/>
    <s v="Moore"/>
    <n v="695"/>
    <s v="France"/>
    <s v="Female"/>
    <n v="90"/>
    <x v="0"/>
    <n v="34576.69"/>
    <n v="4"/>
    <n v="0"/>
    <n v="0"/>
    <n v="87838.32"/>
    <x v="0"/>
    <n v="-1.3034447327191059"/>
    <n v="0.1372836459525201"/>
    <s v="Senior Citizens"/>
    <x v="0"/>
  </r>
  <r>
    <n v="350"/>
    <s v="Moore"/>
    <n v="433"/>
    <s v="Germany"/>
    <s v="Male"/>
    <n v="87"/>
    <x v="0"/>
    <n v="161025.64000000001"/>
    <n v="4"/>
    <n v="1"/>
    <n v="1"/>
    <n v="129607.96"/>
    <x v="1"/>
    <n v="0.45346172523838718"/>
    <n v="1.1579808244312078"/>
    <s v="Senior Citizens"/>
    <x v="0"/>
  </r>
  <r>
    <n v="56"/>
    <s v="Moore"/>
    <n v="740"/>
    <s v="France"/>
    <s v="Male"/>
    <n v="86"/>
    <x v="0"/>
    <n v="153882.97"/>
    <n v="2"/>
    <n v="0"/>
    <n v="1"/>
    <n v="29656.959999999999"/>
    <x v="0"/>
    <n v="0.35422007040409031"/>
    <n v="-1.2844559235542505"/>
    <s v="Senior Citizens"/>
    <x v="0"/>
  </r>
  <r>
    <n v="452"/>
    <s v="Davis"/>
    <n v="712"/>
    <s v="France"/>
    <s v="Female"/>
    <n v="86"/>
    <x v="0"/>
    <n v="57728.98"/>
    <n v="1"/>
    <n v="1"/>
    <n v="1"/>
    <n v="46958.37"/>
    <x v="1"/>
    <n v="-0.98176228444646563"/>
    <n v="-0.86167276404646087"/>
    <s v="Senior Citizens"/>
    <x v="0"/>
  </r>
  <r>
    <n v="79"/>
    <s v="Brown"/>
    <n v="742"/>
    <s v="Spain"/>
    <s v="Female"/>
    <n v="84"/>
    <x v="0"/>
    <n v="129782.98"/>
    <n v="2"/>
    <n v="1"/>
    <n v="1"/>
    <n v="53475.839999999997"/>
    <x v="1"/>
    <n v="1.9370092862078199E-2"/>
    <n v="-0.70240964279812146"/>
    <s v="Senior Citizens"/>
    <x v="0"/>
  </r>
  <r>
    <n v="25"/>
    <s v="Brown"/>
    <n v="464"/>
    <s v="Spain"/>
    <s v="Female"/>
    <n v="81"/>
    <x v="0"/>
    <n v="242071.38"/>
    <n v="2"/>
    <n v="0"/>
    <n v="0"/>
    <n v="129312.08"/>
    <x v="1"/>
    <n v="1.579527097832971"/>
    <n v="1.1507505997711849"/>
    <s v="Senior Citizens"/>
    <x v="0"/>
  </r>
  <r>
    <n v="276"/>
    <s v="Johnson"/>
    <n v="746"/>
    <s v="France"/>
    <s v="Male"/>
    <n v="78"/>
    <x v="0"/>
    <n v="238996.86"/>
    <n v="2"/>
    <n v="1"/>
    <n v="0"/>
    <n v="105194.71"/>
    <x v="1"/>
    <n v="1.5368091152548673"/>
    <n v="0.56141031550427367"/>
    <s v="Senior Citizens"/>
    <x v="0"/>
  </r>
  <r>
    <n v="172"/>
    <s v="Wilson"/>
    <n v="398"/>
    <s v="France"/>
    <s v="Female"/>
    <n v="78"/>
    <x v="0"/>
    <n v="124423.84"/>
    <n v="4"/>
    <n v="1"/>
    <n v="1"/>
    <n v="144202.79"/>
    <x v="0"/>
    <n v="-5.5090847106963201E-2"/>
    <n v="1.5146250713381983"/>
    <s v="Senior Citizens"/>
    <x v="0"/>
  </r>
  <r>
    <n v="429"/>
    <s v="Moore"/>
    <n v="363"/>
    <s v="France"/>
    <s v="Female"/>
    <n v="77"/>
    <x v="0"/>
    <n v="36501.089999999997"/>
    <n v="2"/>
    <n v="1"/>
    <n v="1"/>
    <n v="64420.160000000003"/>
    <x v="0"/>
    <n v="-1.2767067425049254"/>
    <n v="-0.43497050412304838"/>
    <s v="Senior Citizens"/>
    <x v="0"/>
  </r>
  <r>
    <n v="24"/>
    <s v="Taylor"/>
    <n v="443"/>
    <s v="France"/>
    <s v="Female"/>
    <n v="70"/>
    <x v="0"/>
    <n v="116986.77"/>
    <n v="2"/>
    <n v="0"/>
    <n v="0"/>
    <n v="16197.08"/>
    <x v="1"/>
    <n v="-0.15842295315673205"/>
    <n v="-1.6133661449174637"/>
    <s v="Old person"/>
    <x v="0"/>
  </r>
  <r>
    <n v="474"/>
    <s v="Johnson"/>
    <n v="515"/>
    <s v="Germany"/>
    <s v="Male"/>
    <n v="66"/>
    <x v="0"/>
    <n v="133040.76"/>
    <n v="3"/>
    <n v="0"/>
    <n v="0"/>
    <n v="64833.38"/>
    <x v="1"/>
    <n v="6.4634325745030446E-2"/>
    <n v="-0.42487291917639919"/>
    <s v="Old person"/>
    <x v="0"/>
  </r>
  <r>
    <n v="53"/>
    <s v="Davis"/>
    <n v="694"/>
    <s v="France"/>
    <s v="Female"/>
    <n v="65"/>
    <x v="0"/>
    <n v="42733.7"/>
    <n v="3"/>
    <n v="0"/>
    <n v="1"/>
    <n v="103834.77"/>
    <x v="1"/>
    <n v="-1.1901096394136743"/>
    <n v="0.52817835753431497"/>
    <s v="Old person"/>
    <x v="0"/>
  </r>
  <r>
    <n v="149"/>
    <s v="Jones"/>
    <n v="468"/>
    <s v="France"/>
    <s v="Female"/>
    <n v="63"/>
    <x v="0"/>
    <n v="99986.47"/>
    <n v="4"/>
    <n v="1"/>
    <n v="1"/>
    <n v="106009.52"/>
    <x v="0"/>
    <n v="-0.39462844839583661"/>
    <n v="0.58132129074840355"/>
    <s v="Old person"/>
    <x v="0"/>
  </r>
  <r>
    <n v="364"/>
    <s v="Brown"/>
    <n v="763"/>
    <s v="France"/>
    <s v="Female"/>
    <n v="59"/>
    <x v="0"/>
    <n v="99046.96"/>
    <n v="4"/>
    <n v="1"/>
    <n v="0"/>
    <n v="15699.41"/>
    <x v="1"/>
    <n v="-0.4076821842023865"/>
    <n v="-1.6255273788858073"/>
    <s v="Old person"/>
    <x v="0"/>
  </r>
  <r>
    <n v="4"/>
    <s v="Jones"/>
    <n v="516"/>
    <s v="Germany"/>
    <s v="Female"/>
    <n v="59"/>
    <x v="0"/>
    <n v="23572.03"/>
    <n v="1"/>
    <n v="1"/>
    <n v="0"/>
    <n v="146739.54999999999"/>
    <x v="1"/>
    <n v="-1.456345632423109"/>
    <n v="1.5766142044616243"/>
    <s v="Old person"/>
    <x v="0"/>
  </r>
  <r>
    <n v="287"/>
    <s v="Moore"/>
    <n v="720"/>
    <s v="Spain"/>
    <s v="Male"/>
    <n v="58"/>
    <x v="0"/>
    <n v="11432.08"/>
    <n v="3"/>
    <n v="0"/>
    <n v="0"/>
    <n v="56250.21"/>
    <x v="0"/>
    <n v="-1.6250204735687339"/>
    <n v="-0.63461419062147073"/>
    <s v="Old person"/>
    <x v="0"/>
  </r>
  <r>
    <n v="150"/>
    <s v="Smith"/>
    <n v="652"/>
    <s v="Germany"/>
    <s v="Female"/>
    <n v="57"/>
    <x v="0"/>
    <n v="7447.39"/>
    <n v="2"/>
    <n v="0"/>
    <n v="0"/>
    <n v="60175.22"/>
    <x v="0"/>
    <n v="-1.6803845362514105"/>
    <n v="-0.53870130670624816"/>
    <s v="Old person"/>
    <x v="0"/>
  </r>
  <r>
    <n v="102"/>
    <s v="Jones"/>
    <n v="549"/>
    <s v="Spain"/>
    <s v="Female"/>
    <n v="56"/>
    <x v="0"/>
    <n v="36824.33"/>
    <n v="1"/>
    <n v="0"/>
    <n v="1"/>
    <n v="51542.45"/>
    <x v="1"/>
    <n v="-1.2722155826853287"/>
    <n v="-0.74965462067915922"/>
    <s v="Old person"/>
    <x v="0"/>
  </r>
  <r>
    <n v="446"/>
    <s v="Jones"/>
    <n v="500"/>
    <s v="Germany"/>
    <s v="Male"/>
    <n v="54"/>
    <x v="0"/>
    <n v="43219.63"/>
    <n v="1"/>
    <n v="0"/>
    <n v="1"/>
    <n v="148736.87"/>
    <x v="0"/>
    <n v="-1.1833580328948756"/>
    <n v="1.6254213976411456"/>
    <s v="Old person"/>
    <x v="0"/>
  </r>
  <r>
    <n v="217"/>
    <s v="Taylor"/>
    <n v="362"/>
    <s v="Spain"/>
    <s v="Female"/>
    <n v="52"/>
    <x v="0"/>
    <n v="146945.31"/>
    <n v="4"/>
    <n v="1"/>
    <n v="0"/>
    <n v="125091.68"/>
    <x v="1"/>
    <n v="0.25782686463122001"/>
    <n v="1.04761946500317"/>
    <s v="Old person"/>
    <x v="0"/>
  </r>
  <r>
    <n v="124"/>
    <s v="Miller"/>
    <n v="700"/>
    <s v="France"/>
    <s v="Male"/>
    <n v="49"/>
    <x v="0"/>
    <n v="64161.88"/>
    <n v="1"/>
    <n v="1"/>
    <n v="1"/>
    <n v="141665.95000000001"/>
    <x v="0"/>
    <n v="-0.89238231289751446"/>
    <n v="1.4526339833074691"/>
    <s v="Adults"/>
    <x v="0"/>
  </r>
  <r>
    <n v="334"/>
    <s v="Smith"/>
    <n v="702"/>
    <s v="Spain"/>
    <s v="Female"/>
    <n v="47"/>
    <x v="0"/>
    <n v="189373.41"/>
    <n v="4"/>
    <n v="1"/>
    <n v="1"/>
    <n v="117202.4"/>
    <x v="0"/>
    <n v="0.8473311894110328"/>
    <n v="0.8548343264137942"/>
    <s v="Adults"/>
    <x v="0"/>
  </r>
  <r>
    <n v="98"/>
    <s v="Williams"/>
    <n v="788"/>
    <s v="Germany"/>
    <s v="Male"/>
    <n v="46"/>
    <x v="0"/>
    <n v="126692.44"/>
    <n v="1"/>
    <n v="1"/>
    <n v="1"/>
    <n v="27793.35"/>
    <x v="1"/>
    <n v="-2.3570474731214899E-2"/>
    <n v="-1.3299957335402757"/>
    <s v="Adults"/>
    <x v="0"/>
  </r>
  <r>
    <n v="379"/>
    <s v="Miller"/>
    <n v="605"/>
    <s v="Spain"/>
    <s v="Female"/>
    <n v="45"/>
    <x v="0"/>
    <n v="25176.02"/>
    <n v="1"/>
    <n v="0"/>
    <n v="1"/>
    <n v="47799.89"/>
    <x v="1"/>
    <n v="-1.4340594814546808"/>
    <n v="-0.84110909412655299"/>
    <s v="Adults"/>
    <x v="0"/>
  </r>
  <r>
    <n v="372"/>
    <s v="Taylor"/>
    <n v="673"/>
    <s v="France"/>
    <s v="Male"/>
    <n v="44"/>
    <x v="0"/>
    <n v="42307.27"/>
    <n v="4"/>
    <n v="1"/>
    <n v="0"/>
    <n v="91193.31"/>
    <x v="0"/>
    <n v="-1.196034541288042"/>
    <n v="0.21926732660727802"/>
    <s v="Adults"/>
    <x v="0"/>
  </r>
  <r>
    <n v="290"/>
    <s v="Jones"/>
    <n v="720"/>
    <s v="Germany"/>
    <s v="Female"/>
    <n v="40"/>
    <x v="0"/>
    <n v="115463.15"/>
    <n v="2"/>
    <n v="1"/>
    <n v="0"/>
    <n v="11871.68"/>
    <x v="1"/>
    <n v="-0.1795924276163714"/>
    <n v="-1.7190630955206223"/>
    <s v="Adults"/>
    <x v="0"/>
  </r>
  <r>
    <n v="64"/>
    <s v="Wilson"/>
    <n v="707"/>
    <s v="Spain"/>
    <s v="Female"/>
    <n v="40"/>
    <x v="0"/>
    <n v="214046.15"/>
    <n v="1"/>
    <n v="0"/>
    <n v="1"/>
    <n v="86343.96"/>
    <x v="1"/>
    <n v="1.1901390675429282"/>
    <n v="0.10076695498675135"/>
    <s v="Adults"/>
    <x v="0"/>
  </r>
  <r>
    <n v="356"/>
    <s v="Taylor"/>
    <n v="504"/>
    <s v="Spain"/>
    <s v="Female"/>
    <n v="39"/>
    <x v="0"/>
    <n v="65011.59"/>
    <n v="2"/>
    <n v="1"/>
    <n v="1"/>
    <n v="100509.25"/>
    <x v="0"/>
    <n v="-0.88057627586524911"/>
    <n v="0.4469148158572871"/>
    <s v="Adults"/>
    <x v="0"/>
  </r>
  <r>
    <n v="431"/>
    <s v="Taylor"/>
    <n v="625"/>
    <s v="France"/>
    <s v="Male"/>
    <n v="36"/>
    <x v="0"/>
    <n v="165914.53"/>
    <n v="2"/>
    <n v="1"/>
    <n v="0"/>
    <n v="71091.44"/>
    <x v="1"/>
    <n v="0.52138891967727963"/>
    <n v="-0.27194882922134234"/>
    <s v="Adults"/>
    <x v="0"/>
  </r>
  <r>
    <n v="302"/>
    <s v="Miller"/>
    <n v="585"/>
    <s v="Spain"/>
    <s v="Male"/>
    <n v="35"/>
    <x v="0"/>
    <n v="205498.11"/>
    <n v="2"/>
    <n v="0"/>
    <n v="1"/>
    <n v="24566"/>
    <x v="0"/>
    <n v="1.0713709268910765"/>
    <n v="-1.4088603595931501"/>
    <s v="Adults"/>
    <x v="0"/>
  </r>
  <r>
    <n v="6"/>
    <s v="Taylor"/>
    <n v="777"/>
    <s v="Spain"/>
    <s v="Female"/>
    <n v="34"/>
    <x v="0"/>
    <n v="127812.9"/>
    <n v="4"/>
    <n v="1"/>
    <n v="0"/>
    <n v="65189.1"/>
    <x v="1"/>
    <n v="-8.0025842118943476E-3"/>
    <n v="-0.4161804238537572"/>
    <s v="Adults"/>
    <x v="0"/>
  </r>
  <r>
    <n v="336"/>
    <s v="Johnson"/>
    <n v="558"/>
    <s v="Germany"/>
    <s v="Male"/>
    <n v="32"/>
    <x v="0"/>
    <n v="122399.16"/>
    <n v="1"/>
    <n v="0"/>
    <n v="0"/>
    <n v="107283.07"/>
    <x v="1"/>
    <n v="-8.3222147266413832E-2"/>
    <n v="0.61244219319457105"/>
    <s v="Adults"/>
    <x v="0"/>
  </r>
  <r>
    <n v="432"/>
    <s v="Davis"/>
    <n v="713"/>
    <s v="Germany"/>
    <s v="Female"/>
    <n v="30"/>
    <x v="0"/>
    <n v="46903.02"/>
    <n v="2"/>
    <n v="1"/>
    <n v="1"/>
    <n v="120900.9"/>
    <x v="1"/>
    <n v="-1.1321802913780337"/>
    <n v="0.94521213466407894"/>
    <s v="Youngsters"/>
    <x v="0"/>
  </r>
  <r>
    <n v="202"/>
    <s v="Wilson"/>
    <n v="800"/>
    <s v="Germany"/>
    <s v="Male"/>
    <n v="29"/>
    <x v="0"/>
    <n v="88974.52"/>
    <n v="4"/>
    <n v="1"/>
    <n v="1"/>
    <n v="115636.53"/>
    <x v="1"/>
    <n v="-0.54763063678652713"/>
    <n v="0.81657019268258613"/>
    <s v="Youngsters"/>
    <x v="0"/>
  </r>
  <r>
    <n v="237"/>
    <s v="Smith"/>
    <n v="758"/>
    <s v="France"/>
    <s v="Female"/>
    <n v="28"/>
    <x v="0"/>
    <n v="229680.01"/>
    <n v="1"/>
    <n v="1"/>
    <n v="0"/>
    <n v="33894.089999999997"/>
    <x v="1"/>
    <n v="1.4073589780032632"/>
    <n v="-1.1809159687965032"/>
    <s v="Youngsters"/>
    <x v="0"/>
  </r>
  <r>
    <n v="499"/>
    <s v="Miller"/>
    <n v="718"/>
    <s v="Spain"/>
    <s v="Male"/>
    <n v="28"/>
    <x v="0"/>
    <n v="100871.3"/>
    <n v="4"/>
    <n v="0"/>
    <n v="0"/>
    <n v="106391.64"/>
    <x v="0"/>
    <n v="-0.38233444721042126"/>
    <n v="0.59065890548102451"/>
    <s v="Youngsters"/>
    <x v="0"/>
  </r>
  <r>
    <n v="173"/>
    <s v="Moore"/>
    <n v="426"/>
    <s v="France"/>
    <s v="Female"/>
    <n v="25"/>
    <x v="0"/>
    <n v="239377.45"/>
    <n v="4"/>
    <n v="0"/>
    <n v="1"/>
    <n v="126167.25"/>
    <x v="1"/>
    <n v="1.5420971071981304"/>
    <n v="1.0739024606013206"/>
    <s v="Youngsters"/>
    <x v="0"/>
  </r>
  <r>
    <n v="440"/>
    <s v="Jones"/>
    <n v="603"/>
    <s v="France"/>
    <s v="Male"/>
    <n v="24"/>
    <x v="0"/>
    <n v="78305.72"/>
    <n v="2"/>
    <n v="0"/>
    <n v="1"/>
    <n v="84684"/>
    <x v="1"/>
    <n v="-0.69586503192114002"/>
    <n v="6.0203605903841162E-2"/>
    <s v="Youngsters"/>
    <x v="0"/>
  </r>
  <r>
    <n v="402"/>
    <s v="Brown"/>
    <n v="357"/>
    <s v="Germany"/>
    <s v="Female"/>
    <n v="23"/>
    <x v="0"/>
    <n v="184400.14"/>
    <n v="2"/>
    <n v="1"/>
    <n v="1"/>
    <n v="22278.37"/>
    <x v="1"/>
    <n v="0.77823160273857539"/>
    <n v="-1.4647616670117252"/>
    <s v="Youngsters"/>
    <x v="0"/>
  </r>
  <r>
    <n v="461"/>
    <s v="Williams"/>
    <n v="519"/>
    <s v="Spain"/>
    <s v="Male"/>
    <n v="23"/>
    <x v="0"/>
    <n v="234421.59"/>
    <n v="4"/>
    <n v="1"/>
    <n v="0"/>
    <n v="35122.36"/>
    <x v="0"/>
    <n v="1.4732394184728919"/>
    <n v="-1.1509015438838148"/>
    <s v="Youngsters"/>
    <x v="0"/>
  </r>
  <r>
    <n v="477"/>
    <s v="Brown"/>
    <n v="622"/>
    <s v="Germany"/>
    <s v="Male"/>
    <n v="22"/>
    <x v="0"/>
    <n v="34494.730000000003"/>
    <n v="1"/>
    <n v="1"/>
    <n v="1"/>
    <n v="146557.31"/>
    <x v="1"/>
    <n v="-1.3045835009990656"/>
    <n v="1.5721609256254661"/>
    <s v="Youngsters"/>
    <x v="0"/>
  </r>
  <r>
    <n v="433"/>
    <s v="Davis"/>
    <n v="614"/>
    <s v="France"/>
    <s v="Male"/>
    <n v="19"/>
    <x v="0"/>
    <n v="179138.58"/>
    <n v="2"/>
    <n v="0"/>
    <n v="0"/>
    <n v="40101.64"/>
    <x v="0"/>
    <n v="0.70512645838640109"/>
    <n v="-1.029226158439857"/>
    <s v="Youngsters"/>
    <x v="0"/>
  </r>
  <r>
    <n v="58"/>
    <s v="Johnson"/>
    <n v="465"/>
    <s v="Germany"/>
    <s v="Male"/>
    <n v="18"/>
    <x v="0"/>
    <n v="55329.78"/>
    <n v="1"/>
    <n v="0"/>
    <n v="0"/>
    <n v="130050.9"/>
    <x v="0"/>
    <n v="-1.0150972387812514"/>
    <n v="1.168804657440909"/>
    <s v="Youngsters"/>
    <x v="0"/>
  </r>
  <r>
    <n v="306"/>
    <s v="Miller"/>
    <n v="412"/>
    <s v="Spain"/>
    <s v="Female"/>
    <n v="91"/>
    <x v="1"/>
    <n v="71844.740000000005"/>
    <n v="1"/>
    <n v="0"/>
    <n v="1"/>
    <n v="105880.01"/>
    <x v="1"/>
    <n v="-0.78563515248547999"/>
    <n v="0.57815654018831297"/>
    <s v="Senior Citizens"/>
    <x v="1"/>
  </r>
  <r>
    <n v="252"/>
    <s v="Johnson"/>
    <n v="740"/>
    <s v="France"/>
    <s v="Male"/>
    <n v="90"/>
    <x v="1"/>
    <n v="244519.73"/>
    <n v="4"/>
    <n v="0"/>
    <n v="1"/>
    <n v="107875.29"/>
    <x v="1"/>
    <n v="1.6135449518866443"/>
    <n v="0.62691388323160835"/>
    <s v="Senior Citizens"/>
    <x v="1"/>
  </r>
  <r>
    <n v="309"/>
    <s v="Wilson"/>
    <n v="426"/>
    <s v="Germany"/>
    <s v="Male"/>
    <n v="89"/>
    <x v="1"/>
    <n v="178130.78"/>
    <n v="3"/>
    <n v="0"/>
    <n v="1"/>
    <n v="21570.41"/>
    <x v="1"/>
    <n v="0.69112388795517532"/>
    <n v="-1.4820616191893299"/>
    <s v="Senior Citizens"/>
    <x v="1"/>
  </r>
  <r>
    <n v="288"/>
    <s v="Wilson"/>
    <n v="691"/>
    <s v="Germany"/>
    <s v="Female"/>
    <n v="88"/>
    <x v="1"/>
    <n v="162669.35999999999"/>
    <n v="4"/>
    <n v="0"/>
    <n v="0"/>
    <n v="71072.84"/>
    <x v="1"/>
    <n v="0.47629989260216399"/>
    <n v="-0.27240334516928227"/>
    <s v="Senior Citizens"/>
    <x v="1"/>
  </r>
  <r>
    <n v="72"/>
    <s v="Jones"/>
    <n v="755"/>
    <s v="Germany"/>
    <s v="Male"/>
    <n v="88"/>
    <x v="1"/>
    <n v="185926.28"/>
    <n v="1"/>
    <n v="1"/>
    <n v="0"/>
    <n v="138274.03"/>
    <x v="0"/>
    <n v="0.79943609057139031"/>
    <n v="1.3697478685689786"/>
    <s v="Senior Citizens"/>
    <x v="1"/>
  </r>
  <r>
    <n v="413"/>
    <s v="Johnson"/>
    <n v="821"/>
    <s v="Spain"/>
    <s v="Female"/>
    <n v="86"/>
    <x v="1"/>
    <n v="89639.64"/>
    <n v="3"/>
    <n v="1"/>
    <n v="0"/>
    <n v="125590.02"/>
    <x v="0"/>
    <n v="-0.53838932933939787"/>
    <n v="1.0597970713201763"/>
    <s v="Senior Citizens"/>
    <x v="1"/>
  </r>
  <r>
    <n v="298"/>
    <s v="Smith"/>
    <n v="806"/>
    <s v="France"/>
    <s v="Female"/>
    <n v="79"/>
    <x v="1"/>
    <n v="239514.85"/>
    <n v="1"/>
    <n v="0"/>
    <n v="0"/>
    <n v="107683.81"/>
    <x v="0"/>
    <n v="1.5440061696879601"/>
    <n v="0.62223481260195745"/>
    <s v="Senior Citizens"/>
    <x v="1"/>
  </r>
  <r>
    <n v="345"/>
    <s v="Smith"/>
    <n v="837"/>
    <s v="France"/>
    <s v="Female"/>
    <n v="78"/>
    <x v="1"/>
    <n v="68129.600000000006"/>
    <n v="2"/>
    <n v="0"/>
    <n v="0"/>
    <n v="17554.759999999998"/>
    <x v="0"/>
    <n v="-0.83725403471594695"/>
    <n v="-1.5801894130788139"/>
    <s v="Senior Citizens"/>
    <x v="1"/>
  </r>
  <r>
    <n v="19"/>
    <s v="Moore"/>
    <n v="450"/>
    <s v="Germany"/>
    <s v="Female"/>
    <n v="78"/>
    <x v="1"/>
    <n v="224549.07"/>
    <n v="4"/>
    <n v="0"/>
    <n v="1"/>
    <n v="144262.57"/>
    <x v="0"/>
    <n v="1.3360686934940409"/>
    <n v="1.5160858758203402"/>
    <s v="Senior Citizens"/>
    <x v="1"/>
  </r>
  <r>
    <n v="218"/>
    <s v="Wilson"/>
    <n v="454"/>
    <s v="France"/>
    <s v="Male"/>
    <n v="77"/>
    <x v="1"/>
    <n v="183306.47"/>
    <n v="1"/>
    <n v="1"/>
    <n v="1"/>
    <n v="134198.82999999999"/>
    <x v="0"/>
    <n v="0.76303593772218425"/>
    <n v="1.2701648905558485"/>
    <s v="Senior Citizens"/>
    <x v="1"/>
  </r>
  <r>
    <n v="62"/>
    <s v="Johnson"/>
    <n v="826"/>
    <s v="Spain"/>
    <s v="Male"/>
    <n v="72"/>
    <x v="1"/>
    <n v="60209.09"/>
    <n v="1"/>
    <n v="0"/>
    <n v="0"/>
    <n v="10127.81"/>
    <x v="0"/>
    <n v="-0.94730315073721016"/>
    <n v="-1.7616768980009316"/>
    <s v="Senior Citizens"/>
    <x v="1"/>
  </r>
  <r>
    <n v="418"/>
    <s v="Brown"/>
    <n v="640"/>
    <s v="France"/>
    <s v="Female"/>
    <n v="72"/>
    <x v="1"/>
    <n v="203648.16"/>
    <n v="2"/>
    <n v="0"/>
    <n v="0"/>
    <n v="102614.36"/>
    <x v="0"/>
    <n v="1.0456673595471133"/>
    <n v="0.49835600226414312"/>
    <s v="Senior Citizens"/>
    <x v="1"/>
  </r>
  <r>
    <n v="286"/>
    <s v="Moore"/>
    <n v="681"/>
    <s v="Spain"/>
    <s v="Female"/>
    <n v="68"/>
    <x v="1"/>
    <n v="118693.43"/>
    <n v="1"/>
    <n v="1"/>
    <n v="1"/>
    <n v="119809.36"/>
    <x v="0"/>
    <n v="-0.13471028511529939"/>
    <n v="0.91853889069557404"/>
    <s v="Old person"/>
    <x v="1"/>
  </r>
  <r>
    <n v="307"/>
    <s v="Jones"/>
    <n v="682"/>
    <s v="Spain"/>
    <s v="Female"/>
    <n v="65"/>
    <x v="1"/>
    <n v="82186.16"/>
    <n v="1"/>
    <n v="1"/>
    <n v="0"/>
    <n v="118581.88"/>
    <x v="1"/>
    <n v="-0.64194943914068137"/>
    <n v="0.88854377049250277"/>
    <s v="Old person"/>
    <x v="1"/>
  </r>
  <r>
    <n v="239"/>
    <s v="Moore"/>
    <n v="584"/>
    <s v="Spain"/>
    <s v="Female"/>
    <n v="62"/>
    <x v="1"/>
    <n v="96431.53"/>
    <n v="3"/>
    <n v="1"/>
    <n v="1"/>
    <n v="119070.68"/>
    <x v="1"/>
    <n v="-0.44402148047440598"/>
    <n v="0.90048825411362976"/>
    <s v="Old person"/>
    <x v="1"/>
  </r>
  <r>
    <n v="61"/>
    <s v="Moore"/>
    <n v="442"/>
    <s v="France"/>
    <s v="Female"/>
    <n v="61"/>
    <x v="1"/>
    <n v="89085.68"/>
    <n v="1"/>
    <n v="1"/>
    <n v="1"/>
    <n v="33012.78"/>
    <x v="1"/>
    <n v="-0.54608615799198967"/>
    <n v="-1.2024519607362243"/>
    <s v="Old person"/>
    <x v="1"/>
  </r>
  <r>
    <n v="120"/>
    <s v="Williams"/>
    <n v="738"/>
    <s v="Spain"/>
    <s v="Female"/>
    <n v="60"/>
    <x v="1"/>
    <n v="242524.24"/>
    <n v="2"/>
    <n v="1"/>
    <n v="0"/>
    <n v="84784.47"/>
    <x v="1"/>
    <n v="1.5858192232998143"/>
    <n v="6.2658725112954644E-2"/>
    <s v="Old person"/>
    <x v="1"/>
  </r>
  <r>
    <n v="114"/>
    <s v="Jones"/>
    <n v="737"/>
    <s v="France"/>
    <s v="Female"/>
    <n v="59"/>
    <x v="1"/>
    <n v="80693.34"/>
    <n v="4"/>
    <n v="0"/>
    <n v="1"/>
    <n v="65451.93"/>
    <x v="1"/>
    <n v="-0.66269097237261498"/>
    <n v="-0.40975782027327251"/>
    <s v="Old person"/>
    <x v="1"/>
  </r>
  <r>
    <n v="170"/>
    <s v="Miller"/>
    <n v="613"/>
    <s v="Spain"/>
    <s v="Male"/>
    <n v="55"/>
    <x v="1"/>
    <n v="152640.81"/>
    <n v="4"/>
    <n v="1"/>
    <n v="0"/>
    <n v="33137.160000000003"/>
    <x v="1"/>
    <n v="0.33696125626750406"/>
    <n v="-1.1994125686069363"/>
    <s v="Old person"/>
    <x v="1"/>
  </r>
  <r>
    <n v="200"/>
    <s v="Jones"/>
    <n v="530"/>
    <s v="Germany"/>
    <s v="Male"/>
    <n v="55"/>
    <x v="1"/>
    <n v="205216.41"/>
    <n v="3"/>
    <n v="0"/>
    <n v="0"/>
    <n v="95781.75"/>
    <x v="0"/>
    <n v="1.0674569319610545"/>
    <n v="0.33139201242259153"/>
    <s v="Old person"/>
    <x v="1"/>
  </r>
  <r>
    <n v="348"/>
    <s v="Moore"/>
    <n v="739"/>
    <s v="Spain"/>
    <s v="Female"/>
    <n v="53"/>
    <x v="1"/>
    <n v="221804.74"/>
    <n v="2"/>
    <n v="0"/>
    <n v="1"/>
    <n v="140925.68"/>
    <x v="1"/>
    <n v="1.2979384353956818"/>
    <n v="1.4345444929428779"/>
    <s v="Old person"/>
    <x v="1"/>
  </r>
  <r>
    <n v="285"/>
    <s v="Jones"/>
    <n v="772"/>
    <s v="Spain"/>
    <s v="Male"/>
    <n v="50"/>
    <x v="1"/>
    <n v="135560.49"/>
    <n v="1"/>
    <n v="0"/>
    <n v="0"/>
    <n v="111365.93"/>
    <x v="0"/>
    <n v="9.964394748810701E-2"/>
    <n v="0.71221235358195967"/>
    <s v="Adults"/>
    <x v="1"/>
  </r>
  <r>
    <n v="269"/>
    <s v="Taylor"/>
    <n v="544"/>
    <s v="Germany"/>
    <s v="Male"/>
    <n v="48"/>
    <x v="1"/>
    <n v="189398.99"/>
    <n v="2"/>
    <n v="1"/>
    <n v="1"/>
    <n v="106385.78"/>
    <x v="0"/>
    <n v="0.84768660293715969"/>
    <n v="0.59051570852108215"/>
    <s v="Adults"/>
    <x v="1"/>
  </r>
  <r>
    <n v="158"/>
    <s v="Davis"/>
    <n v="524"/>
    <s v="Spain"/>
    <s v="Male"/>
    <n v="47"/>
    <x v="1"/>
    <n v="95799.03"/>
    <n v="4"/>
    <n v="0"/>
    <n v="1"/>
    <n v="105598.56"/>
    <x v="1"/>
    <n v="-0.4528095592576471"/>
    <n v="0.57127893193306289"/>
    <s v="Adults"/>
    <x v="1"/>
  </r>
  <r>
    <n v="480"/>
    <s v="Brown"/>
    <n v="507"/>
    <s v="France"/>
    <s v="Male"/>
    <n v="47"/>
    <x v="1"/>
    <n v="167352.03"/>
    <n v="1"/>
    <n v="0"/>
    <n v="1"/>
    <n v="124013.91"/>
    <x v="1"/>
    <n v="0.54136182600282756"/>
    <n v="1.0212827094541885"/>
    <s v="Adults"/>
    <x v="1"/>
  </r>
  <r>
    <n v="383"/>
    <s v="Johnson"/>
    <n v="398"/>
    <s v="France"/>
    <s v="Female"/>
    <n v="44"/>
    <x v="1"/>
    <n v="27423.79"/>
    <n v="1"/>
    <n v="1"/>
    <n v="1"/>
    <n v="103883.72"/>
    <x v="0"/>
    <n v="-1.4028285251754622"/>
    <n v="0.52937451644031763"/>
    <s v="Adults"/>
    <x v="1"/>
  </r>
  <r>
    <n v="45"/>
    <s v="Wilson"/>
    <n v="640"/>
    <s v="Spain"/>
    <s v="Female"/>
    <n v="44"/>
    <x v="1"/>
    <n v="133364.17000000001"/>
    <n v="4"/>
    <n v="1"/>
    <n v="0"/>
    <n v="124490.71"/>
    <x v="1"/>
    <n v="6.9127847577896903E-2"/>
    <n v="1.0329339569798708"/>
    <s v="Adults"/>
    <x v="1"/>
  </r>
  <r>
    <n v="145"/>
    <s v="Moore"/>
    <n v="767"/>
    <s v="Spain"/>
    <s v="Female"/>
    <n v="40"/>
    <x v="1"/>
    <n v="116715.57"/>
    <n v="1"/>
    <n v="0"/>
    <n v="0"/>
    <n v="22814.14"/>
    <x v="1"/>
    <n v="-0.16219105903185452"/>
    <n v="-1.4516694084403434"/>
    <s v="Adults"/>
    <x v="1"/>
  </r>
  <r>
    <n v="31"/>
    <s v="Williams"/>
    <n v="416"/>
    <s v="Germany"/>
    <s v="Male"/>
    <n v="40"/>
    <x v="1"/>
    <n v="192565.36"/>
    <n v="3"/>
    <n v="0"/>
    <n v="0"/>
    <n v="106833.18"/>
    <x v="0"/>
    <n v="0.89168076739074231"/>
    <n v="0.601448527612924"/>
    <s v="Adults"/>
    <x v="1"/>
  </r>
  <r>
    <n v="221"/>
    <s v="Johnson"/>
    <n v="517"/>
    <s v="Spain"/>
    <s v="Male"/>
    <n v="35"/>
    <x v="1"/>
    <n v="239854.9"/>
    <n v="1"/>
    <n v="1"/>
    <n v="1"/>
    <n v="99332.87"/>
    <x v="1"/>
    <n v="1.5487308909373529"/>
    <n v="0.41816839269398559"/>
    <s v="Adults"/>
    <x v="1"/>
  </r>
  <r>
    <n v="324"/>
    <s v="Williams"/>
    <n v="760"/>
    <s v="Spain"/>
    <s v="Female"/>
    <n v="34"/>
    <x v="1"/>
    <n v="104789.1"/>
    <n v="2"/>
    <n v="1"/>
    <n v="0"/>
    <n v="47420.92"/>
    <x v="0"/>
    <n v="-0.3278997672784339"/>
    <n v="-0.85036973438411967"/>
    <s v="Adults"/>
    <x v="1"/>
  </r>
  <r>
    <n v="497"/>
    <s v="Smith"/>
    <n v="751"/>
    <s v="Spain"/>
    <s v="Female"/>
    <n v="34"/>
    <x v="1"/>
    <n v="118072.6"/>
    <n v="3"/>
    <n v="0"/>
    <n v="1"/>
    <n v="98955.37"/>
    <x v="0"/>
    <n v="-0.14333621863466614"/>
    <n v="0.40894367385811092"/>
    <s v="Adults"/>
    <x v="1"/>
  </r>
  <r>
    <n v="460"/>
    <s v="Jones"/>
    <n v="443"/>
    <s v="Spain"/>
    <s v="Female"/>
    <n v="34"/>
    <x v="1"/>
    <n v="234557.34"/>
    <n v="2"/>
    <n v="0"/>
    <n v="1"/>
    <n v="148617.01"/>
    <x v="0"/>
    <n v="1.4751255555398088"/>
    <n v="1.6224924577744757"/>
    <s v="Adults"/>
    <x v="1"/>
  </r>
  <r>
    <n v="9"/>
    <s v="Williams"/>
    <n v="570"/>
    <s v="Germany"/>
    <s v="Female"/>
    <n v="31"/>
    <x v="1"/>
    <n v="182609.21"/>
    <n v="2"/>
    <n v="0"/>
    <n v="1"/>
    <n v="141848.51"/>
    <x v="0"/>
    <n v="0.7533480708251048"/>
    <n v="1.4570950817728392"/>
    <s v="Adults"/>
    <x v="1"/>
  </r>
  <r>
    <n v="284"/>
    <s v="Jones"/>
    <n v="452"/>
    <s v="France"/>
    <s v="Male"/>
    <n v="29"/>
    <x v="1"/>
    <n v="28385.09"/>
    <n v="3"/>
    <n v="0"/>
    <n v="1"/>
    <n v="70010.28"/>
    <x v="1"/>
    <n v="-1.3894720348445062"/>
    <n v="-0.29836842396728752"/>
    <s v="Youngsters"/>
    <x v="1"/>
  </r>
  <r>
    <n v="130"/>
    <s v="Miller"/>
    <n v="408"/>
    <s v="Spain"/>
    <s v="Female"/>
    <n v="29"/>
    <x v="1"/>
    <n v="136796.01999999999"/>
    <n v="4"/>
    <n v="1"/>
    <n v="0"/>
    <n v="81668.89"/>
    <x v="1"/>
    <n v="0.11681064310717082"/>
    <n v="-1.3474651074262474E-2"/>
    <s v="Youngsters"/>
    <x v="1"/>
  </r>
  <r>
    <n v="101"/>
    <s v="Smith"/>
    <n v="422"/>
    <s v="France"/>
    <s v="Female"/>
    <n v="27"/>
    <x v="1"/>
    <n v="103031.97"/>
    <n v="2"/>
    <n v="0"/>
    <n v="0"/>
    <n v="125609.39"/>
    <x v="0"/>
    <n v="-0.35231367537708441"/>
    <n v="1.0602704032509072"/>
    <s v="Youngsters"/>
    <x v="1"/>
  </r>
  <r>
    <n v="154"/>
    <s v="Taylor"/>
    <n v="465"/>
    <s v="France"/>
    <s v="Female"/>
    <n v="26"/>
    <x v="1"/>
    <n v="197384.58"/>
    <n v="3"/>
    <n v="0"/>
    <n v="0"/>
    <n v="73040.67"/>
    <x v="0"/>
    <n v="0.95863995321488649"/>
    <n v="-0.22431677969431724"/>
    <s v="Youngsters"/>
    <x v="1"/>
  </r>
  <r>
    <n v="442"/>
    <s v="Jones"/>
    <n v="739"/>
    <s v="Spain"/>
    <s v="Male"/>
    <n v="25"/>
    <x v="1"/>
    <n v="7336.57"/>
    <n v="3"/>
    <n v="1"/>
    <n v="0"/>
    <n v="102957.36"/>
    <x v="0"/>
    <n v="-1.6819242910194088"/>
    <n v="0.50673766732561343"/>
    <s v="Youngsters"/>
    <x v="1"/>
  </r>
  <r>
    <n v="184"/>
    <s v="Moore"/>
    <n v="783"/>
    <s v="Spain"/>
    <s v="Female"/>
    <n v="24"/>
    <x v="1"/>
    <n v="69808.100000000006"/>
    <n v="3"/>
    <n v="1"/>
    <n v="0"/>
    <n v="116721.45"/>
    <x v="1"/>
    <n v="-0.81393262722555926"/>
    <n v="0.84308166807177054"/>
    <s v="Youngsters"/>
    <x v="1"/>
  </r>
  <r>
    <n v="253"/>
    <s v="Brown"/>
    <n v="569"/>
    <s v="Spain"/>
    <s v="Male"/>
    <n v="21"/>
    <x v="1"/>
    <n v="18800.849999999999"/>
    <n v="1"/>
    <n v="0"/>
    <n v="0"/>
    <n v="60995.519999999997"/>
    <x v="0"/>
    <n v="-1.522637341085598"/>
    <n v="-0.51865617594845226"/>
    <s v="Youngsters"/>
    <x v="1"/>
  </r>
  <r>
    <n v="191"/>
    <s v="Davis"/>
    <n v="671"/>
    <s v="Germany"/>
    <s v="Male"/>
    <n v="21"/>
    <x v="1"/>
    <n v="87143.41"/>
    <n v="2"/>
    <n v="0"/>
    <n v="0"/>
    <n v="130888.76"/>
    <x v="0"/>
    <n v="-0.57307243748341352"/>
    <n v="1.1892788903517062"/>
    <s v="Youngsters"/>
    <x v="1"/>
  </r>
  <r>
    <n v="492"/>
    <s v="Williams"/>
    <n v="484"/>
    <s v="Spain"/>
    <s v="Female"/>
    <n v="18"/>
    <x v="1"/>
    <n v="49654.19"/>
    <n v="3"/>
    <n v="0"/>
    <n v="1"/>
    <n v="81684.84"/>
    <x v="0"/>
    <n v="-1.0939549969810543"/>
    <n v="-1.3084891430733533E-2"/>
    <s v="Youngsters"/>
    <x v="1"/>
  </r>
  <r>
    <n v="214"/>
    <s v="Jones"/>
    <n v="418"/>
    <s v="Germany"/>
    <s v="Female"/>
    <n v="18"/>
    <x v="1"/>
    <n v="96345.86"/>
    <n v="4"/>
    <n v="1"/>
    <n v="0"/>
    <n v="82176.899999999994"/>
    <x v="1"/>
    <n v="-0.44521179622043011"/>
    <n v="-1.060745337010421E-3"/>
    <s v="Youngsters"/>
    <x v="1"/>
  </r>
  <r>
    <n v="15"/>
    <s v="Johnson"/>
    <n v="684"/>
    <s v="Germany"/>
    <s v="Male"/>
    <n v="89"/>
    <x v="2"/>
    <n v="60006.91"/>
    <n v="2"/>
    <n v="1"/>
    <n v="0"/>
    <n v="38571.279999999999"/>
    <x v="1"/>
    <n v="-0.95011227922479224"/>
    <n v="-1.0666225576919608"/>
    <s v="Senior Citizens"/>
    <x v="1"/>
  </r>
  <r>
    <n v="87"/>
    <s v="Davis"/>
    <n v="503"/>
    <s v="Spain"/>
    <s v="Female"/>
    <n v="89"/>
    <x v="2"/>
    <n v="161781.32999999999"/>
    <n v="2"/>
    <n v="0"/>
    <n v="0"/>
    <n v="145603.81"/>
    <x v="0"/>
    <n v="0.4639614299904935"/>
    <n v="1.5488608742082302"/>
    <s v="Senior Citizens"/>
    <x v="1"/>
  </r>
  <r>
    <n v="374"/>
    <s v="Johnson"/>
    <n v="718"/>
    <s v="Spain"/>
    <s v="Female"/>
    <n v="86"/>
    <x v="2"/>
    <n v="117910.43"/>
    <n v="4"/>
    <n v="1"/>
    <n v="0"/>
    <n v="96850.83"/>
    <x v="1"/>
    <n v="-0.14558944035210222"/>
    <n v="0.35751641616578866"/>
    <s v="Senior Citizens"/>
    <x v="1"/>
  </r>
  <r>
    <n v="123"/>
    <s v="Brown"/>
    <n v="797"/>
    <s v="Spain"/>
    <s v="Male"/>
    <n v="85"/>
    <x v="2"/>
    <n v="244614.91"/>
    <n v="2"/>
    <n v="1"/>
    <n v="1"/>
    <n v="101378.44"/>
    <x v="1"/>
    <n v="1.6148674014338202"/>
    <n v="0.46815463934060875"/>
    <s v="Senior Citizens"/>
    <x v="1"/>
  </r>
  <r>
    <n v="342"/>
    <s v="Moore"/>
    <n v="670"/>
    <s v="France"/>
    <s v="Male"/>
    <n v="83"/>
    <x v="2"/>
    <n v="28880.560000000001"/>
    <n v="3"/>
    <n v="1"/>
    <n v="1"/>
    <n v="124392.15"/>
    <x v="1"/>
    <n v="-1.382587877698684"/>
    <n v="1.0305255111826153"/>
    <s v="Senior Citizens"/>
    <x v="1"/>
  </r>
  <r>
    <n v="323"/>
    <s v="Davis"/>
    <n v="390"/>
    <s v="Germany"/>
    <s v="Male"/>
    <n v="80"/>
    <x v="2"/>
    <n v="25688.61"/>
    <n v="3"/>
    <n v="0"/>
    <n v="1"/>
    <n v="100083.34"/>
    <x v="0"/>
    <n v="-1.4269374556783938"/>
    <n v="0.43650713373970451"/>
    <s v="Senior Citizens"/>
    <x v="1"/>
  </r>
  <r>
    <n v="186"/>
    <s v="Williams"/>
    <n v="635"/>
    <s v="Spain"/>
    <s v="Male"/>
    <n v="79"/>
    <x v="2"/>
    <n v="113120.37"/>
    <n v="3"/>
    <n v="1"/>
    <n v="0"/>
    <n v="87508.69"/>
    <x v="1"/>
    <n v="-0.21214347142949641"/>
    <n v="0.12922869477405807"/>
    <s v="Senior Citizens"/>
    <x v="1"/>
  </r>
  <r>
    <n v="260"/>
    <s v="Wilson"/>
    <n v="592"/>
    <s v="Spain"/>
    <s v="Male"/>
    <n v="78"/>
    <x v="2"/>
    <n v="64372.08"/>
    <n v="2"/>
    <n v="0"/>
    <n v="1"/>
    <n v="45223.9"/>
    <x v="0"/>
    <n v="-0.88946175296038033"/>
    <n v="-0.90405686491867165"/>
    <s v="Senior Citizens"/>
    <x v="1"/>
  </r>
  <r>
    <n v="478"/>
    <s v="Taylor"/>
    <n v="705"/>
    <s v="France"/>
    <s v="Male"/>
    <n v="78"/>
    <x v="2"/>
    <n v="217177.04"/>
    <n v="3"/>
    <n v="0"/>
    <n v="0"/>
    <n v="142428.82999999999"/>
    <x v="0"/>
    <n v="1.2336402659329075"/>
    <n v="1.4712759793485601"/>
    <s v="Senior Citizens"/>
    <x v="1"/>
  </r>
  <r>
    <n v="33"/>
    <s v="Moore"/>
    <n v="849"/>
    <s v="France"/>
    <s v="Female"/>
    <n v="77"/>
    <x v="2"/>
    <n v="55839.55"/>
    <n v="1"/>
    <n v="1"/>
    <n v="1"/>
    <n v="45305.66"/>
    <x v="0"/>
    <n v="-1.0080143946368516"/>
    <n v="-0.90205894965503952"/>
    <s v="Senior Citizens"/>
    <x v="1"/>
  </r>
  <r>
    <n v="403"/>
    <s v="Miller"/>
    <n v="628"/>
    <s v="France"/>
    <s v="Male"/>
    <n v="77"/>
    <x v="2"/>
    <n v="212693.91"/>
    <n v="4"/>
    <n v="1"/>
    <n v="1"/>
    <n v="71242.42"/>
    <x v="0"/>
    <n v="1.1713507803431658"/>
    <n v="-0.26825943041381828"/>
    <s v="Senior Citizens"/>
    <x v="1"/>
  </r>
  <r>
    <n v="265"/>
    <s v="Wilson"/>
    <n v="478"/>
    <s v="France"/>
    <s v="Male"/>
    <n v="74"/>
    <x v="2"/>
    <n v="50125.4"/>
    <n v="4"/>
    <n v="1"/>
    <n v="1"/>
    <n v="14640.19"/>
    <x v="0"/>
    <n v="-1.087407913023029"/>
    <n v="-1.6514108403039138"/>
    <s v="Senior Citizens"/>
    <x v="1"/>
  </r>
  <r>
    <n v="199"/>
    <s v="Williams"/>
    <n v="693"/>
    <s v="Spain"/>
    <s v="Male"/>
    <n v="71"/>
    <x v="2"/>
    <n v="37093.39"/>
    <n v="3"/>
    <n v="1"/>
    <n v="0"/>
    <n v="40784.480000000003"/>
    <x v="0"/>
    <n v="-1.2684772103890145"/>
    <n v="-1.0125400471553836"/>
    <s v="Senior Citizens"/>
    <x v="1"/>
  </r>
  <r>
    <n v="465"/>
    <s v="Smith"/>
    <n v="529"/>
    <s v="Spain"/>
    <s v="Male"/>
    <n v="71"/>
    <x v="2"/>
    <n v="45202.75"/>
    <n v="4"/>
    <n v="1"/>
    <n v="0"/>
    <n v="118614.97"/>
    <x v="1"/>
    <n v="-1.1558041755089132"/>
    <n v="0.88935236902569237"/>
    <s v="Senior Citizens"/>
    <x v="1"/>
  </r>
  <r>
    <n v="153"/>
    <s v="Miller"/>
    <n v="640"/>
    <s v="Spain"/>
    <s v="Male"/>
    <n v="70"/>
    <x v="2"/>
    <n v="47856.39"/>
    <n v="1"/>
    <n v="0"/>
    <n v="1"/>
    <n v="11462.63"/>
    <x v="0"/>
    <n v="-1.1189339820190161"/>
    <n v="-1.7290587809241043"/>
    <s v="Old person"/>
    <x v="1"/>
  </r>
  <r>
    <n v="36"/>
    <s v="Jones"/>
    <n v="462"/>
    <s v="Germany"/>
    <s v="Male"/>
    <n v="69"/>
    <x v="2"/>
    <n v="9295.2900000000009"/>
    <n v="3"/>
    <n v="0"/>
    <n v="0"/>
    <n v="39491.230000000003"/>
    <x v="0"/>
    <n v="-1.6547094520086418"/>
    <n v="-1.0441423455249066"/>
    <s v="Old person"/>
    <x v="1"/>
  </r>
  <r>
    <n v="396"/>
    <s v="Brown"/>
    <n v="578"/>
    <s v="Spain"/>
    <s v="Male"/>
    <n v="68"/>
    <x v="2"/>
    <n v="59641.51"/>
    <n v="4"/>
    <n v="0"/>
    <n v="0"/>
    <n v="61207.9"/>
    <x v="0"/>
    <n v="-0.95518921833530035"/>
    <n v="-0.51346638578590098"/>
    <s v="Old person"/>
    <x v="1"/>
  </r>
  <r>
    <n v="385"/>
    <s v="Miller"/>
    <n v="723"/>
    <s v="Germany"/>
    <s v="Male"/>
    <n v="67"/>
    <x v="2"/>
    <n v="222765.58"/>
    <n v="2"/>
    <n v="1"/>
    <n v="1"/>
    <n v="60737.81"/>
    <x v="1"/>
    <n v="1.3112885343966134"/>
    <n v="-0.52495366546154698"/>
    <s v="Old person"/>
    <x v="1"/>
  </r>
  <r>
    <n v="367"/>
    <s v="Miller"/>
    <n v="557"/>
    <s v="France"/>
    <s v="Female"/>
    <n v="66"/>
    <x v="2"/>
    <n v="89466.82"/>
    <n v="4"/>
    <n v="1"/>
    <n v="1"/>
    <n v="37239.08"/>
    <x v="0"/>
    <n v="-0.54079052424108909"/>
    <n v="-1.0991766515546157"/>
    <s v="Old person"/>
    <x v="1"/>
  </r>
  <r>
    <n v="177"/>
    <s v="Moore"/>
    <n v="398"/>
    <s v="France"/>
    <s v="Female"/>
    <n v="63"/>
    <x v="2"/>
    <n v="146639.1"/>
    <n v="1"/>
    <n v="1"/>
    <n v="0"/>
    <n v="114757.22"/>
    <x v="0"/>
    <n v="0.25357232296447502"/>
    <n v="0.79508307342543916"/>
    <s v="Old person"/>
    <x v="1"/>
  </r>
  <r>
    <n v="484"/>
    <s v="Williams"/>
    <n v="734"/>
    <s v="Spain"/>
    <s v="Male"/>
    <n v="62"/>
    <x v="2"/>
    <n v="239522.72"/>
    <n v="3"/>
    <n v="0"/>
    <n v="1"/>
    <n v="37534.69"/>
    <x v="1"/>
    <n v="1.5441155170081562"/>
    <n v="-1.0919530247067404"/>
    <s v="Old person"/>
    <x v="1"/>
  </r>
  <r>
    <n v="71"/>
    <s v="Smith"/>
    <n v="683"/>
    <s v="France"/>
    <s v="Female"/>
    <n v="62"/>
    <x v="2"/>
    <n v="88669.440000000002"/>
    <n v="3"/>
    <n v="1"/>
    <n v="0"/>
    <n v="128437.74"/>
    <x v="0"/>
    <n v="-0.55186947801212594"/>
    <n v="1.1293849291302349"/>
    <s v="Old person"/>
    <x v="1"/>
  </r>
  <r>
    <n v="275"/>
    <s v="Taylor"/>
    <n v="501"/>
    <s v="France"/>
    <s v="Male"/>
    <n v="61"/>
    <x v="2"/>
    <n v="213218.12"/>
    <n v="1"/>
    <n v="1"/>
    <n v="0"/>
    <n v="140183.29"/>
    <x v="1"/>
    <n v="1.1786342566735415"/>
    <n v="1.4164031975347591"/>
    <s v="Old person"/>
    <x v="1"/>
  </r>
  <r>
    <n v="462"/>
    <s v="Wilson"/>
    <n v="390"/>
    <s v="Spain"/>
    <s v="Female"/>
    <n v="58"/>
    <x v="2"/>
    <n v="86317.46"/>
    <n v="3"/>
    <n v="0"/>
    <n v="0"/>
    <n v="90411.33"/>
    <x v="0"/>
    <n v="-0.58454834842573444"/>
    <n v="0.2001585964476032"/>
    <s v="Old person"/>
    <x v="1"/>
  </r>
  <r>
    <n v="261"/>
    <s v="Wilson"/>
    <n v="708"/>
    <s v="Spain"/>
    <s v="Female"/>
    <n v="57"/>
    <x v="2"/>
    <n v="85692.93"/>
    <n v="1"/>
    <n v="1"/>
    <n v="1"/>
    <n v="122538.35"/>
    <x v="1"/>
    <n v="-0.59322569046920903"/>
    <n v="0.98522542170461702"/>
    <s v="Old person"/>
    <x v="1"/>
  </r>
  <r>
    <n v="318"/>
    <s v="Johnson"/>
    <n v="455"/>
    <s v="France"/>
    <s v="Male"/>
    <n v="56"/>
    <x v="2"/>
    <n v="184265.11"/>
    <n v="1"/>
    <n v="1"/>
    <n v="0"/>
    <n v="106046.27"/>
    <x v="0"/>
    <n v="0.7763554694925654"/>
    <n v="0.58221932629070394"/>
    <s v="Old person"/>
    <x v="1"/>
  </r>
  <r>
    <n v="171"/>
    <s v="Davis"/>
    <n v="481"/>
    <s v="Germany"/>
    <s v="Female"/>
    <n v="51"/>
    <x v="2"/>
    <n v="139747.91"/>
    <n v="4"/>
    <n v="1"/>
    <n v="1"/>
    <n v="88266.73"/>
    <x v="1"/>
    <n v="0.15782478046600354"/>
    <n v="0.14775241892332003"/>
    <s v="Old person"/>
    <x v="1"/>
  </r>
  <r>
    <n v="125"/>
    <s v="Moore"/>
    <n v="502"/>
    <s v="Germany"/>
    <s v="Female"/>
    <n v="47"/>
    <x v="2"/>
    <n v="185255.98"/>
    <n v="3"/>
    <n v="0"/>
    <n v="1"/>
    <n v="48022.06"/>
    <x v="0"/>
    <n v="0.79012281119051064"/>
    <n v="-0.83568007218280127"/>
    <s v="Adults"/>
    <x v="1"/>
  </r>
  <r>
    <n v="278"/>
    <s v="Smith"/>
    <n v="388"/>
    <s v="France"/>
    <s v="Female"/>
    <n v="47"/>
    <x v="2"/>
    <n v="176592.7"/>
    <n v="4"/>
    <n v="0"/>
    <n v="0"/>
    <n v="75036.289999999994"/>
    <x v="0"/>
    <n v="0.66975350342564588"/>
    <n v="-0.17555112829498426"/>
    <s v="Adults"/>
    <x v="1"/>
  </r>
  <r>
    <n v="247"/>
    <s v="Jones"/>
    <n v="651"/>
    <s v="Spain"/>
    <s v="Female"/>
    <n v="45"/>
    <x v="2"/>
    <n v="114118.16"/>
    <n v="4"/>
    <n v="0"/>
    <n v="0"/>
    <n v="36850.699999999997"/>
    <x v="1"/>
    <n v="-0.19827998189727475"/>
    <n v="-1.1086672377836939"/>
    <s v="Adults"/>
    <x v="1"/>
  </r>
  <r>
    <n v="279"/>
    <s v="Miller"/>
    <n v="607"/>
    <s v="Spain"/>
    <s v="Female"/>
    <n v="45"/>
    <x v="2"/>
    <n v="72836.13"/>
    <n v="3"/>
    <n v="1"/>
    <n v="1"/>
    <n v="127236.12"/>
    <x v="0"/>
    <n v="-0.77186058580576877"/>
    <n v="1.1000217327128472"/>
    <s v="Adults"/>
    <x v="1"/>
  </r>
  <r>
    <n v="190"/>
    <s v="Miller"/>
    <n v="840"/>
    <s v="Germany"/>
    <s v="Male"/>
    <n v="42"/>
    <x v="2"/>
    <n v="46465.66"/>
    <n v="3"/>
    <n v="1"/>
    <n v="1"/>
    <n v="108093.18"/>
    <x v="0"/>
    <n v="-1.1382570568114538"/>
    <n v="0.63223831763465133"/>
    <s v="Adults"/>
    <x v="1"/>
  </r>
  <r>
    <n v="183"/>
    <s v="Moore"/>
    <n v="696"/>
    <s v="France"/>
    <s v="Female"/>
    <n v="42"/>
    <x v="2"/>
    <n v="27700.99"/>
    <n v="2"/>
    <n v="0"/>
    <n v="0"/>
    <n v="140547.93"/>
    <x v="1"/>
    <n v="-1.3989770541261111"/>
    <n v="1.4253136650216816"/>
    <s v="Adults"/>
    <x v="1"/>
  </r>
  <r>
    <n v="151"/>
    <s v="Brown"/>
    <n v="724"/>
    <s v="France"/>
    <s v="Female"/>
    <n v="42"/>
    <x v="2"/>
    <n v="97001.53"/>
    <n v="3"/>
    <n v="0"/>
    <n v="0"/>
    <n v="140671.21"/>
    <x v="1"/>
    <n v="-0.43610178892271045"/>
    <n v="1.4283261771755533"/>
    <s v="Adults"/>
    <x v="1"/>
  </r>
  <r>
    <n v="330"/>
    <s v="Johnson"/>
    <n v="387"/>
    <s v="Spain"/>
    <s v="Female"/>
    <n v="38"/>
    <x v="2"/>
    <n v="211996.17"/>
    <n v="2"/>
    <n v="1"/>
    <n v="0"/>
    <n v="45722.09"/>
    <x v="1"/>
    <n v="1.1616562442321481"/>
    <n v="-0.89188292405285874"/>
    <s v="Adults"/>
    <x v="1"/>
  </r>
  <r>
    <n v="13"/>
    <s v="Moore"/>
    <n v="464"/>
    <s v="Spain"/>
    <s v="Female"/>
    <n v="37"/>
    <x v="2"/>
    <n v="58317.75"/>
    <n v="3"/>
    <n v="0"/>
    <n v="0"/>
    <n v="13740.96"/>
    <x v="1"/>
    <n v="-0.97358179884139229"/>
    <n v="-1.6733847314794996"/>
    <s v="Adults"/>
    <x v="1"/>
  </r>
  <r>
    <n v="407"/>
    <s v="Williams"/>
    <n v="430"/>
    <s v="Germany"/>
    <s v="Female"/>
    <n v="35"/>
    <x v="2"/>
    <n v="245176.21"/>
    <n v="1"/>
    <n v="0"/>
    <n v="1"/>
    <n v="35708.43"/>
    <x v="0"/>
    <n v="1.6226662134828844"/>
    <n v="-1.1365801373456927"/>
    <s v="Adults"/>
    <x v="1"/>
  </r>
  <r>
    <n v="438"/>
    <s v="Brown"/>
    <n v="450"/>
    <s v="Spain"/>
    <s v="Female"/>
    <n v="34"/>
    <x v="2"/>
    <n v="32148.54"/>
    <n v="2"/>
    <n v="0"/>
    <n v="1"/>
    <n v="99026.41"/>
    <x v="1"/>
    <n v="-1.3371819240195437"/>
    <n v="0.41067963154314568"/>
    <s v="Adults"/>
    <x v="1"/>
  </r>
  <r>
    <n v="135"/>
    <s v="Moore"/>
    <n v="752"/>
    <s v="Germany"/>
    <s v="Female"/>
    <n v="32"/>
    <x v="2"/>
    <n v="239097.38"/>
    <n v="1"/>
    <n v="1"/>
    <n v="1"/>
    <n v="13545.02"/>
    <x v="0"/>
    <n v="1.5382057598071068"/>
    <n v="-1.6781727881912909"/>
    <s v="Adults"/>
    <x v="1"/>
  </r>
  <r>
    <n v="250"/>
    <s v="Johnson"/>
    <n v="488"/>
    <s v="France"/>
    <s v="Female"/>
    <n v="29"/>
    <x v="2"/>
    <n v="218420.19"/>
    <n v="1"/>
    <n v="1"/>
    <n v="0"/>
    <n v="122291.38"/>
    <x v="1"/>
    <n v="1.2509128353232413"/>
    <n v="0.97919037849694557"/>
    <s v="Youngsters"/>
    <x v="1"/>
  </r>
  <r>
    <n v="417"/>
    <s v="Moore"/>
    <n v="440"/>
    <s v="France"/>
    <s v="Male"/>
    <n v="29"/>
    <x v="2"/>
    <n v="38378.400000000001"/>
    <n v="2"/>
    <n v="0"/>
    <n v="0"/>
    <n v="148498.85"/>
    <x v="0"/>
    <n v="-1.2506230299664804"/>
    <n v="1.6196050596879936"/>
    <s v="Youngsters"/>
    <x v="1"/>
  </r>
  <r>
    <n v="129"/>
    <s v="Smith"/>
    <n v="514"/>
    <s v="France"/>
    <s v="Female"/>
    <n v="24"/>
    <x v="2"/>
    <n v="44897.120000000003"/>
    <n v="3"/>
    <n v="0"/>
    <n v="0"/>
    <n v="87587.83"/>
    <x v="1"/>
    <n v="-1.1600506585421495"/>
    <n v="0.13116258682351797"/>
    <s v="Youngsters"/>
    <x v="1"/>
  </r>
  <r>
    <n v="457"/>
    <s v="Jones"/>
    <n v="666"/>
    <s v="France"/>
    <s v="Male"/>
    <n v="24"/>
    <x v="2"/>
    <n v="75143.55"/>
    <n v="1"/>
    <n v="1"/>
    <n v="0"/>
    <n v="132228.18"/>
    <x v="1"/>
    <n v="-0.73980084075276298"/>
    <n v="1.2220094145984539"/>
    <s v="Youngsters"/>
    <x v="1"/>
  </r>
  <r>
    <n v="5"/>
    <s v="Wilson"/>
    <n v="659"/>
    <s v="Spain"/>
    <s v="Female"/>
    <n v="21"/>
    <x v="2"/>
    <n v="7463.43"/>
    <n v="1"/>
    <n v="1"/>
    <n v="1"/>
    <n v="16036.55"/>
    <x v="1"/>
    <n v="-1.6801616733523066"/>
    <n v="-1.6172889107842794"/>
    <s v="Youngsters"/>
    <x v="1"/>
  </r>
  <r>
    <n v="203"/>
    <s v="Davis"/>
    <n v="452"/>
    <s v="Spain"/>
    <s v="Male"/>
    <n v="20"/>
    <x v="2"/>
    <n v="240624.04"/>
    <n v="3"/>
    <n v="0"/>
    <n v="0"/>
    <n v="16236.92"/>
    <x v="0"/>
    <n v="1.5594174726216885"/>
    <n v="-1.6123926010805862"/>
    <s v="Youngsters"/>
    <x v="1"/>
  </r>
  <r>
    <n v="355"/>
    <s v="Brown"/>
    <n v="810"/>
    <s v="Germany"/>
    <s v="Male"/>
    <n v="19"/>
    <x v="2"/>
    <n v="136582.23000000001"/>
    <n v="2"/>
    <n v="1"/>
    <n v="0"/>
    <n v="146255.76999999999"/>
    <x v="0"/>
    <n v="0.11384020300745711"/>
    <n v="1.5647923912737582"/>
    <s v="Youngsters"/>
    <x v="1"/>
  </r>
  <r>
    <n v="210"/>
    <s v="Taylor"/>
    <n v="730"/>
    <s v="Germany"/>
    <s v="Female"/>
    <n v="18"/>
    <x v="2"/>
    <n v="240529.94"/>
    <n v="3"/>
    <n v="1"/>
    <n v="0"/>
    <n v="93107.1"/>
    <x v="1"/>
    <n v="1.5581100288058733"/>
    <n v="0.26603335219908913"/>
    <s v="Youngsters"/>
    <x v="1"/>
  </r>
  <r>
    <n v="271"/>
    <s v="Taylor"/>
    <n v="490"/>
    <s v="Spain"/>
    <s v="Female"/>
    <n v="86"/>
    <x v="3"/>
    <n v="174710.86"/>
    <n v="3"/>
    <n v="1"/>
    <n v="1"/>
    <n v="72099.13"/>
    <x v="0"/>
    <n v="0.64360685018065833"/>
    <n v="-0.24732457246975934"/>
    <s v="Senior Citizens"/>
    <x v="1"/>
  </r>
  <r>
    <n v="127"/>
    <s v="Jones"/>
    <n v="675"/>
    <s v="Germany"/>
    <s v="Male"/>
    <n v="85"/>
    <x v="3"/>
    <n v="117991.41"/>
    <n v="1"/>
    <n v="1"/>
    <n v="1"/>
    <n v="36037.629999999997"/>
    <x v="1"/>
    <n v="-0.1444642883839331"/>
    <n v="-1.1285356937939843"/>
    <s v="Senior Citizens"/>
    <x v="1"/>
  </r>
  <r>
    <n v="220"/>
    <s v="Davis"/>
    <n v="771"/>
    <s v="France"/>
    <s v="Female"/>
    <n v="81"/>
    <x v="3"/>
    <n v="135435.82999999999"/>
    <n v="3"/>
    <n v="0"/>
    <n v="1"/>
    <n v="72274.3"/>
    <x v="1"/>
    <n v="9.7911897051555438E-2"/>
    <n v="-0.24304405856650063"/>
    <s v="Senior Citizens"/>
    <x v="1"/>
  </r>
  <r>
    <n v="249"/>
    <s v="Johnson"/>
    <n v="350"/>
    <s v="Spain"/>
    <s v="Female"/>
    <n v="76"/>
    <x v="3"/>
    <n v="47176.34"/>
    <n v="4"/>
    <n v="1"/>
    <n v="1"/>
    <n v="139671.97"/>
    <x v="1"/>
    <n v="-1.1283827298080171"/>
    <n v="1.4039084075078465"/>
    <s v="Senior Citizens"/>
    <x v="1"/>
  </r>
  <r>
    <n v="391"/>
    <s v="Brown"/>
    <n v="580"/>
    <s v="France"/>
    <s v="Female"/>
    <n v="75"/>
    <x v="3"/>
    <n v="206215.22"/>
    <n v="1"/>
    <n v="0"/>
    <n v="1"/>
    <n v="73777.070000000007"/>
    <x v="0"/>
    <n v="1.0813345935728949"/>
    <n v="-0.20632185797050745"/>
    <s v="Senior Citizens"/>
    <x v="1"/>
  </r>
  <r>
    <n v="485"/>
    <s v="Wilson"/>
    <n v="437"/>
    <s v="France"/>
    <s v="Female"/>
    <n v="69"/>
    <x v="3"/>
    <n v="69485.69"/>
    <n v="2"/>
    <n v="1"/>
    <n v="1"/>
    <n v="91069.46"/>
    <x v="1"/>
    <n v="-0.81841225486272096"/>
    <n v="0.21624088573887273"/>
    <s v="Old person"/>
    <x v="1"/>
  </r>
  <r>
    <n v="420"/>
    <s v="Davis"/>
    <n v="687"/>
    <s v="France"/>
    <s v="Female"/>
    <n v="69"/>
    <x v="3"/>
    <n v="136486.32999999999"/>
    <n v="4"/>
    <n v="0"/>
    <n v="0"/>
    <n v="135558.76"/>
    <x v="1"/>
    <n v="0.11250774963937327"/>
    <n v="1.3033966041623948"/>
    <s v="Old person"/>
    <x v="1"/>
  </r>
  <r>
    <n v="319"/>
    <s v="Jones"/>
    <n v="563"/>
    <s v="Germany"/>
    <s v="Male"/>
    <n v="67"/>
    <x v="3"/>
    <n v="136635"/>
    <n v="1"/>
    <n v="1"/>
    <n v="1"/>
    <n v="29342.26"/>
    <x v="0"/>
    <n v="0.11457339971479551"/>
    <n v="-1.2921460401572964"/>
    <s v="Old person"/>
    <x v="1"/>
  </r>
  <r>
    <n v="308"/>
    <s v="Jones"/>
    <n v="397"/>
    <s v="Spain"/>
    <s v="Female"/>
    <n v="66"/>
    <x v="3"/>
    <n v="232462.02"/>
    <n v="4"/>
    <n v="1"/>
    <n v="1"/>
    <n v="135716.10999999999"/>
    <x v="0"/>
    <n v="1.4460127693957761"/>
    <n v="1.3072416624639172"/>
    <s v="Old person"/>
    <x v="1"/>
  </r>
  <r>
    <n v="2"/>
    <s v="Smith"/>
    <n v="365"/>
    <s v="Spain"/>
    <s v="Female"/>
    <n v="64"/>
    <x v="3"/>
    <n v="203737.4"/>
    <n v="3"/>
    <n v="1"/>
    <n v="1"/>
    <n v="52848.11"/>
    <x v="1"/>
    <n v="1.0469072775718031"/>
    <n v="-0.71774906731426336"/>
    <s v="Old person"/>
    <x v="1"/>
  </r>
  <r>
    <n v="96"/>
    <s v="Smith"/>
    <n v="696"/>
    <s v="Spain"/>
    <s v="Male"/>
    <n v="64"/>
    <x v="3"/>
    <n v="141361.44"/>
    <n v="2"/>
    <n v="1"/>
    <n v="1"/>
    <n v="147488.24"/>
    <x v="0"/>
    <n v="0.18024348206145491"/>
    <n v="1.5949094488198521"/>
    <s v="Old person"/>
    <x v="1"/>
  </r>
  <r>
    <n v="99"/>
    <s v="Brown"/>
    <n v="428"/>
    <s v="Germany"/>
    <s v="Male"/>
    <n v="61"/>
    <x v="3"/>
    <n v="206619.49"/>
    <n v="2"/>
    <n v="0"/>
    <n v="0"/>
    <n v="102150.42"/>
    <x v="1"/>
    <n v="1.0869516000704456"/>
    <n v="0.48701900608741272"/>
    <s v="Old person"/>
    <x v="1"/>
  </r>
  <r>
    <n v="163"/>
    <s v="Davis"/>
    <n v="460"/>
    <s v="France"/>
    <s v="Male"/>
    <n v="60"/>
    <x v="3"/>
    <n v="163732.6"/>
    <n v="1"/>
    <n v="1"/>
    <n v="0"/>
    <n v="66914.649999999994"/>
    <x v="1"/>
    <n v="0.49107275724326033"/>
    <n v="-0.37401429514582735"/>
    <s v="Old person"/>
    <x v="1"/>
  </r>
  <r>
    <n v="109"/>
    <s v="Williams"/>
    <n v="488"/>
    <s v="Germany"/>
    <s v="Male"/>
    <n v="59"/>
    <x v="3"/>
    <n v="122455.34"/>
    <n v="4"/>
    <n v="0"/>
    <n v="1"/>
    <n v="21425.94"/>
    <x v="0"/>
    <n v="-8.2441571351722254E-2"/>
    <n v="-1.485591937415075"/>
    <s v="Old person"/>
    <x v="1"/>
  </r>
  <r>
    <n v="410"/>
    <s v="Johnson"/>
    <n v="845"/>
    <s v="Germany"/>
    <s v="Female"/>
    <n v="57"/>
    <x v="3"/>
    <n v="236890.08"/>
    <n v="4"/>
    <n v="0"/>
    <n v="0"/>
    <n v="67984.02"/>
    <x v="0"/>
    <n v="1.5075371016280583"/>
    <n v="-0.34788280486365675"/>
    <s v="Old person"/>
    <x v="1"/>
  </r>
  <r>
    <n v="222"/>
    <s v="Williams"/>
    <n v="766"/>
    <s v="Spain"/>
    <s v="Male"/>
    <n v="56"/>
    <x v="3"/>
    <n v="70283.899999999994"/>
    <n v="3"/>
    <n v="1"/>
    <n v="0"/>
    <n v="18737.27"/>
    <x v="1"/>
    <n v="-0.80732176890924934"/>
    <n v="-1.5512931951434226"/>
    <s v="Old person"/>
    <x v="1"/>
  </r>
  <r>
    <n v="412"/>
    <s v="Brown"/>
    <n v="361"/>
    <s v="France"/>
    <s v="Female"/>
    <n v="56"/>
    <x v="3"/>
    <n v="166147.69"/>
    <n v="2"/>
    <n v="1"/>
    <n v="0"/>
    <n v="56454.41"/>
    <x v="0"/>
    <n v="0.52462849034779424"/>
    <n v="-0.62962428973064777"/>
    <s v="Old person"/>
    <x v="1"/>
  </r>
  <r>
    <n v="400"/>
    <s v="Smith"/>
    <n v="697"/>
    <s v="Germany"/>
    <s v="Male"/>
    <n v="55"/>
    <x v="3"/>
    <n v="29981.98"/>
    <n v="1"/>
    <n v="1"/>
    <n v="0"/>
    <n v="97693.26"/>
    <x v="0"/>
    <n v="-1.3672845326655814"/>
    <n v="0.37810232315626774"/>
    <s v="Old person"/>
    <x v="1"/>
  </r>
  <r>
    <n v="487"/>
    <s v="Jones"/>
    <n v="717"/>
    <s v="Spain"/>
    <s v="Female"/>
    <n v="55"/>
    <x v="3"/>
    <n v="117513.1"/>
    <n v="1"/>
    <n v="0"/>
    <n v="0"/>
    <n v="143986.04"/>
    <x v="0"/>
    <n v="-0.15111002113146202"/>
    <n v="1.5093284943642227"/>
    <s v="Old person"/>
    <x v="1"/>
  </r>
  <r>
    <n v="416"/>
    <s v="Wilson"/>
    <n v="636"/>
    <s v="France"/>
    <s v="Female"/>
    <n v="53"/>
    <x v="3"/>
    <n v="196579.74"/>
    <n v="2"/>
    <n v="1"/>
    <n v="0"/>
    <n v="58389.15"/>
    <x v="0"/>
    <n v="0.94745734874389242"/>
    <n v="-0.58234632278887255"/>
    <s v="Old person"/>
    <x v="1"/>
  </r>
  <r>
    <n v="94"/>
    <s v="Smith"/>
    <n v="548"/>
    <s v="Germany"/>
    <s v="Female"/>
    <n v="44"/>
    <x v="3"/>
    <n v="107973.28"/>
    <n v="1"/>
    <n v="0"/>
    <n v="0"/>
    <n v="27995.72"/>
    <x v="1"/>
    <n v="-0.28365814719935001"/>
    <n v="-1.325050551154008"/>
    <s v="Adults"/>
    <x v="1"/>
  </r>
  <r>
    <n v="196"/>
    <s v="Miller"/>
    <n v="848"/>
    <s v="Spain"/>
    <s v="Female"/>
    <n v="44"/>
    <x v="3"/>
    <n v="249802"/>
    <n v="1"/>
    <n v="1"/>
    <n v="0"/>
    <n v="139671.38"/>
    <x v="0"/>
    <n v="1.6869378450318631"/>
    <n v="1.4038939900664873"/>
    <s v="Adults"/>
    <x v="1"/>
  </r>
  <r>
    <n v="16"/>
    <s v="Miller"/>
    <n v="579"/>
    <s v="France"/>
    <s v="Female"/>
    <n v="42"/>
    <x v="3"/>
    <n v="180430.72"/>
    <n v="4"/>
    <n v="0"/>
    <n v="1"/>
    <n v="43961.45"/>
    <x v="0"/>
    <n v="0.7230797044243098"/>
    <n v="-0.93490652397655249"/>
    <s v="Adults"/>
    <x v="1"/>
  </r>
  <r>
    <n v="467"/>
    <s v="Miller"/>
    <n v="409"/>
    <s v="Germany"/>
    <s v="Female"/>
    <n v="41"/>
    <x v="3"/>
    <n v="156420.72"/>
    <n v="2"/>
    <n v="1"/>
    <n v="1"/>
    <n v="101660.52"/>
    <x v="1"/>
    <n v="0.38948006555376635"/>
    <n v="0.47504764249086984"/>
    <s v="Adults"/>
    <x v="1"/>
  </r>
  <r>
    <n v="106"/>
    <s v="Davis"/>
    <n v="537"/>
    <s v="France"/>
    <s v="Female"/>
    <n v="39"/>
    <x v="3"/>
    <n v="238648.7"/>
    <n v="1"/>
    <n v="1"/>
    <n v="1"/>
    <n v="71498.5"/>
    <x v="0"/>
    <n v="1.5319717120783092"/>
    <n v="-0.26200177213702147"/>
    <s v="Adults"/>
    <x v="1"/>
  </r>
  <r>
    <n v="219"/>
    <s v="Wilson"/>
    <n v="575"/>
    <s v="Germany"/>
    <s v="Female"/>
    <n v="39"/>
    <x v="3"/>
    <n v="213911.63"/>
    <n v="3"/>
    <n v="0"/>
    <n v="1"/>
    <n v="84036.97"/>
    <x v="0"/>
    <n v="1.1882700203367282"/>
    <n v="4.4392560000858415E-2"/>
    <s v="Adults"/>
    <x v="1"/>
  </r>
  <r>
    <n v="243"/>
    <s v="Smith"/>
    <n v="496"/>
    <s v="Germany"/>
    <s v="Male"/>
    <n v="36"/>
    <x v="3"/>
    <n v="183880.09"/>
    <n v="3"/>
    <n v="1"/>
    <n v="1"/>
    <n v="116196.88"/>
    <x v="1"/>
    <n v="0.77100592626233078"/>
    <n v="0.83026309652280439"/>
    <s v="Adults"/>
    <x v="1"/>
  </r>
  <r>
    <n v="426"/>
    <s v="Johnson"/>
    <n v="771"/>
    <s v="France"/>
    <s v="Female"/>
    <n v="35"/>
    <x v="3"/>
    <n v="231139.73"/>
    <n v="4"/>
    <n v="1"/>
    <n v="0"/>
    <n v="19540.71"/>
    <x v="0"/>
    <n v="1.4276406133573702"/>
    <n v="-1.5316600610997269"/>
    <s v="Adults"/>
    <x v="1"/>
  </r>
  <r>
    <n v="152"/>
    <s v="Jones"/>
    <n v="638"/>
    <s v="Spain"/>
    <s v="Male"/>
    <n v="35"/>
    <x v="3"/>
    <n v="29176.44"/>
    <n v="4"/>
    <n v="1"/>
    <n v="1"/>
    <n v="119718.19"/>
    <x v="1"/>
    <n v="-1.3784768630735686"/>
    <n v="0.91631102946043053"/>
    <s v="Adults"/>
    <x v="1"/>
  </r>
  <r>
    <n v="486"/>
    <s v="Williams"/>
    <n v="643"/>
    <s v="Germany"/>
    <s v="Male"/>
    <n v="34"/>
    <x v="3"/>
    <n v="70266.98"/>
    <n v="2"/>
    <n v="0"/>
    <n v="1"/>
    <n v="129097.79"/>
    <x v="0"/>
    <n v="-0.80755685870057337"/>
    <n v="1.1455141361967751"/>
    <s v="Adults"/>
    <x v="1"/>
  </r>
  <r>
    <n v="14"/>
    <s v="Moore"/>
    <n v="698"/>
    <s v="Germany"/>
    <s v="Male"/>
    <n v="34"/>
    <x v="3"/>
    <n v="128968.35"/>
    <n v="1"/>
    <n v="0"/>
    <n v="0"/>
    <n v="143532.82"/>
    <x v="0"/>
    <n v="8.0514642151349458E-3"/>
    <n v="1.4982534557660898"/>
    <s v="Adults"/>
    <x v="1"/>
  </r>
  <r>
    <n v="224"/>
    <s v="Moore"/>
    <n v="639"/>
    <s v="Germany"/>
    <s v="Male"/>
    <n v="33"/>
    <x v="3"/>
    <n v="96088.43"/>
    <n v="1"/>
    <n v="1"/>
    <n v="0"/>
    <n v="43587.17"/>
    <x v="1"/>
    <n v="-0.44878857902069857"/>
    <n v="-0.94405255779348274"/>
    <s v="Adults"/>
    <x v="1"/>
  </r>
  <r>
    <n v="238"/>
    <s v="Jones"/>
    <n v="389"/>
    <s v="France"/>
    <s v="Female"/>
    <n v="24"/>
    <x v="3"/>
    <n v="144426.62"/>
    <n v="1"/>
    <n v="1"/>
    <n v="0"/>
    <n v="64031.99"/>
    <x v="1"/>
    <n v="0.22283169285167606"/>
    <n v="-0.4444559587204564"/>
    <s v="Youngsters"/>
    <x v="1"/>
  </r>
  <r>
    <n v="380"/>
    <s v="Miller"/>
    <n v="662"/>
    <s v="Germany"/>
    <s v="Male"/>
    <n v="24"/>
    <x v="3"/>
    <n v="148964.49"/>
    <n v="1"/>
    <n v="1"/>
    <n v="0"/>
    <n v="134929.35"/>
    <x v="0"/>
    <n v="0.28588174671429462"/>
    <n v="1.2880161265928904"/>
    <s v="Youngsters"/>
    <x v="1"/>
  </r>
  <r>
    <n v="360"/>
    <s v="Williams"/>
    <n v="836"/>
    <s v="France"/>
    <s v="Female"/>
    <n v="23"/>
    <x v="3"/>
    <n v="149033.25"/>
    <n v="2"/>
    <n v="0"/>
    <n v="0"/>
    <n v="26370.52"/>
    <x v="0"/>
    <n v="0.28683711161095193"/>
    <n v="-1.364764493013779"/>
    <s v="Youngsters"/>
    <x v="1"/>
  </r>
  <r>
    <n v="335"/>
    <s v="Jones"/>
    <n v="846"/>
    <s v="Germany"/>
    <s v="Female"/>
    <n v="23"/>
    <x v="3"/>
    <n v="117828.86"/>
    <n v="1"/>
    <n v="0"/>
    <n v="0"/>
    <n v="67005.429999999993"/>
    <x v="0"/>
    <n v="-0.14672278989573684"/>
    <n v="-0.37179596408378579"/>
    <s v="Youngsters"/>
    <x v="1"/>
  </r>
  <r>
    <n v="205"/>
    <s v="Brown"/>
    <n v="608"/>
    <s v="Germany"/>
    <s v="Female"/>
    <n v="23"/>
    <x v="3"/>
    <n v="88373.18"/>
    <n v="1"/>
    <n v="0"/>
    <n v="0"/>
    <n v="122196.71"/>
    <x v="1"/>
    <n v="-0.55598577243160907"/>
    <n v="0.97687699006729722"/>
    <s v="Youngsters"/>
    <x v="1"/>
  </r>
  <r>
    <n v="12"/>
    <s v="Miller"/>
    <n v="672"/>
    <s v="Germany"/>
    <s v="Male"/>
    <n v="21"/>
    <x v="3"/>
    <n v="157278.91"/>
    <n v="3"/>
    <n v="0"/>
    <n v="0"/>
    <n v="58708.71"/>
    <x v="0"/>
    <n v="0.40140392536560776"/>
    <n v="-0.57453744556717157"/>
    <s v="Youngsters"/>
    <x v="1"/>
  </r>
  <r>
    <n v="259"/>
    <s v="Davis"/>
    <n v="400"/>
    <s v="Germany"/>
    <s v="Male"/>
    <n v="21"/>
    <x v="3"/>
    <n v="67715.59"/>
    <n v="2"/>
    <n v="1"/>
    <n v="1"/>
    <n v="71585.87"/>
    <x v="0"/>
    <n v="-0.84300637067966189"/>
    <n v="-0.25986676899876893"/>
    <s v="Youngsters"/>
    <x v="1"/>
  </r>
  <r>
    <n v="393"/>
    <s v="Smith"/>
    <n v="767"/>
    <s v="France"/>
    <s v="Female"/>
    <n v="18"/>
    <x v="3"/>
    <n v="117042.43"/>
    <n v="1"/>
    <n v="0"/>
    <n v="0"/>
    <n v="97218.44"/>
    <x v="0"/>
    <n v="-0.157649602223807"/>
    <n v="0.36649945958633412"/>
    <s v="Youngsters"/>
    <x v="1"/>
  </r>
  <r>
    <n v="164"/>
    <s v="Jones"/>
    <n v="414"/>
    <s v="France"/>
    <s v="Female"/>
    <n v="89"/>
    <x v="4"/>
    <n v="133217.37"/>
    <n v="1"/>
    <n v="0"/>
    <n v="1"/>
    <n v="120812.2"/>
    <x v="0"/>
    <n v="6.708817964844245E-2"/>
    <n v="0.94304463119191462"/>
    <s v="Senior Citizens"/>
    <x v="2"/>
  </r>
  <r>
    <n v="406"/>
    <s v="Jones"/>
    <n v="596"/>
    <s v="Spain"/>
    <s v="Female"/>
    <n v="88"/>
    <x v="4"/>
    <n v="225228.97"/>
    <n v="3"/>
    <n v="0"/>
    <n v="1"/>
    <n v="55636.3"/>
    <x v="0"/>
    <n v="1.345515357153686"/>
    <n v="-0.64961590490102505"/>
    <s v="Senior Citizens"/>
    <x v="2"/>
  </r>
  <r>
    <n v="471"/>
    <s v="Taylor"/>
    <n v="575"/>
    <s v="France"/>
    <s v="Female"/>
    <n v="88"/>
    <x v="4"/>
    <n v="75139.3"/>
    <n v="1"/>
    <n v="0"/>
    <n v="1"/>
    <n v="62313.56"/>
    <x v="1"/>
    <n v="-0.739859891084508"/>
    <n v="-0.48644810067842237"/>
    <s v="Senior Citizens"/>
    <x v="2"/>
  </r>
  <r>
    <n v="68"/>
    <s v="Miller"/>
    <n v="679"/>
    <s v="France"/>
    <s v="Female"/>
    <n v="86"/>
    <x v="4"/>
    <n v="225109.32"/>
    <n v="3"/>
    <n v="1"/>
    <n v="0"/>
    <n v="50593.37"/>
    <x v="1"/>
    <n v="1.3438529166376152"/>
    <n v="-0.77284666346790598"/>
    <s v="Senior Citizens"/>
    <x v="2"/>
  </r>
  <r>
    <n v="100"/>
    <s v="Williams"/>
    <n v="668"/>
    <s v="Spain"/>
    <s v="Male"/>
    <n v="80"/>
    <x v="4"/>
    <n v="245611.62"/>
    <n v="2"/>
    <n v="1"/>
    <n v="0"/>
    <n v="103995.53"/>
    <x v="0"/>
    <n v="1.6287158852346806"/>
    <n v="0.53210674375962663"/>
    <s v="Senior Citizens"/>
    <x v="2"/>
  </r>
  <r>
    <n v="428"/>
    <s v="Smith"/>
    <n v="787"/>
    <s v="France"/>
    <s v="Female"/>
    <n v="77"/>
    <x v="4"/>
    <n v="82614.73"/>
    <n v="1"/>
    <n v="1"/>
    <n v="0"/>
    <n v="90275.78"/>
    <x v="1"/>
    <n v="-0.63599480368750583"/>
    <n v="0.1968462503861387"/>
    <s v="Senior Citizens"/>
    <x v="2"/>
  </r>
  <r>
    <n v="378"/>
    <s v="Jones"/>
    <n v="579"/>
    <s v="Germany"/>
    <s v="Female"/>
    <n v="76"/>
    <x v="4"/>
    <n v="200445.11"/>
    <n v="1"/>
    <n v="1"/>
    <n v="1"/>
    <n v="43482.28"/>
    <x v="1"/>
    <n v="1.0011635559950807"/>
    <n v="-0.94661568563108511"/>
    <s v="Senior Citizens"/>
    <x v="2"/>
  </r>
  <r>
    <n v="422"/>
    <s v="Jones"/>
    <n v="421"/>
    <s v="France"/>
    <s v="Female"/>
    <n v="76"/>
    <x v="4"/>
    <n v="24418.55"/>
    <n v="3"/>
    <n v="0"/>
    <n v="1"/>
    <n v="131045.9"/>
    <x v="1"/>
    <n v="-1.4445839178751418"/>
    <n v="1.1931188170215588"/>
    <s v="Senior Citizens"/>
    <x v="2"/>
  </r>
  <r>
    <n v="77"/>
    <s v="Miller"/>
    <n v="593"/>
    <s v="Germany"/>
    <s v="Female"/>
    <n v="74"/>
    <x v="4"/>
    <n v="166950.85999999999"/>
    <n v="4"/>
    <n v="1"/>
    <n v="1"/>
    <n v="18020.810000000001"/>
    <x v="1"/>
    <n v="0.53578789151196127"/>
    <n v="-1.5688008562219677"/>
    <s v="Senior Citizens"/>
    <x v="2"/>
  </r>
  <r>
    <n v="131"/>
    <s v="Smith"/>
    <n v="527"/>
    <s v="Germany"/>
    <s v="Female"/>
    <n v="73"/>
    <x v="4"/>
    <n v="184707.82"/>
    <n v="4"/>
    <n v="0"/>
    <n v="0"/>
    <n v="93162.76"/>
    <x v="1"/>
    <n v="0.78250656887300629"/>
    <n v="0.26739347895512799"/>
    <s v="Senior Citizens"/>
    <x v="2"/>
  </r>
  <r>
    <n v="316"/>
    <s v="Wilson"/>
    <n v="442"/>
    <s v="France"/>
    <s v="Female"/>
    <n v="73"/>
    <x v="4"/>
    <n v="232599.36"/>
    <n v="3"/>
    <n v="0"/>
    <n v="1"/>
    <n v="103203.97"/>
    <x v="1"/>
    <n v="1.4479209982338634"/>
    <n v="0.51276391345042149"/>
    <s v="Senior Citizens"/>
    <x v="2"/>
  </r>
  <r>
    <n v="382"/>
    <s v="Taylor"/>
    <n v="790"/>
    <s v="Spain"/>
    <s v="Male"/>
    <n v="71"/>
    <x v="4"/>
    <n v="7503.74"/>
    <n v="3"/>
    <n v="1"/>
    <n v="1"/>
    <n v="111705.43"/>
    <x v="0"/>
    <n v="-1.6796015983234491"/>
    <n v="0.72050849144892504"/>
    <s v="Senior Citizens"/>
    <x v="2"/>
  </r>
  <r>
    <n v="235"/>
    <s v="Johnson"/>
    <n v="624"/>
    <s v="France"/>
    <s v="Male"/>
    <n v="65"/>
    <x v="4"/>
    <n v="179014.43"/>
    <n v="1"/>
    <n v="1"/>
    <n v="0"/>
    <n v="83705.740000000005"/>
    <x v="0"/>
    <n v="0.70340149398965901"/>
    <n v="3.629851067633727E-2"/>
    <s v="Old person"/>
    <x v="2"/>
  </r>
  <r>
    <n v="266"/>
    <s v="Williams"/>
    <n v="834"/>
    <s v="Spain"/>
    <s v="Female"/>
    <n v="63"/>
    <x v="4"/>
    <n v="85953.51"/>
    <n v="2"/>
    <n v="1"/>
    <n v="1"/>
    <n v="91754.31"/>
    <x v="1"/>
    <n v="-0.58960514095247063"/>
    <n v="0.23297611406933286"/>
    <s v="Old person"/>
    <x v="2"/>
  </r>
  <r>
    <n v="132"/>
    <s v="Miller"/>
    <n v="789"/>
    <s v="Spain"/>
    <s v="Male"/>
    <n v="61"/>
    <x v="4"/>
    <n v="166854.44"/>
    <n v="4"/>
    <n v="0"/>
    <n v="1"/>
    <n v="38147.910000000003"/>
    <x v="0"/>
    <n v="0.53444821316211144"/>
    <n v="-1.076968171502674"/>
    <s v="Old person"/>
    <x v="2"/>
  </r>
  <r>
    <n v="414"/>
    <s v="Johnson"/>
    <n v="684"/>
    <s v="Germany"/>
    <s v="Female"/>
    <n v="57"/>
    <x v="4"/>
    <n v="186325.98"/>
    <n v="4"/>
    <n v="0"/>
    <n v="0"/>
    <n v="76620.289999999994"/>
    <x v="1"/>
    <n v="0.80498960059457059"/>
    <n v="-0.13684396369624122"/>
    <s v="Old person"/>
    <x v="2"/>
  </r>
  <r>
    <n v="66"/>
    <s v="Taylor"/>
    <n v="547"/>
    <s v="Germany"/>
    <s v="Female"/>
    <n v="52"/>
    <x v="4"/>
    <n v="226630.81"/>
    <n v="3"/>
    <n v="0"/>
    <n v="0"/>
    <n v="103458.26"/>
    <x v="1"/>
    <n v="1.3649927964604032"/>
    <n v="0.5189778306763142"/>
    <s v="Old person"/>
    <x v="2"/>
  </r>
  <r>
    <n v="421"/>
    <s v="Miller"/>
    <n v="513"/>
    <s v="Germany"/>
    <s v="Male"/>
    <n v="52"/>
    <x v="4"/>
    <n v="64929.13"/>
    <n v="2"/>
    <n v="1"/>
    <n v="1"/>
    <n v="117045.7"/>
    <x v="1"/>
    <n v="-0.88172199124306105"/>
    <n v="0.85100515173410796"/>
    <s v="Old person"/>
    <x v="2"/>
  </r>
  <r>
    <n v="273"/>
    <s v="Williams"/>
    <n v="468"/>
    <s v="France"/>
    <s v="Male"/>
    <n v="50"/>
    <x v="4"/>
    <n v="36270.720000000001"/>
    <n v="4"/>
    <n v="0"/>
    <n v="0"/>
    <n v="48088.94"/>
    <x v="0"/>
    <n v="-1.2799075483694238"/>
    <n v="-0.83404576967752087"/>
    <s v="Adults"/>
    <x v="2"/>
  </r>
  <r>
    <n v="47"/>
    <s v="Williams"/>
    <n v="353"/>
    <s v="Germany"/>
    <s v="Female"/>
    <n v="50"/>
    <x v="4"/>
    <n v="35813.31"/>
    <n v="4"/>
    <n v="0"/>
    <n v="0"/>
    <n v="133876.07999999999"/>
    <x v="1"/>
    <n v="-1.2862628924267241"/>
    <n v="1.2622780614054416"/>
    <s v="Adults"/>
    <x v="2"/>
  </r>
  <r>
    <n v="28"/>
    <s v="Jones"/>
    <n v="574"/>
    <s v="France"/>
    <s v="Male"/>
    <n v="49"/>
    <x v="4"/>
    <n v="47828.14"/>
    <n v="3"/>
    <n v="1"/>
    <n v="0"/>
    <n v="129087.2"/>
    <x v="1"/>
    <n v="-1.1193264930476747"/>
    <n v="1.1452553553425451"/>
    <s v="Adults"/>
    <x v="2"/>
  </r>
  <r>
    <n v="399"/>
    <s v="Smith"/>
    <n v="629"/>
    <s v="Germany"/>
    <s v="Female"/>
    <n v="48"/>
    <x v="4"/>
    <n v="234503.75"/>
    <n v="1"/>
    <n v="1"/>
    <n v="0"/>
    <n v="64388.61"/>
    <x v="1"/>
    <n v="1.4743809655919924"/>
    <n v="-0.435741470690656"/>
    <s v="Adults"/>
    <x v="2"/>
  </r>
  <r>
    <n v="464"/>
    <s v="Jones"/>
    <n v="559"/>
    <s v="France"/>
    <s v="Female"/>
    <n v="47"/>
    <x v="4"/>
    <n v="88260.36"/>
    <n v="3"/>
    <n v="0"/>
    <n v="1"/>
    <n v="16813.419999999998"/>
    <x v="0"/>
    <n v="-0.55755331559101651"/>
    <n v="-1.5983050503285816"/>
    <s v="Adults"/>
    <x v="2"/>
  </r>
  <r>
    <n v="262"/>
    <s v="Miller"/>
    <n v="370"/>
    <s v="Germany"/>
    <s v="Male"/>
    <n v="47"/>
    <x v="4"/>
    <n v="20999.24"/>
    <n v="3"/>
    <n v="1"/>
    <n v="1"/>
    <n v="33647.800000000003"/>
    <x v="0"/>
    <n v="-1.4920924801902786"/>
    <n v="-1.1869343952920992"/>
    <s v="Adults"/>
    <x v="2"/>
  </r>
  <r>
    <n v="76"/>
    <s v="Brown"/>
    <n v="587"/>
    <s v="Spain"/>
    <s v="Female"/>
    <n v="46"/>
    <x v="4"/>
    <n v="88638.62"/>
    <n v="2"/>
    <n v="1"/>
    <n v="0"/>
    <n v="60075.81"/>
    <x v="1"/>
    <n v="-0.55229769712374577"/>
    <n v="-0.54113052339359735"/>
    <s v="Adults"/>
    <x v="2"/>
  </r>
  <r>
    <n v="434"/>
    <s v="Johnson"/>
    <n v="702"/>
    <s v="France"/>
    <s v="Male"/>
    <n v="45"/>
    <x v="4"/>
    <n v="143858.20000000001"/>
    <n v="3"/>
    <n v="0"/>
    <n v="1"/>
    <n v="111156.24"/>
    <x v="0"/>
    <n v="0.21493395412919422"/>
    <n v="0.70708829717747101"/>
    <s v="Adults"/>
    <x v="2"/>
  </r>
  <r>
    <n v="299"/>
    <s v="Brown"/>
    <n v="739"/>
    <s v="Germany"/>
    <s v="Female"/>
    <n v="44"/>
    <x v="4"/>
    <n v="8330.89"/>
    <n v="1"/>
    <n v="0"/>
    <n v="1"/>
    <n v="102035.16"/>
    <x v="0"/>
    <n v="-1.6681090143462824"/>
    <n v="0.48420247339066341"/>
    <s v="Adults"/>
    <x v="2"/>
  </r>
  <r>
    <n v="110"/>
    <s v="Wilson"/>
    <n v="592"/>
    <s v="Spain"/>
    <s v="Male"/>
    <n v="41"/>
    <x v="4"/>
    <n v="66018.19"/>
    <n v="3"/>
    <n v="0"/>
    <n v="0"/>
    <n v="102543.92"/>
    <x v="1"/>
    <n v="-0.86659037846886888"/>
    <n v="0.4966347063838808"/>
    <s v="Adults"/>
    <x v="2"/>
  </r>
  <r>
    <n v="134"/>
    <s v="Jones"/>
    <n v="511"/>
    <s v="Spain"/>
    <s v="Female"/>
    <n v="38"/>
    <x v="4"/>
    <n v="30108.06"/>
    <n v="2"/>
    <n v="1"/>
    <n v="1"/>
    <n v="17973.88"/>
    <x v="0"/>
    <n v="-1.3655327524711292"/>
    <n v="-1.5699476537185704"/>
    <s v="Adults"/>
    <x v="2"/>
  </r>
  <r>
    <n v="353"/>
    <s v="Johnson"/>
    <n v="611"/>
    <s v="Germany"/>
    <s v="Female"/>
    <n v="36"/>
    <x v="4"/>
    <n v="124751.31"/>
    <n v="1"/>
    <n v="0"/>
    <n v="0"/>
    <n v="16581.23"/>
    <x v="0"/>
    <n v="-5.0540914839535579E-2"/>
    <n v="-1.6039789244120299"/>
    <s v="Adults"/>
    <x v="2"/>
  </r>
  <r>
    <n v="136"/>
    <s v="Moore"/>
    <n v="703"/>
    <s v="France"/>
    <s v="Male"/>
    <n v="32"/>
    <x v="4"/>
    <n v="35229.26"/>
    <n v="2"/>
    <n v="1"/>
    <n v="0"/>
    <n v="59763.13"/>
    <x v="0"/>
    <n v="-1.294377797428071"/>
    <n v="-0.54877127858724317"/>
    <s v="Adults"/>
    <x v="2"/>
  </r>
  <r>
    <n v="454"/>
    <s v="Moore"/>
    <n v="473"/>
    <s v="Germany"/>
    <s v="Male"/>
    <n v="31"/>
    <x v="4"/>
    <n v="148788.01"/>
    <n v="2"/>
    <n v="1"/>
    <n v="1"/>
    <n v="13370.94"/>
    <x v="0"/>
    <n v="0.28342969905632431"/>
    <n v="-1.6824266664825467"/>
    <s v="Adults"/>
    <x v="2"/>
  </r>
  <r>
    <n v="267"/>
    <s v="Jones"/>
    <n v="715"/>
    <s v="France"/>
    <s v="Male"/>
    <n v="29"/>
    <x v="4"/>
    <n v="48947.26"/>
    <n v="4"/>
    <n v="1"/>
    <n v="0"/>
    <n v="119204.73"/>
    <x v="0"/>
    <n v="-1.1037772207505985"/>
    <n v="0.90376394566316365"/>
    <s v="Youngsters"/>
    <x v="2"/>
  </r>
  <r>
    <n v="329"/>
    <s v="Wilson"/>
    <n v="835"/>
    <s v="Spain"/>
    <s v="Male"/>
    <n v="28"/>
    <x v="4"/>
    <n v="182346.37"/>
    <n v="4"/>
    <n v="1"/>
    <n v="0"/>
    <n v="23783.4"/>
    <x v="1"/>
    <n v="0.74969612042607381"/>
    <n v="-1.4279842402844229"/>
    <s v="Youngsters"/>
    <x v="2"/>
  </r>
  <r>
    <n v="73"/>
    <s v="Davis"/>
    <n v="509"/>
    <s v="Germany"/>
    <s v="Female"/>
    <n v="24"/>
    <x v="4"/>
    <n v="112469.92"/>
    <n v="4"/>
    <n v="0"/>
    <n v="0"/>
    <n v="92201.91"/>
    <x v="1"/>
    <n v="-0.22118095102563734"/>
    <n v="0.24391382042943235"/>
    <s v="Youngsters"/>
    <x v="2"/>
  </r>
  <r>
    <n v="340"/>
    <s v="Miller"/>
    <n v="746"/>
    <s v="Spain"/>
    <s v="Female"/>
    <n v="24"/>
    <x v="4"/>
    <n v="73449.679999999993"/>
    <n v="4"/>
    <n v="1"/>
    <n v="0"/>
    <n v="108174.82"/>
    <x v="0"/>
    <n v="-0.76333580203113238"/>
    <n v="0.6342333005373294"/>
    <s v="Youngsters"/>
    <x v="2"/>
  </r>
  <r>
    <n v="122"/>
    <s v="Johnson"/>
    <n v="547"/>
    <s v="France"/>
    <s v="Male"/>
    <n v="24"/>
    <x v="4"/>
    <n v="228358.15"/>
    <n v="2"/>
    <n v="0"/>
    <n v="0"/>
    <n v="127955.4"/>
    <x v="0"/>
    <n v="1.3889927964690099"/>
    <n v="1.1175983042738218"/>
    <s v="Youngsters"/>
    <x v="2"/>
  </r>
  <r>
    <n v="27"/>
    <s v="Smith"/>
    <n v="618"/>
    <s v="Germany"/>
    <s v="Male"/>
    <n v="22"/>
    <x v="4"/>
    <n v="39874.14"/>
    <n v="3"/>
    <n v="1"/>
    <n v="1"/>
    <n v="137124.10999999999"/>
    <x v="0"/>
    <n v="-1.2298409256830893"/>
    <n v="1.3416480309961332"/>
    <s v="Youngsters"/>
    <x v="2"/>
  </r>
  <r>
    <n v="169"/>
    <s v="Taylor"/>
    <n v="610"/>
    <s v="Germany"/>
    <s v="Male"/>
    <n v="21"/>
    <x v="4"/>
    <n v="183590.26"/>
    <n v="3"/>
    <n v="1"/>
    <n v="1"/>
    <n v="86790.47"/>
    <x v="1"/>
    <n v="0.7669789715212294"/>
    <n v="0.11167802573484767"/>
    <s v="Youngsters"/>
    <x v="2"/>
  </r>
  <r>
    <n v="198"/>
    <s v="Moore"/>
    <n v="760"/>
    <s v="France"/>
    <s v="Female"/>
    <n v="21"/>
    <x v="4"/>
    <n v="17937.98"/>
    <n v="1"/>
    <n v="0"/>
    <n v="0"/>
    <n v="106372.6"/>
    <x v="1"/>
    <n v="-1.5346262257333376"/>
    <n v="0.59019363754291854"/>
    <s v="Youngsters"/>
    <x v="2"/>
  </r>
  <r>
    <n v="459"/>
    <s v="Taylor"/>
    <n v="600"/>
    <s v="Spain"/>
    <s v="Male"/>
    <n v="21"/>
    <x v="4"/>
    <n v="30283.43"/>
    <n v="1"/>
    <n v="0"/>
    <n v="0"/>
    <n v="140478.74"/>
    <x v="0"/>
    <n v="-1.3630961273703908"/>
    <n v="1.4236229145680281"/>
    <s v="Youngsters"/>
    <x v="2"/>
  </r>
  <r>
    <n v="244"/>
    <s v="Taylor"/>
    <n v="545"/>
    <s v="France"/>
    <s v="Female"/>
    <n v="20"/>
    <x v="4"/>
    <n v="152465.9"/>
    <n v="3"/>
    <n v="1"/>
    <n v="1"/>
    <n v="43527.09"/>
    <x v="1"/>
    <n v="0.33453102249678984"/>
    <n v="-0.94552069317801091"/>
    <s v="Youngsters"/>
    <x v="2"/>
  </r>
  <r>
    <n v="20"/>
    <s v="Johnson"/>
    <n v="765"/>
    <s v="Germany"/>
    <s v="Female"/>
    <n v="20"/>
    <x v="4"/>
    <n v="246840.35"/>
    <n v="2"/>
    <n v="0"/>
    <n v="0"/>
    <n v="93337.31"/>
    <x v="1"/>
    <n v="1.6457881003229524"/>
    <n v="0.27165884232678883"/>
    <s v="Youngsters"/>
    <x v="2"/>
  </r>
  <r>
    <n v="223"/>
    <s v="Williams"/>
    <n v="728"/>
    <s v="France"/>
    <s v="Female"/>
    <n v="19"/>
    <x v="4"/>
    <n v="16689.2"/>
    <n v="3"/>
    <n v="1"/>
    <n v="1"/>
    <n v="141842.12"/>
    <x v="0"/>
    <n v="-1.5519770194454889"/>
    <n v="1.4569389335520144"/>
    <s v="Youngsters"/>
    <x v="2"/>
  </r>
  <r>
    <n v="300"/>
    <s v="Taylor"/>
    <n v="466"/>
    <s v="Spain"/>
    <s v="Female"/>
    <n v="91"/>
    <x v="5"/>
    <n v="58953.35"/>
    <n v="4"/>
    <n v="1"/>
    <n v="0"/>
    <n v="140486.14000000001"/>
    <x v="0"/>
    <n v="-0.96475064805146671"/>
    <n v="1.4238037434935531"/>
    <s v="Senior Citizens"/>
    <x v="2"/>
  </r>
  <r>
    <n v="456"/>
    <s v="Moore"/>
    <n v="564"/>
    <s v="Germany"/>
    <s v="Female"/>
    <n v="90"/>
    <x v="5"/>
    <n v="223177.88"/>
    <n v="3"/>
    <n v="1"/>
    <n v="1"/>
    <n v="111640.94"/>
    <x v="1"/>
    <n v="1.3170171112856734"/>
    <n v="0.71893259179932123"/>
    <s v="Senior Citizens"/>
    <x v="2"/>
  </r>
  <r>
    <n v="303"/>
    <s v="Brown"/>
    <n v="543"/>
    <s v="Germany"/>
    <s v="Male"/>
    <n v="89"/>
    <x v="5"/>
    <n v="248060.86"/>
    <n v="3"/>
    <n v="0"/>
    <n v="0"/>
    <n v="105985.33"/>
    <x v="0"/>
    <n v="1.662746105122531"/>
    <n v="0.58073017565266893"/>
    <s v="Senior Citizens"/>
    <x v="2"/>
  </r>
  <r>
    <n v="40"/>
    <s v="Johnson"/>
    <n v="470"/>
    <s v="France"/>
    <s v="Female"/>
    <n v="87"/>
    <x v="5"/>
    <n v="207759.1"/>
    <n v="4"/>
    <n v="0"/>
    <n v="0"/>
    <n v="23908.03"/>
    <x v="1"/>
    <n v="1.102785564437512"/>
    <n v="-1.4249387390698136"/>
    <s v="Senior Citizens"/>
    <x v="2"/>
  </r>
  <r>
    <n v="245"/>
    <s v="Jones"/>
    <n v="522"/>
    <s v="Spain"/>
    <s v="Male"/>
    <n v="87"/>
    <x v="5"/>
    <n v="237584.05"/>
    <n v="3"/>
    <n v="1"/>
    <n v="1"/>
    <n v="47917.63"/>
    <x v="0"/>
    <n v="1.5171792566212692"/>
    <n v="-0.83823195930341154"/>
    <s v="Senior Citizens"/>
    <x v="2"/>
  </r>
  <r>
    <n v="292"/>
    <s v="Wilson"/>
    <n v="657"/>
    <s v="Spain"/>
    <s v="Female"/>
    <n v="86"/>
    <x v="5"/>
    <n v="44447.47"/>
    <n v="2"/>
    <n v="0"/>
    <n v="0"/>
    <n v="145899.54"/>
    <x v="1"/>
    <n v="-1.1662981836407809"/>
    <n v="1.5560874334170602"/>
    <s v="Senior Citizens"/>
    <x v="2"/>
  </r>
  <r>
    <n v="436"/>
    <s v="Moore"/>
    <n v="547"/>
    <s v="Spain"/>
    <s v="Male"/>
    <n v="85"/>
    <x v="5"/>
    <n v="191884.81"/>
    <n v="1"/>
    <n v="1"/>
    <n v="1"/>
    <n v="56017.64"/>
    <x v="0"/>
    <n v="0.88222507250388915"/>
    <n v="-0.64029735051460812"/>
    <s v="Senior Citizens"/>
    <x v="2"/>
  </r>
  <r>
    <n v="8"/>
    <s v="Davis"/>
    <n v="741"/>
    <s v="France"/>
    <s v="Male"/>
    <n v="82"/>
    <x v="5"/>
    <n v="204042.02"/>
    <n v="2"/>
    <n v="1"/>
    <n v="1"/>
    <n v="92581.54"/>
    <x v="0"/>
    <n v="1.0511397274673777"/>
    <n v="0.25319058867224831"/>
    <s v="Senior Citizens"/>
    <x v="2"/>
  </r>
  <r>
    <n v="349"/>
    <s v="Taylor"/>
    <n v="642"/>
    <s v="Spain"/>
    <s v="Male"/>
    <n v="80"/>
    <x v="5"/>
    <n v="141610.87"/>
    <n v="1"/>
    <n v="1"/>
    <n v="0"/>
    <n v="35048.160000000003"/>
    <x v="1"/>
    <n v="0.18370911129608536"/>
    <n v="-1.1527147204073165"/>
    <s v="Senior Citizens"/>
    <x v="2"/>
  </r>
  <r>
    <n v="90"/>
    <s v="Johnson"/>
    <n v="515"/>
    <s v="France"/>
    <s v="Male"/>
    <n v="79"/>
    <x v="5"/>
    <n v="69882.490000000005"/>
    <n v="3"/>
    <n v="1"/>
    <n v="0"/>
    <n v="28817.75"/>
    <x v="0"/>
    <n v="-0.81289903800708452"/>
    <n v="-1.3049631455257855"/>
    <s v="Senior Citizens"/>
    <x v="2"/>
  </r>
  <r>
    <n v="115"/>
    <s v="Jones"/>
    <n v="475"/>
    <s v="Spain"/>
    <s v="Female"/>
    <n v="78"/>
    <x v="5"/>
    <n v="5741.56"/>
    <n v="3"/>
    <n v="0"/>
    <n v="1"/>
    <n v="136090.56"/>
    <x v="1"/>
    <n v="-1.7040856721104085"/>
    <n v="1.3163918504588665"/>
    <s v="Senior Citizens"/>
    <x v="2"/>
  </r>
  <r>
    <n v="43"/>
    <s v="Smith"/>
    <n v="547"/>
    <s v="Germany"/>
    <s v="Female"/>
    <n v="77"/>
    <x v="5"/>
    <n v="41600.300000000003"/>
    <n v="4"/>
    <n v="0"/>
    <n v="0"/>
    <n v="48255.32"/>
    <x v="0"/>
    <n v="-1.2058573208254142"/>
    <n v="-0.82998005121417573"/>
    <s v="Senior Citizens"/>
    <x v="2"/>
  </r>
  <r>
    <n v="270"/>
    <s v="Davis"/>
    <n v="575"/>
    <s v="Germany"/>
    <s v="Male"/>
    <n v="76"/>
    <x v="5"/>
    <n v="59505.51"/>
    <n v="4"/>
    <n v="1"/>
    <n v="0"/>
    <n v="116792.39"/>
    <x v="0"/>
    <n v="-0.95707882895114349"/>
    <n v="0.84481518212267648"/>
    <s v="Senior Citizens"/>
    <x v="2"/>
  </r>
  <r>
    <n v="463"/>
    <s v="Smith"/>
    <n v="538"/>
    <s v="Spain"/>
    <s v="Male"/>
    <n v="73"/>
    <x v="5"/>
    <n v="4387.1899999999996"/>
    <n v="2"/>
    <n v="1"/>
    <n v="0"/>
    <n v="131348.78"/>
    <x v="0"/>
    <n v="-1.7229035539470223"/>
    <n v="1.2005200960705913"/>
    <s v="Senior Citizens"/>
    <x v="2"/>
  </r>
  <r>
    <n v="233"/>
    <s v="Smith"/>
    <n v="506"/>
    <s v="Spain"/>
    <s v="Female"/>
    <n v="72"/>
    <x v="5"/>
    <n v="120906.58"/>
    <n v="2"/>
    <n v="1"/>
    <n v="0"/>
    <n v="143845.99"/>
    <x v="0"/>
    <n v="-0.10396034589137827"/>
    <n v="1.5059061847669659"/>
    <s v="Senior Citizens"/>
    <x v="2"/>
  </r>
  <r>
    <n v="93"/>
    <s v="Jones"/>
    <n v="739"/>
    <s v="Spain"/>
    <s v="Male"/>
    <n v="71"/>
    <x v="5"/>
    <n v="173851.84"/>
    <n v="2"/>
    <n v="1"/>
    <n v="1"/>
    <n v="121172.65"/>
    <x v="0"/>
    <n v="0.63167145818638215"/>
    <n v="0.95185271040884434"/>
    <s v="Senior Citizens"/>
    <x v="2"/>
  </r>
  <r>
    <n v="337"/>
    <s v="Taylor"/>
    <n v="638"/>
    <s v="Spain"/>
    <s v="Female"/>
    <n v="69"/>
    <x v="5"/>
    <n v="4147.6899999999996"/>
    <n v="2"/>
    <n v="0"/>
    <n v="0"/>
    <n v="37164.6"/>
    <x v="0"/>
    <n v="-1.7262312138183049"/>
    <n v="-1.100996670253678"/>
    <s v="Old person"/>
    <x v="2"/>
  </r>
  <r>
    <n v="295"/>
    <s v="Moore"/>
    <n v="507"/>
    <s v="France"/>
    <s v="Female"/>
    <n v="67"/>
    <x v="5"/>
    <n v="179102.53"/>
    <n v="1"/>
    <n v="0"/>
    <n v="0"/>
    <n v="14556.33"/>
    <x v="0"/>
    <n v="0.7046255726312457"/>
    <n v="-1.6534600718842487"/>
    <s v="Old person"/>
    <x v="2"/>
  </r>
  <r>
    <n v="491"/>
    <s v="Miller"/>
    <n v="695"/>
    <s v="Germany"/>
    <s v="Male"/>
    <n v="65"/>
    <x v="5"/>
    <n v="57896.34"/>
    <n v="4"/>
    <n v="1"/>
    <n v="1"/>
    <n v="39633.65"/>
    <x v="1"/>
    <n v="-0.97943695185332225"/>
    <n v="-1.0406621217987999"/>
    <s v="Old person"/>
    <x v="2"/>
  </r>
  <r>
    <n v="63"/>
    <s v="Johnson"/>
    <n v="452"/>
    <s v="Spain"/>
    <s v="Female"/>
    <n v="65"/>
    <x v="5"/>
    <n v="145317.32"/>
    <n v="3"/>
    <n v="0"/>
    <n v="0"/>
    <n v="60885.4"/>
    <x v="0"/>
    <n v="0.23520725296587836"/>
    <n v="-0.52134710585098598"/>
    <s v="Old person"/>
    <x v="2"/>
  </r>
  <r>
    <n v="41"/>
    <s v="Taylor"/>
    <n v="671"/>
    <s v="Spain"/>
    <s v="Male"/>
    <n v="63"/>
    <x v="5"/>
    <n v="43010.54"/>
    <n v="3"/>
    <n v="0"/>
    <n v="1"/>
    <n v="82220.31"/>
    <x v="0"/>
    <n v="-1.1862631702747772"/>
    <n v="3.6238262035302951E-8"/>
    <s v="Old person"/>
    <x v="2"/>
  </r>
  <r>
    <n v="54"/>
    <s v="Davis"/>
    <n v="420"/>
    <s v="Spain"/>
    <s v="Male"/>
    <n v="61"/>
    <x v="5"/>
    <n v="216419.15"/>
    <n v="4"/>
    <n v="1"/>
    <n v="1"/>
    <n v="40937.339999999997"/>
    <x v="0"/>
    <n v="1.2231099939502501"/>
    <n v="-1.0088047080262399"/>
    <s v="Old person"/>
    <x v="2"/>
  </r>
  <r>
    <n v="483"/>
    <s v="Johnson"/>
    <n v="550"/>
    <s v="Spain"/>
    <s v="Male"/>
    <n v="59"/>
    <x v="5"/>
    <n v="132558.04"/>
    <n v="3"/>
    <n v="1"/>
    <n v="0"/>
    <n v="55627.46"/>
    <x v="1"/>
    <n v="5.7927319594443645E-2"/>
    <n v="-0.64983192215800301"/>
    <s v="Old person"/>
    <x v="2"/>
  </r>
  <r>
    <n v="232"/>
    <s v="Davis"/>
    <n v="572"/>
    <s v="Germany"/>
    <s v="Female"/>
    <n v="58"/>
    <x v="5"/>
    <n v="180664.35"/>
    <n v="1"/>
    <n v="1"/>
    <n v="1"/>
    <n v="36108.42"/>
    <x v="1"/>
    <n v="0.72632580536680569"/>
    <n v="-1.1268058451942715"/>
    <s v="Old person"/>
    <x v="2"/>
  </r>
  <r>
    <n v="344"/>
    <s v="Wilson"/>
    <n v="696"/>
    <s v="France"/>
    <s v="Female"/>
    <n v="58"/>
    <x v="5"/>
    <n v="2478.15"/>
    <n v="4"/>
    <n v="1"/>
    <n v="1"/>
    <n v="118783.64"/>
    <x v="0"/>
    <n v="-1.7494281293151783"/>
    <n v="0.89347404671058495"/>
    <s v="Old person"/>
    <x v="2"/>
  </r>
  <r>
    <n v="86"/>
    <s v="Wilson"/>
    <n v="750"/>
    <s v="Spain"/>
    <s v="Female"/>
    <n v="55"/>
    <x v="5"/>
    <n v="175912.59"/>
    <n v="2"/>
    <n v="1"/>
    <n v="1"/>
    <n v="15679.54"/>
    <x v="1"/>
    <n v="0.6603039219849024"/>
    <n v="-1.6260129289871816"/>
    <s v="Old person"/>
    <x v="2"/>
  </r>
  <r>
    <n v="468"/>
    <s v="Johnson"/>
    <n v="840"/>
    <s v="France"/>
    <s v="Male"/>
    <n v="54"/>
    <x v="5"/>
    <n v="110774.55"/>
    <n v="2"/>
    <n v="0"/>
    <n v="0"/>
    <n v="23399.15"/>
    <x v="0"/>
    <n v="-0.24473675359756369"/>
    <n v="-1.4373739044239855"/>
    <s v="Old person"/>
    <x v="2"/>
  </r>
  <r>
    <n v="489"/>
    <s v="Wilson"/>
    <n v="760"/>
    <s v="France"/>
    <s v="Male"/>
    <n v="54"/>
    <x v="5"/>
    <n v="200253.42"/>
    <n v="1"/>
    <n v="1"/>
    <n v="1"/>
    <n v="105135.87"/>
    <x v="1"/>
    <n v="0.99850017762044163"/>
    <n v="0.5599724811829413"/>
    <s v="Old person"/>
    <x v="2"/>
  </r>
  <r>
    <n v="143"/>
    <s v="Moore"/>
    <n v="846"/>
    <s v="France"/>
    <s v="Male"/>
    <n v="50"/>
    <x v="5"/>
    <n v="164636.07"/>
    <n v="4"/>
    <n v="1"/>
    <n v="0"/>
    <n v="70775.05"/>
    <x v="1"/>
    <n v="0.50362574623661183"/>
    <n v="-0.2796802432411632"/>
    <s v="Adults"/>
    <x v="2"/>
  </r>
  <r>
    <n v="405"/>
    <s v="Jones"/>
    <n v="508"/>
    <s v="Germany"/>
    <s v="Male"/>
    <n v="49"/>
    <x v="5"/>
    <n v="220856.36"/>
    <n v="1"/>
    <n v="0"/>
    <n v="1"/>
    <n v="84471.69"/>
    <x v="0"/>
    <n v="1.2847614580732307"/>
    <n v="5.5015526285180145E-2"/>
    <s v="Adults"/>
    <x v="2"/>
  </r>
  <r>
    <n v="112"/>
    <s v="Taylor"/>
    <n v="825"/>
    <s v="France"/>
    <s v="Male"/>
    <n v="41"/>
    <x v="5"/>
    <n v="159554.78"/>
    <n v="3"/>
    <n v="0"/>
    <n v="1"/>
    <n v="75419.12"/>
    <x v="1"/>
    <n v="0.43302530854412929"/>
    <n v="-0.16619616376004939"/>
    <s v="Adults"/>
    <x v="2"/>
  </r>
  <r>
    <n v="227"/>
    <s v="Moore"/>
    <n v="567"/>
    <s v="Spain"/>
    <s v="Male"/>
    <n v="40"/>
    <x v="5"/>
    <n v="49223"/>
    <n v="2"/>
    <n v="0"/>
    <n v="1"/>
    <n v="111037.23"/>
    <x v="1"/>
    <n v="-1.0999460352269765"/>
    <n v="0.70418012820089482"/>
    <s v="Adults"/>
    <x v="2"/>
  </r>
  <r>
    <n v="192"/>
    <s v="Wilson"/>
    <n v="725"/>
    <s v="France"/>
    <s v="Female"/>
    <n v="39"/>
    <x v="5"/>
    <n v="96291.25"/>
    <n v="1"/>
    <n v="0"/>
    <n v="0"/>
    <n v="135564.73000000001"/>
    <x v="1"/>
    <n v="-0.44597055824786536"/>
    <n v="1.3035424891198788"/>
    <s v="Adults"/>
    <x v="2"/>
  </r>
  <r>
    <n v="359"/>
    <s v="Moore"/>
    <n v="746"/>
    <s v="Germany"/>
    <s v="Female"/>
    <n v="35"/>
    <x v="5"/>
    <n v="196029.87"/>
    <n v="4"/>
    <n v="1"/>
    <n v="0"/>
    <n v="77933.48"/>
    <x v="1"/>
    <n v="0.93981734735173317"/>
    <n v="-0.10475440468145368"/>
    <s v="Adults"/>
    <x v="2"/>
  </r>
  <r>
    <n v="373"/>
    <s v="Wilson"/>
    <n v="494"/>
    <s v="Spain"/>
    <s v="Female"/>
    <n v="35"/>
    <x v="5"/>
    <n v="60811.89"/>
    <n v="1"/>
    <n v="1"/>
    <n v="0"/>
    <n v="135514.51"/>
    <x v="1"/>
    <n v="-0.93892772956639947"/>
    <n v="1.3023152960604412"/>
    <s v="Adults"/>
    <x v="2"/>
  </r>
  <r>
    <n v="415"/>
    <s v="Smith"/>
    <n v="837"/>
    <s v="France"/>
    <s v="Male"/>
    <n v="31"/>
    <x v="5"/>
    <n v="150640.24"/>
    <n v="4"/>
    <n v="0"/>
    <n v="0"/>
    <n v="52816.7"/>
    <x v="0"/>
    <n v="0.30916494516649423"/>
    <n v="-0.71851661279409085"/>
    <s v="Adults"/>
    <x v="2"/>
  </r>
  <r>
    <n v="481"/>
    <s v="Taylor"/>
    <n v="415"/>
    <s v="France"/>
    <s v="Female"/>
    <n v="31"/>
    <x v="5"/>
    <n v="224202.59"/>
    <n v="3"/>
    <n v="1"/>
    <n v="0"/>
    <n v="58513.24"/>
    <x v="1"/>
    <n v="1.3312546325662662"/>
    <n v="-0.57931401719855813"/>
    <s v="Adults"/>
    <x v="2"/>
  </r>
  <r>
    <n v="458"/>
    <s v="Miller"/>
    <n v="579"/>
    <s v="Spain"/>
    <s v="Female"/>
    <n v="30"/>
    <x v="5"/>
    <n v="220273.68"/>
    <n v="4"/>
    <n v="0"/>
    <n v="0"/>
    <n v="57395.97"/>
    <x v="1"/>
    <n v="1.2766655881199993"/>
    <n v="-0.6066160082283798"/>
    <s v="Youngsters"/>
    <x v="2"/>
  </r>
  <r>
    <n v="156"/>
    <s v="Smith"/>
    <n v="474"/>
    <s v="Germany"/>
    <s v="Female"/>
    <n v="28"/>
    <x v="5"/>
    <n v="209434.77"/>
    <n v="2"/>
    <n v="0"/>
    <n v="0"/>
    <n v="42983.99"/>
    <x v="1"/>
    <n v="1.1260676513540551"/>
    <n v="-0.95879207013102685"/>
    <s v="Youngsters"/>
    <x v="2"/>
  </r>
  <r>
    <n v="435"/>
    <s v="Wilson"/>
    <n v="559"/>
    <s v="Germany"/>
    <s v="Male"/>
    <n v="28"/>
    <x v="5"/>
    <n v="117504.37"/>
    <n v="3"/>
    <n v="1"/>
    <n v="1"/>
    <n v="69683.199999999997"/>
    <x v="0"/>
    <n v="-0.15123131745996443"/>
    <n v="-0.3063610624754674"/>
    <s v="Youngsters"/>
    <x v="2"/>
  </r>
  <r>
    <n v="30"/>
    <s v="Smith"/>
    <n v="686"/>
    <s v="France"/>
    <s v="Female"/>
    <n v="25"/>
    <x v="5"/>
    <n v="5425.45"/>
    <n v="4"/>
    <n v="1"/>
    <n v="0"/>
    <n v="82220.31"/>
    <x v="0"/>
    <n v="-1.7084777663146304"/>
    <n v="3.6238262035302951E-8"/>
    <s v="Youngsters"/>
    <x v="2"/>
  </r>
  <r>
    <n v="207"/>
    <s v="Jones"/>
    <n v="714"/>
    <s v="Germany"/>
    <s v="Male"/>
    <n v="23"/>
    <x v="5"/>
    <n v="160251.42000000001"/>
    <n v="3"/>
    <n v="1"/>
    <n v="0"/>
    <n v="117590.06"/>
    <x v="0"/>
    <n v="0.44270456103987188"/>
    <n v="0.8643073184771457"/>
    <s v="Youngsters"/>
    <x v="2"/>
  </r>
  <r>
    <n v="236"/>
    <s v="Johnson"/>
    <n v="759"/>
    <s v="Spain"/>
    <s v="Male"/>
    <n v="22"/>
    <x v="5"/>
    <n v="44104.69"/>
    <n v="4"/>
    <n v="1"/>
    <n v="1"/>
    <n v="101878.09"/>
    <x v="0"/>
    <n v="-1.1710608360444479"/>
    <n v="0.48036425726470078"/>
    <s v="Youngsters"/>
    <x v="2"/>
  </r>
  <r>
    <n v="354"/>
    <s v="Wilson"/>
    <n v="698"/>
    <s v="France"/>
    <s v="Female"/>
    <n v="18"/>
    <x v="5"/>
    <n v="142139.92000000001"/>
    <n v="2"/>
    <n v="0"/>
    <n v="1"/>
    <n v="89777.41"/>
    <x v="1"/>
    <n v="0.19105983553367248"/>
    <n v="0.18466791097889415"/>
    <s v="Youngsters"/>
    <x v="2"/>
  </r>
  <r>
    <n v="242"/>
    <s v="Brown"/>
    <n v="502"/>
    <s v="Germany"/>
    <s v="Female"/>
    <n v="90"/>
    <x v="6"/>
    <n v="242675.6"/>
    <n v="4"/>
    <n v="1"/>
    <n v="0"/>
    <n v="38576.97"/>
    <x v="0"/>
    <n v="1.5879222487616822"/>
    <n v="-1.0664835149100371"/>
    <s v="Senior Citizens"/>
    <x v="2"/>
  </r>
  <r>
    <n v="240"/>
    <s v="Moore"/>
    <n v="473"/>
    <s v="France"/>
    <s v="Female"/>
    <n v="90"/>
    <x v="6"/>
    <n v="56926.6"/>
    <n v="3"/>
    <n v="0"/>
    <n v="0"/>
    <n v="52021.75"/>
    <x v="0"/>
    <n v="-0.9929107091960262"/>
    <n v="-0.73794228230025916"/>
    <s v="Senior Citizens"/>
    <x v="2"/>
  </r>
  <r>
    <n v="448"/>
    <s v="Davis"/>
    <n v="605"/>
    <s v="France"/>
    <s v="Female"/>
    <n v="90"/>
    <x v="6"/>
    <n v="125191.91"/>
    <n v="2"/>
    <n v="0"/>
    <n v="1"/>
    <n v="74035.929999999993"/>
    <x v="0"/>
    <n v="-4.4419132212031899E-2"/>
    <n v="-0.19999626666493289"/>
    <s v="Senior Citizens"/>
    <x v="2"/>
  </r>
  <r>
    <n v="311"/>
    <s v="Davis"/>
    <n v="470"/>
    <s v="France"/>
    <s v="Male"/>
    <n v="89"/>
    <x v="6"/>
    <n v="113690.36"/>
    <n v="4"/>
    <n v="0"/>
    <n v="1"/>
    <n v="87583.039999999994"/>
    <x v="0"/>
    <n v="-0.20422391881975785"/>
    <n v="0.13104553674875263"/>
    <s v="Senior Citizens"/>
    <x v="2"/>
  </r>
  <r>
    <n v="148"/>
    <s v="Brown"/>
    <n v="362"/>
    <s v="France"/>
    <s v="Male"/>
    <n v="86"/>
    <x v="6"/>
    <n v="77731.5"/>
    <n v="4"/>
    <n v="0"/>
    <n v="1"/>
    <n v="128074.02"/>
    <x v="0"/>
    <n v="-0.70384335697870959"/>
    <n v="1.1204969430772962"/>
    <s v="Senior Citizens"/>
    <x v="2"/>
  </r>
  <r>
    <n v="358"/>
    <s v="Smith"/>
    <n v="433"/>
    <s v="Spain"/>
    <s v="Female"/>
    <n v="85"/>
    <x v="6"/>
    <n v="92093.09"/>
    <n v="4"/>
    <n v="0"/>
    <n v="1"/>
    <n v="117465.12"/>
    <x v="0"/>
    <n v="-0.50430061488763056"/>
    <n v="0.86125424199673717"/>
    <s v="Senior Citizens"/>
    <x v="2"/>
  </r>
  <r>
    <n v="322"/>
    <s v="Williams"/>
    <n v="398"/>
    <s v="France"/>
    <s v="Male"/>
    <n v="84"/>
    <x v="6"/>
    <n v="151818.88"/>
    <n v="3"/>
    <n v="1"/>
    <n v="0"/>
    <n v="76167.42"/>
    <x v="1"/>
    <n v="0.32554119999191622"/>
    <n v="-0.14791044957492341"/>
    <s v="Senior Citizens"/>
    <x v="2"/>
  </r>
  <r>
    <n v="119"/>
    <s v="Johnson"/>
    <n v="536"/>
    <s v="Spain"/>
    <s v="Female"/>
    <n v="83"/>
    <x v="6"/>
    <n v="241431.37"/>
    <n v="4"/>
    <n v="1"/>
    <n v="1"/>
    <n v="111107.96"/>
    <x v="1"/>
    <n v="1.5706346736399872"/>
    <n v="0.7059085106201306"/>
    <s v="Senior Citizens"/>
    <x v="2"/>
  </r>
  <r>
    <n v="321"/>
    <s v="Taylor"/>
    <n v="450"/>
    <s v="Germany"/>
    <s v="Male"/>
    <n v="83"/>
    <x v="6"/>
    <n v="188229.59"/>
    <n v="2"/>
    <n v="0"/>
    <n v="0"/>
    <n v="129283.37"/>
    <x v="0"/>
    <n v="0.83143873048004957"/>
    <n v="1.1500490324128325"/>
    <s v="Senior Citizens"/>
    <x v="2"/>
  </r>
  <r>
    <n v="157"/>
    <s v="Moore"/>
    <n v="759"/>
    <s v="France"/>
    <s v="Male"/>
    <n v="80"/>
    <x v="6"/>
    <n v="80712.23"/>
    <n v="4"/>
    <n v="1"/>
    <n v="0"/>
    <n v="49445.48"/>
    <x v="0"/>
    <n v="-0.66242851101575273"/>
    <n v="-0.80089689526793828"/>
    <s v="Senior Citizens"/>
    <x v="2"/>
  </r>
  <r>
    <n v="59"/>
    <s v="Brown"/>
    <n v="740"/>
    <s v="Spain"/>
    <s v="Male"/>
    <n v="76"/>
    <x v="6"/>
    <n v="46184.63"/>
    <n v="4"/>
    <n v="0"/>
    <n v="1"/>
    <n v="140603.54"/>
    <x v="1"/>
    <n v="-1.1421617426303541"/>
    <n v="1.4266725699606566"/>
    <s v="Senior Citizens"/>
    <x v="2"/>
  </r>
  <r>
    <n v="304"/>
    <s v="Williams"/>
    <n v="649"/>
    <s v="France"/>
    <s v="Male"/>
    <n v="74"/>
    <x v="6"/>
    <n v="39932.25"/>
    <n v="3"/>
    <n v="1"/>
    <n v="0"/>
    <n v="20310.53"/>
    <x v="1"/>
    <n v="-1.2290335339706875"/>
    <n v="-1.5128484768501029"/>
    <s v="Senior Citizens"/>
    <x v="2"/>
  </r>
  <r>
    <n v="166"/>
    <s v="Moore"/>
    <n v="724"/>
    <s v="Germany"/>
    <s v="Female"/>
    <n v="72"/>
    <x v="6"/>
    <n v="191624.47"/>
    <n v="3"/>
    <n v="0"/>
    <n v="0"/>
    <n v="80375.98"/>
    <x v="1"/>
    <n v="0.87860785759412008"/>
    <n v="-4.5068641087747954E-2"/>
    <s v="Senior Citizens"/>
    <x v="2"/>
  </r>
  <r>
    <n v="34"/>
    <s v="Johnson"/>
    <n v="475"/>
    <s v="Spain"/>
    <s v="Male"/>
    <n v="72"/>
    <x v="6"/>
    <n v="72899.17"/>
    <n v="1"/>
    <n v="0"/>
    <n v="0"/>
    <n v="90761.77"/>
    <x v="1"/>
    <n v="-0.77098469570854267"/>
    <n v="0.2087220678882494"/>
    <s v="Senior Citizens"/>
    <x v="2"/>
  </r>
  <r>
    <n v="204"/>
    <s v="Jones"/>
    <n v="615"/>
    <s v="France"/>
    <s v="Female"/>
    <n v="72"/>
    <x v="6"/>
    <n v="199237.9"/>
    <n v="2"/>
    <n v="0"/>
    <n v="0"/>
    <n v="149768.04999999999"/>
    <x v="0"/>
    <n v="0.98439034399837499"/>
    <n v="1.6506196640495618"/>
    <s v="Senior Citizens"/>
    <x v="2"/>
  </r>
  <r>
    <n v="111"/>
    <s v="Williams"/>
    <n v="663"/>
    <s v="France"/>
    <s v="Female"/>
    <n v="70"/>
    <x v="6"/>
    <n v="108982.82"/>
    <n v="4"/>
    <n v="0"/>
    <n v="0"/>
    <n v="110349.05"/>
    <x v="0"/>
    <n v="-0.26963140086759774"/>
    <n v="0.68736352685394864"/>
    <s v="Old person"/>
    <x v="2"/>
  </r>
  <r>
    <n v="3"/>
    <s v="Jones"/>
    <n v="519"/>
    <s v="Germany"/>
    <s v="Male"/>
    <n v="69"/>
    <x v="6"/>
    <n v="146780.5"/>
    <n v="3"/>
    <n v="0"/>
    <n v="0"/>
    <n v="94395.02"/>
    <x v="1"/>
    <n v="0.25553696223712363"/>
    <n v="0.2975054048695519"/>
    <s v="Old person"/>
    <x v="2"/>
  </r>
  <r>
    <n v="376"/>
    <s v="Davis"/>
    <n v="434"/>
    <s v="France"/>
    <s v="Male"/>
    <n v="65"/>
    <x v="6"/>
    <n v="90083.5"/>
    <n v="1"/>
    <n v="0"/>
    <n v="1"/>
    <n v="97501.27"/>
    <x v="1"/>
    <n v="-0.5322222516338968"/>
    <n v="0.3734107899925605"/>
    <s v="Old person"/>
    <x v="2"/>
  </r>
  <r>
    <n v="228"/>
    <s v="Brown"/>
    <n v="656"/>
    <s v="Germany"/>
    <s v="Male"/>
    <n v="65"/>
    <x v="6"/>
    <n v="244926.41"/>
    <n v="3"/>
    <n v="0"/>
    <n v="1"/>
    <n v="129494.46"/>
    <x v="0"/>
    <n v="1.6191954433958433"/>
    <n v="1.1552072996951237"/>
    <s v="Old person"/>
    <x v="2"/>
  </r>
  <r>
    <n v="168"/>
    <s v="Brown"/>
    <n v="496"/>
    <s v="Germany"/>
    <s v="Female"/>
    <n v="63"/>
    <x v="6"/>
    <n v="145172.32"/>
    <n v="3"/>
    <n v="0"/>
    <n v="0"/>
    <n v="139690.22"/>
    <x v="0"/>
    <n v="0.23319259458869265"/>
    <n v="1.4043543707363357"/>
    <s v="Old person"/>
    <x v="2"/>
  </r>
  <r>
    <n v="212"/>
    <s v="Taylor"/>
    <n v="450"/>
    <s v="France"/>
    <s v="Male"/>
    <n v="62"/>
    <x v="6"/>
    <n v="167423.71"/>
    <n v="4"/>
    <n v="0"/>
    <n v="1"/>
    <n v="61220.89"/>
    <x v="0"/>
    <n v="0.54235776195094243"/>
    <n v="-0.51314895771258173"/>
    <s v="Old person"/>
    <x v="2"/>
  </r>
  <r>
    <n v="211"/>
    <s v="Taylor"/>
    <n v="723"/>
    <s v="Germany"/>
    <s v="Female"/>
    <n v="62"/>
    <x v="6"/>
    <n v="73255.710000000006"/>
    <n v="1"/>
    <n v="1"/>
    <n v="0"/>
    <n v="146668.19"/>
    <x v="1"/>
    <n v="-0.76603085917197855"/>
    <n v="1.5748704271473781"/>
    <s v="Old person"/>
    <x v="2"/>
  </r>
  <r>
    <n v="57"/>
    <s v="Brown"/>
    <n v="634"/>
    <s v="Germany"/>
    <s v="Female"/>
    <n v="57"/>
    <x v="6"/>
    <n v="147135.54"/>
    <n v="4"/>
    <n v="1"/>
    <n v="0"/>
    <n v="16131.69"/>
    <x v="0"/>
    <n v="0.26046995748013074"/>
    <n v="-1.6149640372742262"/>
    <s v="Old person"/>
    <x v="2"/>
  </r>
  <r>
    <n v="118"/>
    <s v="Brown"/>
    <n v="547"/>
    <s v="France"/>
    <s v="Male"/>
    <n v="54"/>
    <x v="6"/>
    <n v="103006.1"/>
    <n v="2"/>
    <n v="1"/>
    <n v="1"/>
    <n v="76101.240000000005"/>
    <x v="0"/>
    <n v="-0.35267311821996572"/>
    <n v="-0.14952764664130255"/>
    <s v="Old person"/>
    <x v="2"/>
  </r>
  <r>
    <n v="291"/>
    <s v="Moore"/>
    <n v="528"/>
    <s v="France"/>
    <s v="Female"/>
    <n v="53"/>
    <x v="6"/>
    <n v="130816.43"/>
    <n v="3"/>
    <n v="0"/>
    <n v="0"/>
    <n v="57363.12"/>
    <x v="1"/>
    <n v="3.3729049413130353E-2"/>
    <n v="-0.60741874203966051"/>
    <s v="Old person"/>
    <x v="2"/>
  </r>
  <r>
    <n v="470"/>
    <s v="Williams"/>
    <n v="379"/>
    <s v="Spain"/>
    <s v="Female"/>
    <n v="52"/>
    <x v="6"/>
    <n v="159259.26"/>
    <n v="2"/>
    <n v="1"/>
    <n v="1"/>
    <n v="50254.16"/>
    <x v="1"/>
    <n v="0.42891929582946792"/>
    <n v="-0.78113571479589816"/>
    <s v="Old person"/>
    <x v="2"/>
  </r>
  <r>
    <n v="65"/>
    <s v="Taylor"/>
    <n v="729"/>
    <s v="Spain"/>
    <s v="Male"/>
    <n v="49"/>
    <x v="6"/>
    <n v="139224.43"/>
    <n v="4"/>
    <n v="1"/>
    <n v="1"/>
    <n v="68374.880000000005"/>
    <x v="0"/>
    <n v="0.15055144689849184"/>
    <n v="-0.33833161650818661"/>
    <s v="Adults"/>
    <x v="2"/>
  </r>
  <r>
    <n v="48"/>
    <s v="Wilson"/>
    <n v="538"/>
    <s v="Germany"/>
    <s v="Female"/>
    <n v="48"/>
    <x v="6"/>
    <n v="217182.14"/>
    <n v="2"/>
    <n v="0"/>
    <n v="1"/>
    <n v="110877.22"/>
    <x v="0"/>
    <n v="1.2337111263310017"/>
    <n v="0.70027006923154844"/>
    <s v="Adults"/>
    <x v="2"/>
  </r>
  <r>
    <n v="281"/>
    <s v="Brown"/>
    <n v="356"/>
    <s v="France"/>
    <s v="Female"/>
    <n v="47"/>
    <x v="6"/>
    <n v="97557.6"/>
    <n v="3"/>
    <n v="0"/>
    <n v="1"/>
    <n v="21082.35"/>
    <x v="0"/>
    <n v="-0.42837564351718171"/>
    <n v="-1.4939880199179048"/>
    <s v="Adults"/>
    <x v="2"/>
  </r>
  <r>
    <n v="188"/>
    <s v="Miller"/>
    <n v="424"/>
    <s v="Germany"/>
    <s v="Male"/>
    <n v="47"/>
    <x v="6"/>
    <n v="163549.64000000001"/>
    <n v="1"/>
    <n v="1"/>
    <n v="0"/>
    <n v="33745.43"/>
    <x v="0"/>
    <n v="0.48853067519712323"/>
    <n v="-1.1845486752922412"/>
    <s v="Adults"/>
    <x v="2"/>
  </r>
  <r>
    <n v="296"/>
    <s v="Brown"/>
    <n v="359"/>
    <s v="Spain"/>
    <s v="Female"/>
    <n v="47"/>
    <x v="6"/>
    <n v="71875.839999999997"/>
    <n v="1"/>
    <n v="0"/>
    <n v="1"/>
    <n v="112038.87"/>
    <x v="1"/>
    <n v="-0.78520304299906307"/>
    <n v="0.72865654508769084"/>
    <s v="Adults"/>
    <x v="2"/>
  </r>
  <r>
    <n v="189"/>
    <s v="Jones"/>
    <n v="434"/>
    <s v="Spain"/>
    <s v="Male"/>
    <n v="46"/>
    <x v="6"/>
    <n v="229121.35"/>
    <n v="2"/>
    <n v="1"/>
    <n v="0"/>
    <n v="14185.62"/>
    <x v="1"/>
    <n v="1.3995968466308593"/>
    <n v="-1.6625188679627843"/>
    <s v="Adults"/>
    <x v="2"/>
  </r>
  <r>
    <n v="423"/>
    <s v="Williams"/>
    <n v="715"/>
    <s v="France"/>
    <s v="Female"/>
    <n v="46"/>
    <x v="6"/>
    <n v="121208.33"/>
    <n v="1"/>
    <n v="1"/>
    <n v="0"/>
    <n v="32556.34"/>
    <x v="0"/>
    <n v="-9.9767772337476301E-2"/>
    <n v="-1.2136056843533014"/>
    <s v="Adults"/>
    <x v="2"/>
  </r>
  <r>
    <n v="91"/>
    <s v="Davis"/>
    <n v="733"/>
    <s v="France"/>
    <s v="Female"/>
    <n v="46"/>
    <x v="6"/>
    <n v="15556.14"/>
    <n v="2"/>
    <n v="1"/>
    <n v="1"/>
    <n v="101797.2"/>
    <x v="1"/>
    <n v="-1.5677199768306893"/>
    <n v="0.47838760161798843"/>
    <s v="Adults"/>
    <x v="2"/>
  </r>
  <r>
    <n v="26"/>
    <s v="Jones"/>
    <n v="511"/>
    <s v="Spain"/>
    <s v="Female"/>
    <n v="39"/>
    <x v="6"/>
    <n v="88252.4"/>
    <n v="2"/>
    <n v="1"/>
    <n v="1"/>
    <n v="57083.95"/>
    <x v="1"/>
    <n v="-0.55766391338882626"/>
    <n v="-0.61424063543677632"/>
    <s v="Adults"/>
    <x v="2"/>
  </r>
  <r>
    <n v="176"/>
    <s v="Williams"/>
    <n v="843"/>
    <s v="France"/>
    <s v="Male"/>
    <n v="34"/>
    <x v="6"/>
    <n v="104696.85"/>
    <n v="2"/>
    <n v="0"/>
    <n v="0"/>
    <n v="106102.67"/>
    <x v="0"/>
    <n v="-0.32918150683219516"/>
    <n v="0.58359753593929542"/>
    <s v="Adults"/>
    <x v="2"/>
  </r>
  <r>
    <n v="257"/>
    <s v="Davis"/>
    <n v="753"/>
    <s v="France"/>
    <s v="Male"/>
    <n v="33"/>
    <x v="6"/>
    <n v="147696.65"/>
    <n v="2"/>
    <n v="1"/>
    <n v="0"/>
    <n v="46897.41"/>
    <x v="0"/>
    <n v="0.26826612963201102"/>
    <n v="-0.86316240341132155"/>
    <s v="Adults"/>
    <x v="2"/>
  </r>
  <r>
    <n v="117"/>
    <s v="Jones"/>
    <n v="688"/>
    <s v="Germany"/>
    <s v="Male"/>
    <n v="33"/>
    <x v="6"/>
    <n v="93844.5"/>
    <n v="4"/>
    <n v="1"/>
    <n v="0"/>
    <n v="49103.38"/>
    <x v="0"/>
    <n v="-0.47996618158841109"/>
    <n v="-0.80925656762225029"/>
    <s v="Adults"/>
    <x v="2"/>
  </r>
  <r>
    <n v="55"/>
    <s v="Miller"/>
    <n v="498"/>
    <s v="France"/>
    <s v="Male"/>
    <n v="33"/>
    <x v="6"/>
    <n v="146361.20000000001"/>
    <n v="4"/>
    <n v="0"/>
    <n v="1"/>
    <n v="56949.24"/>
    <x v="1"/>
    <n v="0.24971112597813094"/>
    <n v="-0.61753245497155951"/>
    <s v="Adults"/>
    <x v="2"/>
  </r>
  <r>
    <n v="479"/>
    <s v="Wilson"/>
    <n v="517"/>
    <s v="France"/>
    <s v="Female"/>
    <n v="28"/>
    <x v="6"/>
    <n v="32317.55"/>
    <n v="3"/>
    <n v="1"/>
    <n v="0"/>
    <n v="48172.94"/>
    <x v="0"/>
    <n v="-1.3348336660034874"/>
    <n v="-0.8319931170094057"/>
    <s v="Youngsters"/>
    <x v="2"/>
  </r>
  <r>
    <n v="392"/>
    <s v="Davis"/>
    <n v="556"/>
    <s v="Spain"/>
    <s v="Male"/>
    <n v="27"/>
    <x v="6"/>
    <n v="70279.97"/>
    <n v="4"/>
    <n v="0"/>
    <n v="0"/>
    <n v="35799.879999999997"/>
    <x v="0"/>
    <n v="-0.80737637309836885"/>
    <n v="-1.134345433934989"/>
    <s v="Youngsters"/>
    <x v="2"/>
  </r>
  <r>
    <n v="21"/>
    <s v="Davis"/>
    <n v="571"/>
    <s v="France"/>
    <s v="Male"/>
    <n v="26"/>
    <x v="6"/>
    <n v="239474.66"/>
    <n v="1"/>
    <n v="0"/>
    <n v="1"/>
    <n v="71646.19"/>
    <x v="0"/>
    <n v="1.543447761962587"/>
    <n v="-0.25839276889233176"/>
    <s v="Youngsters"/>
    <x v="2"/>
  </r>
  <r>
    <n v="201"/>
    <s v="Taylor"/>
    <n v="654"/>
    <s v="France"/>
    <s v="Female"/>
    <n v="25"/>
    <x v="6"/>
    <n v="232419.55"/>
    <n v="1"/>
    <n v="1"/>
    <n v="1"/>
    <n v="25837.27"/>
    <x v="0"/>
    <n v="1.4454226829041961"/>
    <n v="-1.3777951720051171"/>
    <s v="Youngsters"/>
    <x v="2"/>
  </r>
  <r>
    <n v="371"/>
    <s v="Davis"/>
    <n v="411"/>
    <s v="Germany"/>
    <s v="Female"/>
    <n v="25"/>
    <x v="6"/>
    <n v="221855.45"/>
    <n v="3"/>
    <n v="0"/>
    <n v="1"/>
    <n v="27505.16"/>
    <x v="1"/>
    <n v="1.2986430100598687"/>
    <n v="-1.3370380427358006"/>
    <s v="Youngsters"/>
    <x v="2"/>
  </r>
  <r>
    <n v="193"/>
    <s v="Smith"/>
    <n v="370"/>
    <s v="France"/>
    <s v="Male"/>
    <n v="24"/>
    <x v="6"/>
    <n v="38342.589999999997"/>
    <n v="2"/>
    <n v="0"/>
    <n v="1"/>
    <n v="18606.009999999998"/>
    <x v="1"/>
    <n v="-1.2511205811146671"/>
    <n v="-1.5545007093007654"/>
    <s v="Youngsters"/>
    <x v="2"/>
  </r>
  <r>
    <n v="315"/>
    <s v="Brown"/>
    <n v="572"/>
    <s v="France"/>
    <s v="Male"/>
    <n v="23"/>
    <x v="6"/>
    <n v="169958.77"/>
    <n v="2"/>
    <n v="1"/>
    <n v="0"/>
    <n v="90227.36"/>
    <x v="0"/>
    <n v="0.5775803817141727"/>
    <n v="0.19566304274101809"/>
    <s v="Youngsters"/>
    <x v="2"/>
  </r>
  <r>
    <n v="88"/>
    <s v="Davis"/>
    <n v="844"/>
    <s v="Germany"/>
    <s v="Female"/>
    <n v="21"/>
    <x v="6"/>
    <n v="92743.31"/>
    <n v="4"/>
    <n v="0"/>
    <n v="0"/>
    <n v="54061.89"/>
    <x v="1"/>
    <n v="-0.49526633095650163"/>
    <n v="-0.68808872498682505"/>
    <s v="Youngsters"/>
    <x v="2"/>
  </r>
  <r>
    <n v="113"/>
    <s v="Williams"/>
    <n v="695"/>
    <s v="Spain"/>
    <s v="Male"/>
    <n v="90"/>
    <x v="7"/>
    <n v="168519.32"/>
    <n v="2"/>
    <n v="1"/>
    <n v="0"/>
    <n v="108422.12"/>
    <x v="1"/>
    <n v="0.55758038170700075"/>
    <n v="0.64027640773762529"/>
    <s v="Senior Citizens"/>
    <x v="2"/>
  </r>
  <r>
    <n v="161"/>
    <s v="Taylor"/>
    <n v="402"/>
    <s v="Spain"/>
    <s v="Male"/>
    <n v="89"/>
    <x v="7"/>
    <n v="205105.61"/>
    <n v="3"/>
    <n v="1"/>
    <n v="0"/>
    <n v="75716.98"/>
    <x v="0"/>
    <n v="1.0659174550769703"/>
    <n v="-0.15891755514427816"/>
    <s v="Senior Citizens"/>
    <x v="2"/>
  </r>
  <r>
    <n v="395"/>
    <s v="Johnson"/>
    <n v="750"/>
    <s v="France"/>
    <s v="Female"/>
    <n v="89"/>
    <x v="7"/>
    <n v="192173.02"/>
    <n v="4"/>
    <n v="0"/>
    <n v="1"/>
    <n v="99695.37"/>
    <x v="0"/>
    <n v="0.88622951864794908"/>
    <n v="0.42702656641055403"/>
    <s v="Senior Citizens"/>
    <x v="2"/>
  </r>
  <r>
    <n v="496"/>
    <s v="Moore"/>
    <n v="647"/>
    <s v="Germany"/>
    <s v="Male"/>
    <n v="87"/>
    <x v="7"/>
    <n v="154264.92000000001"/>
    <n v="2"/>
    <n v="1"/>
    <n v="0"/>
    <n v="97382.98"/>
    <x v="0"/>
    <n v="0.35952695845351168"/>
    <n v="0.37052021518171097"/>
    <s v="Senior Citizens"/>
    <x v="2"/>
  </r>
  <r>
    <n v="264"/>
    <s v="Miller"/>
    <n v="468"/>
    <s v="France"/>
    <s v="Female"/>
    <n v="85"/>
    <x v="7"/>
    <n v="101290.26"/>
    <n v="1"/>
    <n v="1"/>
    <n v="1"/>
    <n v="37047.949999999997"/>
    <x v="1"/>
    <n v="-0.37651333497796807"/>
    <n v="-1.1038471694648164"/>
    <s v="Senior Citizens"/>
    <x v="2"/>
  </r>
  <r>
    <n v="326"/>
    <s v="Davis"/>
    <n v="739"/>
    <s v="France"/>
    <s v="Male"/>
    <n v="84"/>
    <x v="7"/>
    <n v="191888.81"/>
    <n v="2"/>
    <n v="1"/>
    <n v="0"/>
    <n v="94143.76"/>
    <x v="0"/>
    <n v="0.88228064928670813"/>
    <n v="0.29136552975775865"/>
    <s v="Senior Citizens"/>
    <x v="2"/>
  </r>
  <r>
    <n v="351"/>
    <s v="Jones"/>
    <n v="477"/>
    <s v="Germany"/>
    <s v="Male"/>
    <n v="80"/>
    <x v="7"/>
    <n v="69980.850000000006"/>
    <n v="4"/>
    <n v="1"/>
    <n v="0"/>
    <n v="112678.04"/>
    <x v="1"/>
    <n v="-0.8115324049175674"/>
    <n v="0.74427552134815711"/>
    <s v="Senior Citizens"/>
    <x v="2"/>
  </r>
  <r>
    <n v="272"/>
    <s v="Taylor"/>
    <n v="621"/>
    <s v="France"/>
    <s v="Female"/>
    <n v="77"/>
    <x v="7"/>
    <n v="148341.38"/>
    <n v="2"/>
    <n v="0"/>
    <n v="1"/>
    <n v="26002.71"/>
    <x v="0"/>
    <n v="0.27722413442872113"/>
    <n v="-1.373752423702582"/>
    <s v="Senior Citizens"/>
    <x v="2"/>
  </r>
  <r>
    <n v="187"/>
    <s v="Jones"/>
    <n v="353"/>
    <s v="Spain"/>
    <s v="Male"/>
    <n v="77"/>
    <x v="7"/>
    <n v="110096.43"/>
    <n v="4"/>
    <n v="1"/>
    <n v="0"/>
    <n v="141135.62"/>
    <x v="0"/>
    <n v="-0.25415868558885468"/>
    <n v="1.4396746584326887"/>
    <s v="Senior Citizens"/>
    <x v="2"/>
  </r>
  <r>
    <n v="162"/>
    <s v="Miller"/>
    <n v="839"/>
    <s v="Germany"/>
    <s v="Female"/>
    <n v="76"/>
    <x v="7"/>
    <n v="51347.49"/>
    <n v="4"/>
    <n v="0"/>
    <n v="1"/>
    <n v="21151.48"/>
    <x v="1"/>
    <n v="-1.0704279553942366"/>
    <n v="-1.4922987356447286"/>
    <s v="Senior Citizens"/>
    <x v="2"/>
  </r>
  <r>
    <n v="389"/>
    <s v="Brown"/>
    <n v="540"/>
    <s v="France"/>
    <s v="Female"/>
    <n v="73"/>
    <x v="7"/>
    <n v="244670.66"/>
    <n v="2"/>
    <n v="1"/>
    <n v="1"/>
    <n v="12942.78"/>
    <x v="1"/>
    <n v="1.615642002844359"/>
    <n v="-1.6928893303680252"/>
    <s v="Senior Citizens"/>
    <x v="2"/>
  </r>
  <r>
    <n v="411"/>
    <s v="Jones"/>
    <n v="464"/>
    <s v="Spain"/>
    <s v="Female"/>
    <n v="68"/>
    <x v="7"/>
    <n v="162045.57"/>
    <n v="1"/>
    <n v="0"/>
    <n v="0"/>
    <n v="87532.67"/>
    <x v="0"/>
    <n v="0.46763283226351138"/>
    <n v="0.12981467823812226"/>
    <s v="Old person"/>
    <x v="2"/>
  </r>
  <r>
    <n v="116"/>
    <s v="Williams"/>
    <n v="556"/>
    <s v="France"/>
    <s v="Male"/>
    <n v="65"/>
    <x v="7"/>
    <n v="94298.58"/>
    <n v="1"/>
    <n v="1"/>
    <n v="0"/>
    <n v="117883.52"/>
    <x v="0"/>
    <n v="-0.47365710520280768"/>
    <n v="0.87147840719125391"/>
    <s v="Old person"/>
    <x v="2"/>
  </r>
  <r>
    <n v="366"/>
    <s v="Wilson"/>
    <n v="565"/>
    <s v="Germany"/>
    <s v="Male"/>
    <n v="63"/>
    <x v="7"/>
    <n v="244367.77"/>
    <n v="4"/>
    <n v="1"/>
    <n v="1"/>
    <n v="130825.14"/>
    <x v="1"/>
    <n v="1.6114335899073533"/>
    <n v="1.187724250319022"/>
    <s v="Old person"/>
    <x v="2"/>
  </r>
  <r>
    <n v="495"/>
    <s v="Smith"/>
    <n v="451"/>
    <s v="Germany"/>
    <s v="Male"/>
    <n v="62"/>
    <x v="7"/>
    <n v="38075.550000000003"/>
    <n v="2"/>
    <n v="0"/>
    <n v="1"/>
    <n v="11580.61"/>
    <x v="1"/>
    <n v="-1.2548308871356577"/>
    <n v="-1.7261757813790541"/>
    <s v="Old person"/>
    <x v="2"/>
  </r>
  <r>
    <n v="447"/>
    <s v="Smith"/>
    <n v="380"/>
    <s v="France"/>
    <s v="Female"/>
    <n v="62"/>
    <x v="7"/>
    <n v="114966.17"/>
    <n v="3"/>
    <n v="0"/>
    <n v="1"/>
    <n v="136504.93"/>
    <x v="0"/>
    <n v="-0.18649756499770756"/>
    <n v="1.3265175371979958"/>
    <s v="Old person"/>
    <x v="2"/>
  </r>
  <r>
    <n v="138"/>
    <s v="Williams"/>
    <n v="591"/>
    <s v="France"/>
    <s v="Male"/>
    <n v="61"/>
    <x v="7"/>
    <n v="32382.85"/>
    <n v="4"/>
    <n v="0"/>
    <n v="1"/>
    <n v="108015.6"/>
    <x v="1"/>
    <n v="-1.3339263750239687"/>
    <n v="0.63034254627759967"/>
    <s v="Old person"/>
    <x v="2"/>
  </r>
  <r>
    <n v="449"/>
    <s v="Taylor"/>
    <n v="369"/>
    <s v="Spain"/>
    <s v="Female"/>
    <n v="56"/>
    <x v="7"/>
    <n v="228816.63"/>
    <n v="3"/>
    <n v="1"/>
    <n v="1"/>
    <n v="52394"/>
    <x v="1"/>
    <n v="1.3953630073157142"/>
    <n v="-0.72884585425614168"/>
    <s v="Old person"/>
    <x v="2"/>
  </r>
  <r>
    <n v="397"/>
    <s v="Brown"/>
    <n v="677"/>
    <s v="France"/>
    <s v="Female"/>
    <n v="56"/>
    <x v="7"/>
    <n v="63179.37"/>
    <n v="2"/>
    <n v="0"/>
    <n v="1"/>
    <n v="121798.16"/>
    <x v="1"/>
    <n v="-0.90603349911936759"/>
    <n v="0.96713788624732933"/>
    <s v="Old person"/>
    <x v="2"/>
  </r>
  <r>
    <n v="23"/>
    <s v="Moore"/>
    <n v="524"/>
    <s v="Spain"/>
    <s v="Male"/>
    <n v="56"/>
    <x v="7"/>
    <n v="34050.82"/>
    <n v="4"/>
    <n v="0"/>
    <n v="1"/>
    <n v="130037.45"/>
    <x v="0"/>
    <n v="-1.3107512734143518"/>
    <n v="1.1684759886505978"/>
    <s v="Old person"/>
    <x v="2"/>
  </r>
  <r>
    <n v="10"/>
    <s v="Brown"/>
    <n v="671"/>
    <s v="France"/>
    <s v="Female"/>
    <n v="56"/>
    <x v="7"/>
    <n v="56345.73"/>
    <n v="2"/>
    <n v="0"/>
    <n v="0"/>
    <n v="143065.1"/>
    <x v="0"/>
    <n v="-1.000981430655032"/>
    <n v="1.4868240902192942"/>
    <s v="Old person"/>
    <x v="2"/>
  </r>
  <r>
    <n v="314"/>
    <s v="Davis"/>
    <n v="363"/>
    <s v="Germany"/>
    <s v="Male"/>
    <n v="55"/>
    <x v="7"/>
    <n v="156344.54"/>
    <n v="2"/>
    <n v="0"/>
    <n v="0"/>
    <n v="90381.04"/>
    <x v="0"/>
    <n v="0.38842160572498019"/>
    <n v="0.19941841967001719"/>
    <s v="Old person"/>
    <x v="2"/>
  </r>
  <r>
    <n v="175"/>
    <s v="Taylor"/>
    <n v="466"/>
    <s v="Germany"/>
    <s v="Female"/>
    <n v="55"/>
    <x v="7"/>
    <n v="109273.56"/>
    <n v="3"/>
    <n v="1"/>
    <n v="0"/>
    <n v="114104.65"/>
    <x v="0"/>
    <n v="-0.26559180240840496"/>
    <n v="0.77913665019172584"/>
    <s v="Old person"/>
    <x v="2"/>
  </r>
  <r>
    <n v="346"/>
    <s v="Moore"/>
    <n v="500"/>
    <s v="France"/>
    <s v="Male"/>
    <n v="54"/>
    <x v="7"/>
    <n v="56107.72"/>
    <n v="3"/>
    <n v="1"/>
    <n v="0"/>
    <n v="15514.32"/>
    <x v="1"/>
    <n v="-1.0042883881747144"/>
    <n v="-1.6300503012946339"/>
    <s v="Old person"/>
    <x v="2"/>
  </r>
  <r>
    <n v="70"/>
    <s v="Williams"/>
    <n v="532"/>
    <s v="Germany"/>
    <s v="Male"/>
    <n v="54"/>
    <x v="7"/>
    <n v="146834.15"/>
    <n v="2"/>
    <n v="1"/>
    <n v="1"/>
    <n v="99812.42"/>
    <x v="0"/>
    <n v="0.25628238583668228"/>
    <n v="0.42988684015820744"/>
    <s v="Old person"/>
    <x v="2"/>
  </r>
  <r>
    <n v="338"/>
    <s v="Taylor"/>
    <n v="412"/>
    <s v="Spain"/>
    <s v="Male"/>
    <n v="50"/>
    <x v="7"/>
    <n v="57433.4"/>
    <n v="3"/>
    <n v="1"/>
    <n v="0"/>
    <n v="125784.2"/>
    <x v="0"/>
    <n v="-0.98586913081286931"/>
    <n v="1.0645421200713026"/>
    <s v="Adults"/>
    <x v="2"/>
  </r>
  <r>
    <n v="408"/>
    <s v="Johnson"/>
    <n v="505"/>
    <s v="France"/>
    <s v="Male"/>
    <n v="49"/>
    <x v="7"/>
    <n v="83107.39"/>
    <n v="3"/>
    <n v="0"/>
    <n v="1"/>
    <n v="41989.11"/>
    <x v="1"/>
    <n v="-0.62914968923161396"/>
    <n v="-0.98310329735072222"/>
    <s v="Adults"/>
    <x v="2"/>
  </r>
  <r>
    <n v="289"/>
    <s v="Smith"/>
    <n v="732"/>
    <s v="France"/>
    <s v="Female"/>
    <n v="48"/>
    <x v="7"/>
    <n v="218144.92"/>
    <n v="4"/>
    <n v="1"/>
    <n v="1"/>
    <n v="130492.75"/>
    <x v="0"/>
    <n v="1.2470881800716007"/>
    <n v="1.1796018548386078"/>
    <s v="Adults"/>
    <x v="2"/>
  </r>
  <r>
    <n v="128"/>
    <s v="Smith"/>
    <n v="774"/>
    <s v="Spain"/>
    <s v="Female"/>
    <n v="44"/>
    <x v="7"/>
    <n v="151801.15"/>
    <n v="1"/>
    <n v="0"/>
    <n v="0"/>
    <n v="36575.879999999997"/>
    <x v="0"/>
    <n v="0.32529485590207124"/>
    <n v="-1.1153828330962108"/>
    <s v="Adults"/>
    <x v="2"/>
  </r>
  <r>
    <n v="427"/>
    <s v="Brown"/>
    <n v="418"/>
    <s v="Germany"/>
    <s v="Female"/>
    <n v="43"/>
    <x v="7"/>
    <n v="205080.33"/>
    <n v="3"/>
    <n v="0"/>
    <n v="1"/>
    <n v="22885.14"/>
    <x v="0"/>
    <n v="1.0655662098095549"/>
    <n v="-1.4499344282089603"/>
    <s v="Adults"/>
    <x v="2"/>
  </r>
  <r>
    <n v="339"/>
    <s v="Miller"/>
    <n v="744"/>
    <s v="Spain"/>
    <s v="Female"/>
    <n v="41"/>
    <x v="7"/>
    <n v="117825.55"/>
    <n v="3"/>
    <n v="0"/>
    <n v="1"/>
    <n v="33868.199999999997"/>
    <x v="0"/>
    <n v="-0.14676877968351948"/>
    <n v="-1.1815486256724257"/>
    <s v="Adults"/>
    <x v="2"/>
  </r>
  <r>
    <n v="466"/>
    <s v="Jones"/>
    <n v="646"/>
    <s v="France"/>
    <s v="Female"/>
    <n v="40"/>
    <x v="7"/>
    <n v="66516.78"/>
    <n v="4"/>
    <n v="1"/>
    <n v="0"/>
    <n v="14893.47"/>
    <x v="0"/>
    <n v="-0.85966287143244802"/>
    <n v="-1.6452216037827208"/>
    <s v="Adults"/>
    <x v="2"/>
  </r>
  <r>
    <n v="18"/>
    <s v="Wilson"/>
    <n v="596"/>
    <s v="Spain"/>
    <s v="Male"/>
    <n v="40"/>
    <x v="7"/>
    <n v="124186.11"/>
    <n v="3"/>
    <n v="1"/>
    <n v="1"/>
    <n v="108305.55"/>
    <x v="1"/>
    <n v="-5.8393914251848374E-2"/>
    <n v="0.63742786343378988"/>
    <s v="Adults"/>
    <x v="2"/>
  </r>
  <r>
    <n v="394"/>
    <s v="Jones"/>
    <n v="738"/>
    <s v="Germany"/>
    <s v="Female"/>
    <n v="37"/>
    <x v="7"/>
    <n v="206465.41"/>
    <n v="2"/>
    <n v="1"/>
    <n v="1"/>
    <n v="81839.69"/>
    <x v="1"/>
    <n v="1.0848107823962609"/>
    <n v="-9.3009239824282403E-3"/>
    <s v="Adults"/>
    <x v="2"/>
  </r>
  <r>
    <n v="370"/>
    <s v="Johnson"/>
    <n v="481"/>
    <s v="Germany"/>
    <s v="Female"/>
    <n v="35"/>
    <x v="7"/>
    <n v="121359.53"/>
    <n v="3"/>
    <n v="0"/>
    <n v="0"/>
    <n v="50215.32"/>
    <x v="0"/>
    <n v="-9.7666969946921312E-2"/>
    <n v="-0.78208482229148857"/>
    <s v="Adults"/>
    <x v="2"/>
  </r>
  <r>
    <n v="206"/>
    <s v="Davis"/>
    <n v="722"/>
    <s v="France"/>
    <s v="Male"/>
    <n v="35"/>
    <x v="7"/>
    <n v="212738.23"/>
    <n v="4"/>
    <n v="1"/>
    <n v="1"/>
    <n v="95777.53"/>
    <x v="0"/>
    <n v="1.1719665710967992"/>
    <n v="0.33128889106236004"/>
    <s v="Adults"/>
    <x v="2"/>
  </r>
  <r>
    <n v="347"/>
    <s v="Miller"/>
    <n v="753"/>
    <s v="Germany"/>
    <s v="Female"/>
    <n v="30"/>
    <x v="7"/>
    <n v="151272.32999999999"/>
    <n v="2"/>
    <n v="0"/>
    <n v="0"/>
    <n v="12942.16"/>
    <x v="1"/>
    <n v="0.31794732732949638"/>
    <n v="-1.6929044808996232"/>
    <s v="Youngsters"/>
    <x v="2"/>
  </r>
  <r>
    <n v="60"/>
    <s v="Taylor"/>
    <n v="672"/>
    <s v="Germany"/>
    <s v="Male"/>
    <n v="30"/>
    <x v="7"/>
    <n v="119338.08"/>
    <n v="2"/>
    <n v="0"/>
    <n v="1"/>
    <n v="111048.16"/>
    <x v="0"/>
    <n v="-0.12575339185424572"/>
    <n v="0.70444721741116278"/>
    <s v="Youngsters"/>
    <x v="2"/>
  </r>
  <r>
    <n v="17"/>
    <s v="Wilson"/>
    <n v="569"/>
    <s v="Germany"/>
    <s v="Male"/>
    <n v="29"/>
    <x v="7"/>
    <n v="75466.39"/>
    <n v="1"/>
    <n v="0"/>
    <n v="0"/>
    <n v="103226.64"/>
    <x v="0"/>
    <n v="-0.73531523861144832"/>
    <n v="0.51331788530739964"/>
    <s v="Youngsters"/>
    <x v="2"/>
  </r>
  <r>
    <n v="78"/>
    <s v="Brown"/>
    <n v="600"/>
    <s v="Spain"/>
    <s v="Female"/>
    <n v="27"/>
    <x v="7"/>
    <n v="127193.14"/>
    <n v="2"/>
    <n v="0"/>
    <n v="0"/>
    <n v="11971.58"/>
    <x v="1"/>
    <n v="-1.6613650941857124E-2"/>
    <n v="-1.7166219050260423"/>
    <s v="Youngsters"/>
    <x v="2"/>
  </r>
  <r>
    <n v="80"/>
    <s v="Jones"/>
    <n v="604"/>
    <s v="Germany"/>
    <s v="Male"/>
    <n v="27"/>
    <x v="7"/>
    <n v="162041.47"/>
    <n v="3"/>
    <n v="1"/>
    <n v="0"/>
    <n v="109301.93"/>
    <x v="0"/>
    <n v="0.46757586606112189"/>
    <n v="0.66177574516541571"/>
    <s v="Youngsters"/>
    <x v="2"/>
  </r>
  <r>
    <n v="1"/>
    <s v="Davis"/>
    <n v="764"/>
    <s v="Germany"/>
    <s v="Male"/>
    <n v="20"/>
    <x v="7"/>
    <n v="119274.87"/>
    <n v="3"/>
    <n v="1"/>
    <n v="0"/>
    <n v="107886.77"/>
    <x v="1"/>
    <n v="-0.12663164396474175"/>
    <n v="0.6271944124295844"/>
    <s v="Youngsters"/>
    <x v="2"/>
  </r>
  <r>
    <n v="441"/>
    <s v="Davis"/>
    <n v="507"/>
    <s v="Germany"/>
    <s v="Female"/>
    <n v="18"/>
    <x v="7"/>
    <n v="6988.85"/>
    <n v="2"/>
    <n v="1"/>
    <n v="1"/>
    <n v="20477.41"/>
    <x v="0"/>
    <n v="-1.6867555807498569"/>
    <n v="-1.508770540216114"/>
    <s v="Youngsters"/>
    <x v="2"/>
  </r>
  <r>
    <n v="341"/>
    <s v="Wilson"/>
    <n v="443"/>
    <s v="Germany"/>
    <s v="Male"/>
    <n v="91"/>
    <x v="8"/>
    <n v="245454.02"/>
    <n v="4"/>
    <n v="0"/>
    <n v="0"/>
    <n v="49422.5"/>
    <x v="0"/>
    <n v="1.6265261599916152"/>
    <n v="-0.80145844239071551"/>
    <s v="Senior Citizens"/>
    <x v="3"/>
  </r>
  <r>
    <n v="35"/>
    <s v="Jones"/>
    <n v="488"/>
    <s v="France"/>
    <s v="Female"/>
    <n v="91"/>
    <x v="8"/>
    <n v="200786.02"/>
    <n v="1"/>
    <n v="0"/>
    <n v="0"/>
    <n v="128936.13"/>
    <x v="0"/>
    <n v="1.0059002262527799"/>
    <n v="1.1415637572643054"/>
    <s v="Senior Citizens"/>
    <x v="3"/>
  </r>
  <r>
    <n v="181"/>
    <s v="Johnson"/>
    <n v="399"/>
    <s v="Germany"/>
    <s v="Male"/>
    <n v="91"/>
    <x v="8"/>
    <n v="230097.2"/>
    <n v="4"/>
    <n v="0"/>
    <n v="0"/>
    <n v="144755.60999999999"/>
    <x v="1"/>
    <n v="1.413155497509319"/>
    <n v="1.5281339695285243"/>
    <s v="Senior Citizens"/>
    <x v="3"/>
  </r>
  <r>
    <n v="377"/>
    <s v="Wilson"/>
    <n v="466"/>
    <s v="Spain"/>
    <s v="Female"/>
    <n v="90"/>
    <x v="8"/>
    <n v="3890.93"/>
    <n v="2"/>
    <n v="0"/>
    <n v="1"/>
    <n v="112863.73"/>
    <x v="0"/>
    <n v="-1.7297986875074511"/>
    <n v="0.74881310556175606"/>
    <s v="Senior Citizens"/>
    <x v="3"/>
  </r>
  <r>
    <n v="282"/>
    <s v="Moore"/>
    <n v="731"/>
    <s v="France"/>
    <s v="Female"/>
    <n v="90"/>
    <x v="8"/>
    <n v="183281.65"/>
    <n v="1"/>
    <n v="1"/>
    <n v="1"/>
    <n v="141248.29"/>
    <x v="0"/>
    <n v="0.76269108378479278"/>
    <n v="1.442427901005505"/>
    <s v="Senior Citizens"/>
    <x v="3"/>
  </r>
  <r>
    <n v="182"/>
    <s v="Miller"/>
    <n v="421"/>
    <s v="France"/>
    <s v="Female"/>
    <n v="86"/>
    <x v="8"/>
    <n v="58586.77"/>
    <n v="4"/>
    <n v="0"/>
    <n v="0"/>
    <n v="27139.72"/>
    <x v="0"/>
    <n v="-0.96984398231290603"/>
    <n v="-1.345968059295753"/>
    <s v="Senior Citizens"/>
    <x v="3"/>
  </r>
  <r>
    <n v="398"/>
    <s v="Brown"/>
    <n v="668"/>
    <s v="Germany"/>
    <s v="Female"/>
    <n v="85"/>
    <x v="8"/>
    <n v="137118.25"/>
    <n v="1"/>
    <n v="1"/>
    <n v="1"/>
    <n v="69952.509999999995"/>
    <x v="0"/>
    <n v="0.1212877697891058"/>
    <n v="-0.29978011140344252"/>
    <s v="Senior Citizens"/>
    <x v="3"/>
  </r>
  <r>
    <n v="229"/>
    <s v="Smith"/>
    <n v="694"/>
    <s v="Spain"/>
    <s v="Male"/>
    <n v="84"/>
    <x v="8"/>
    <n v="175604.34"/>
    <n v="4"/>
    <n v="0"/>
    <n v="1"/>
    <n v="45375.97"/>
    <x v="0"/>
    <n v="0.65602103615891971"/>
    <n v="-0.9003408304991446"/>
    <s v="Senior Citizens"/>
    <x v="3"/>
  </r>
  <r>
    <n v="137"/>
    <s v="Moore"/>
    <n v="812"/>
    <s v="Spain"/>
    <s v="Male"/>
    <n v="81"/>
    <x v="8"/>
    <n v="153059.5"/>
    <n v="4"/>
    <n v="0"/>
    <n v="1"/>
    <n v="114484.04"/>
    <x v="0"/>
    <n v="0.3427786170671171"/>
    <n v="0.78840755371263305"/>
    <s v="Senior Citizens"/>
    <x v="3"/>
  </r>
  <r>
    <n v="297"/>
    <s v="Wilson"/>
    <n v="465"/>
    <s v="France"/>
    <s v="Male"/>
    <n v="81"/>
    <x v="8"/>
    <n v="124862.63"/>
    <n v="4"/>
    <n v="1"/>
    <n v="1"/>
    <n v="141751.96"/>
    <x v="1"/>
    <n v="-4.8994212973685052E-2"/>
    <n v="1.4547357530215708"/>
    <s v="Senior Citizens"/>
    <x v="3"/>
  </r>
  <r>
    <n v="51"/>
    <s v="Smith"/>
    <n v="521"/>
    <s v="Spain"/>
    <s v="Male"/>
    <n v="79"/>
    <x v="8"/>
    <n v="133180.14000000001"/>
    <n v="3"/>
    <n v="1"/>
    <n v="1"/>
    <n v="125168.23"/>
    <x v="0"/>
    <n v="6.6570898742355639E-2"/>
    <n v="1.0494900669286966"/>
    <s v="Senior Citizens"/>
    <x v="3"/>
  </r>
  <r>
    <n v="388"/>
    <s v="Moore"/>
    <n v="842"/>
    <s v="Spain"/>
    <s v="Female"/>
    <n v="79"/>
    <x v="8"/>
    <n v="99607.93"/>
    <n v="1"/>
    <n v="1"/>
    <n v="1"/>
    <n v="134066.89000000001"/>
    <x v="1"/>
    <n v="-0.39988795723790488"/>
    <n v="1.2669407596864311"/>
    <s v="Senior Citizens"/>
    <x v="3"/>
  </r>
  <r>
    <n v="369"/>
    <s v="Brown"/>
    <n v="602"/>
    <s v="France"/>
    <s v="Female"/>
    <n v="76"/>
    <x v="8"/>
    <n v="181947.19"/>
    <n v="3"/>
    <n v="0"/>
    <n v="1"/>
    <n v="81521.02"/>
    <x v="1"/>
    <n v="0.74414983538466017"/>
    <n v="-1.7088052860383656E-2"/>
    <s v="Senior Citizens"/>
    <x v="3"/>
  </r>
  <r>
    <n v="352"/>
    <s v="Miller"/>
    <n v="834"/>
    <s v="France"/>
    <s v="Male"/>
    <n v="76"/>
    <x v="8"/>
    <n v="77216.62"/>
    <n v="4"/>
    <n v="0"/>
    <n v="0"/>
    <n v="104636.55"/>
    <x v="0"/>
    <n v="-0.71099720046316051"/>
    <n v="0.54777092725147414"/>
    <s v="Senior Citizens"/>
    <x v="3"/>
  </r>
  <r>
    <n v="147"/>
    <s v="Moore"/>
    <n v="507"/>
    <s v="Germany"/>
    <s v="Male"/>
    <n v="75"/>
    <x v="8"/>
    <n v="238465.26"/>
    <n v="4"/>
    <n v="0"/>
    <n v="1"/>
    <n v="55585.67"/>
    <x v="1"/>
    <n v="1.5294229608182337"/>
    <n v="-0.65085311686039038"/>
    <s v="Senior Citizens"/>
    <x v="3"/>
  </r>
  <r>
    <n v="255"/>
    <s v="Davis"/>
    <n v="791"/>
    <s v="France"/>
    <s v="Male"/>
    <n v="75"/>
    <x v="8"/>
    <n v="101615.64"/>
    <n v="2"/>
    <n v="1"/>
    <n v="0"/>
    <n v="108820.32"/>
    <x v="0"/>
    <n v="-0.37199244157956329"/>
    <n v="0.65000695883814286"/>
    <s v="Senior Citizens"/>
    <x v="3"/>
  </r>
  <r>
    <n v="332"/>
    <s v="Davis"/>
    <n v="463"/>
    <s v="France"/>
    <s v="Female"/>
    <n v="70"/>
    <x v="8"/>
    <n v="100036.16"/>
    <n v="1"/>
    <n v="0"/>
    <n v="0"/>
    <n v="27387.77"/>
    <x v="0"/>
    <n v="-0.39393804581126862"/>
    <n v="-1.3399066248394915"/>
    <s v="Old person"/>
    <x v="3"/>
  </r>
  <r>
    <n v="234"/>
    <s v="Moore"/>
    <n v="422"/>
    <s v="France"/>
    <s v="Female"/>
    <n v="69"/>
    <x v="8"/>
    <n v="198731.58"/>
    <n v="3"/>
    <n v="1"/>
    <n v="0"/>
    <n v="37615.839999999997"/>
    <x v="0"/>
    <n v="0.97735543482915643"/>
    <n v="-1.0899700156112937"/>
    <s v="Old person"/>
    <x v="3"/>
  </r>
  <r>
    <n v="42"/>
    <s v="Taylor"/>
    <n v="798"/>
    <s v="Germany"/>
    <s v="Male"/>
    <n v="69"/>
    <x v="8"/>
    <n v="34108.089999999997"/>
    <n v="3"/>
    <n v="0"/>
    <n v="0"/>
    <n v="81519.78"/>
    <x v="1"/>
    <n v="-1.309955552826342"/>
    <n v="-1.7118353923579768E-2"/>
    <s v="Old person"/>
    <x v="3"/>
  </r>
  <r>
    <n v="493"/>
    <s v="Jones"/>
    <n v="566"/>
    <s v="France"/>
    <s v="Female"/>
    <n v="67"/>
    <x v="8"/>
    <n v="107431.37"/>
    <n v="2"/>
    <n v="1"/>
    <n v="0"/>
    <n v="136772.28"/>
    <x v="1"/>
    <n v="-0.29118755079369973"/>
    <n v="1.3330505930410983"/>
    <s v="Old person"/>
    <x v="3"/>
  </r>
  <r>
    <n v="455"/>
    <s v="Smith"/>
    <n v="801"/>
    <s v="Spain"/>
    <s v="Female"/>
    <n v="59"/>
    <x v="8"/>
    <n v="88835.65"/>
    <n v="2"/>
    <n v="1"/>
    <n v="0"/>
    <n v="141964.46"/>
    <x v="1"/>
    <n v="-0.54956012374404306"/>
    <n v="1.4599284755450763"/>
    <s v="Old person"/>
    <x v="3"/>
  </r>
  <r>
    <n v="384"/>
    <s v="Taylor"/>
    <n v="495"/>
    <s v="Germany"/>
    <s v="Male"/>
    <n v="55"/>
    <x v="8"/>
    <n v="174803.79"/>
    <n v="1"/>
    <n v="1"/>
    <n v="1"/>
    <n v="82707.83"/>
    <x v="0"/>
    <n v="0.6448980377874991"/>
    <n v="1.1913241342541937E-2"/>
    <s v="Old person"/>
    <x v="3"/>
  </r>
  <r>
    <n v="328"/>
    <s v="Williams"/>
    <n v="797"/>
    <s v="Spain"/>
    <s v="Female"/>
    <n v="49"/>
    <x v="8"/>
    <n v="230551.53"/>
    <n v="2"/>
    <n v="1"/>
    <n v="1"/>
    <n v="127716.72"/>
    <x v="0"/>
    <n v="1.4194680474438484"/>
    <n v="1.1117658383354205"/>
    <s v="Adults"/>
    <x v="3"/>
  </r>
  <r>
    <n v="160"/>
    <s v="Smith"/>
    <n v="713"/>
    <s v="Germany"/>
    <s v="Female"/>
    <n v="48"/>
    <x v="8"/>
    <n v="16907.88"/>
    <n v="3"/>
    <n v="0"/>
    <n v="0"/>
    <n v="113646.28"/>
    <x v="0"/>
    <n v="-1.5489386367287787"/>
    <n v="0.76793576443596467"/>
    <s v="Adults"/>
    <x v="3"/>
  </r>
  <r>
    <n v="246"/>
    <s v="Wilson"/>
    <n v="561"/>
    <s v="Germany"/>
    <s v="Male"/>
    <n v="47"/>
    <x v="8"/>
    <n v="177892.9"/>
    <n v="1"/>
    <n v="0"/>
    <n v="0"/>
    <n v="78723.149999999994"/>
    <x v="0"/>
    <n v="0.6878187366809343"/>
    <n v="-8.5457759057281119E-2"/>
    <s v="Adults"/>
    <x v="3"/>
  </r>
  <r>
    <n v="82"/>
    <s v="Brown"/>
    <n v="371"/>
    <s v="Germany"/>
    <s v="Female"/>
    <n v="46"/>
    <x v="8"/>
    <n v="55186.57"/>
    <n v="2"/>
    <n v="1"/>
    <n v="0"/>
    <n v="117137.04"/>
    <x v="1"/>
    <n v="-1.0170870265481258"/>
    <n v="0.85323716714727027"/>
    <s v="Adults"/>
    <x v="3"/>
  </r>
  <r>
    <n v="361"/>
    <s v="Wilson"/>
    <n v="485"/>
    <s v="Spain"/>
    <s v="Female"/>
    <n v="44"/>
    <x v="8"/>
    <n v="45468.26"/>
    <n v="2"/>
    <n v="1"/>
    <n v="1"/>
    <n v="132665.07999999999"/>
    <x v="1"/>
    <n v="-1.1521151276073507"/>
    <n v="1.2326856521067815"/>
    <s v="Adults"/>
    <x v="3"/>
  </r>
  <r>
    <n v="141"/>
    <s v="Smith"/>
    <n v="585"/>
    <s v="France"/>
    <s v="Female"/>
    <n v="41"/>
    <x v="8"/>
    <n v="157571.35999999999"/>
    <n v="2"/>
    <n v="0"/>
    <n v="0"/>
    <n v="142792.82999999999"/>
    <x v="0"/>
    <n v="0.40546728289945549"/>
    <n v="1.480170807577059"/>
    <s v="Adults"/>
    <x v="3"/>
  </r>
  <r>
    <n v="146"/>
    <s v="Williams"/>
    <n v="687"/>
    <s v="Germany"/>
    <s v="Female"/>
    <n v="39"/>
    <x v="8"/>
    <n v="52909.38"/>
    <n v="4"/>
    <n v="0"/>
    <n v="1"/>
    <n v="34759.360000000001"/>
    <x v="1"/>
    <n v="-1.0487267500649777"/>
    <n v="-1.1597719357710268"/>
    <s v="Adults"/>
    <x v="3"/>
  </r>
  <r>
    <n v="386"/>
    <s v="Smith"/>
    <n v="791"/>
    <s v="Germany"/>
    <s v="Male"/>
    <n v="38"/>
    <x v="8"/>
    <n v="13669.44"/>
    <n v="2"/>
    <n v="1"/>
    <n v="1"/>
    <n v="64850.98"/>
    <x v="1"/>
    <n v="-1.5939341558668014"/>
    <n v="-0.42444283956974632"/>
    <s v="Adults"/>
    <x v="3"/>
  </r>
  <r>
    <n v="473"/>
    <s v="Taylor"/>
    <n v="588"/>
    <s v="France"/>
    <s v="Male"/>
    <n v="35"/>
    <x v="8"/>
    <n v="199536.6"/>
    <n v="3"/>
    <n v="1"/>
    <n v="1"/>
    <n v="19461.59"/>
    <x v="0"/>
    <n v="0.98854054025537763"/>
    <n v="-1.533593464422361"/>
    <s v="Adults"/>
    <x v="3"/>
  </r>
  <r>
    <n v="126"/>
    <s v="Williams"/>
    <n v="481"/>
    <s v="Spain"/>
    <s v="Male"/>
    <n v="34"/>
    <x v="8"/>
    <n v="43863.71"/>
    <n v="2"/>
    <n v="0"/>
    <n v="0"/>
    <n v="23962.59"/>
    <x v="1"/>
    <n v="-1.1744090593253735"/>
    <n v="-1.4236054922891903"/>
    <s v="Adults"/>
    <x v="3"/>
  </r>
  <r>
    <n v="488"/>
    <s v="Taylor"/>
    <n v="797"/>
    <s v="Spain"/>
    <s v="Female"/>
    <n v="32"/>
    <x v="8"/>
    <n v="236925.82"/>
    <n v="1"/>
    <n v="0"/>
    <n v="1"/>
    <n v="46753.37"/>
    <x v="0"/>
    <n v="1.5080336801825456"/>
    <n v="-0.86668221401031331"/>
    <s v="Adults"/>
    <x v="3"/>
  </r>
  <r>
    <n v="357"/>
    <s v="Williams"/>
    <n v="591"/>
    <s v="Spain"/>
    <s v="Female"/>
    <n v="31"/>
    <x v="8"/>
    <n v="36493.35"/>
    <n v="2"/>
    <n v="1"/>
    <n v="0"/>
    <n v="50480.54"/>
    <x v="0"/>
    <n v="-1.2768142835796801"/>
    <n v="-0.77560381585532778"/>
    <s v="Adults"/>
    <x v="3"/>
  </r>
  <r>
    <n v="327"/>
    <s v="Wilson"/>
    <n v="493"/>
    <s v="Spain"/>
    <s v="Male"/>
    <n v="29"/>
    <x v="8"/>
    <n v="190645.09"/>
    <n v="1"/>
    <n v="1"/>
    <n v="1"/>
    <n v="46765.52"/>
    <x v="0"/>
    <n v="0.86500016020482251"/>
    <n v="-0.86638531246367534"/>
    <s v="Youngsters"/>
    <x v="3"/>
  </r>
  <r>
    <n v="75"/>
    <s v="Brown"/>
    <n v="385"/>
    <s v="Germany"/>
    <s v="Female"/>
    <n v="27"/>
    <x v="8"/>
    <n v="35744.699999999997"/>
    <n v="1"/>
    <n v="0"/>
    <n v="1"/>
    <n v="67445.009999999995"/>
    <x v="1"/>
    <n v="-1.2872161731940255"/>
    <n v="-0.36105423718080881"/>
    <s v="Youngsters"/>
    <x v="3"/>
  </r>
  <r>
    <n v="241"/>
    <s v="Brown"/>
    <n v="634"/>
    <s v="Spain"/>
    <s v="Male"/>
    <n v="26"/>
    <x v="8"/>
    <n v="195884.79999999999"/>
    <n v="3"/>
    <n v="0"/>
    <n v="1"/>
    <n v="58187.74"/>
    <x v="0"/>
    <n v="0.93780171638084808"/>
    <n v="-0.5872680462875044"/>
    <s v="Youngsters"/>
    <x v="3"/>
  </r>
  <r>
    <n v="294"/>
    <s v="Johnson"/>
    <n v="682"/>
    <s v="France"/>
    <s v="Female"/>
    <n v="22"/>
    <x v="8"/>
    <n v="153461.96"/>
    <n v="1"/>
    <n v="0"/>
    <n v="1"/>
    <n v="66758.63"/>
    <x v="1"/>
    <n v="0.34837047507044222"/>
    <n v="-0.37782685311343811"/>
    <s v="Youngsters"/>
    <x v="3"/>
  </r>
  <r>
    <n v="121"/>
    <s v="Taylor"/>
    <n v="367"/>
    <s v="Germany"/>
    <s v="Male"/>
    <n v="18"/>
    <x v="8"/>
    <n v="37178.53"/>
    <n v="1"/>
    <n v="1"/>
    <n v="0"/>
    <n v="82791.570000000007"/>
    <x v="0"/>
    <n v="-1.2672942585667137"/>
    <n v="1.3959540561922584E-2"/>
    <s v="Youngsters"/>
    <x v="3"/>
  </r>
  <r>
    <n v="343"/>
    <s v="Moore"/>
    <n v="763"/>
    <s v="Germany"/>
    <s v="Male"/>
    <n v="88"/>
    <x v="9"/>
    <n v="126389.5"/>
    <n v="1"/>
    <n v="1"/>
    <n v="0"/>
    <n v="145049.72"/>
    <x v="0"/>
    <n v="-2.7779582378005534E-2"/>
    <n v="1.5353209418644693"/>
    <s v="Senior Citizens"/>
    <x v="3"/>
  </r>
  <r>
    <n v="444"/>
    <s v="Brown"/>
    <n v="580"/>
    <s v="Spain"/>
    <s v="Male"/>
    <n v="85"/>
    <x v="9"/>
    <n v="20728.86"/>
    <n v="2"/>
    <n v="0"/>
    <n v="1"/>
    <n v="33648.46"/>
    <x v="0"/>
    <n v="-1.4958491928249233"/>
    <n v="-1.1869182673068499"/>
    <s v="Senior Citizens"/>
    <x v="3"/>
  </r>
  <r>
    <n v="144"/>
    <s v="Jones"/>
    <n v="477"/>
    <s v="France"/>
    <s v="Male"/>
    <n v="83"/>
    <x v="9"/>
    <n v="113849.92"/>
    <n v="1"/>
    <n v="1"/>
    <n v="1"/>
    <n v="122175.46"/>
    <x v="0"/>
    <n v="-0.20200696095311133"/>
    <n v="0.97635771781494662"/>
    <s v="Senior Citizens"/>
    <x v="3"/>
  </r>
  <r>
    <n v="197"/>
    <s v="Davis"/>
    <n v="378"/>
    <s v="Spain"/>
    <s v="Male"/>
    <n v="82"/>
    <x v="9"/>
    <n v="59302.02"/>
    <n v="2"/>
    <n v="0"/>
    <n v="1"/>
    <n v="51011.37"/>
    <x v="1"/>
    <n v="-0.95990615883509867"/>
    <n v="-0.76263227280990431"/>
    <s v="Senior Citizens"/>
    <x v="3"/>
  </r>
  <r>
    <n v="83"/>
    <s v="Moore"/>
    <n v="779"/>
    <s v="Germany"/>
    <s v="Male"/>
    <n v="82"/>
    <x v="9"/>
    <n v="241939.64"/>
    <n v="4"/>
    <n v="1"/>
    <n v="1"/>
    <n v="132532.96"/>
    <x v="0"/>
    <n v="1.57769667649083"/>
    <n v="1.2294571226959319"/>
    <s v="Senior Citizens"/>
    <x v="3"/>
  </r>
  <r>
    <n v="293"/>
    <s v="Wilson"/>
    <n v="608"/>
    <s v="Spain"/>
    <s v="Female"/>
    <n v="81"/>
    <x v="9"/>
    <n v="30279.62"/>
    <n v="1"/>
    <n v="0"/>
    <n v="1"/>
    <n v="74150.789999999994"/>
    <x v="0"/>
    <n v="-1.3631490642560258"/>
    <n v="-0.19718950850469827"/>
    <s v="Senior Citizens"/>
    <x v="3"/>
  </r>
  <r>
    <n v="437"/>
    <s v="Miller"/>
    <n v="730"/>
    <s v="Germany"/>
    <s v="Male"/>
    <n v="79"/>
    <x v="9"/>
    <n v="245266.56"/>
    <n v="4"/>
    <n v="1"/>
    <n v="1"/>
    <n v="68485.740000000005"/>
    <x v="0"/>
    <n v="1.6239215540648069"/>
    <n v="-0.33562260371310032"/>
    <s v="Senior Citizens"/>
    <x v="3"/>
  </r>
  <r>
    <n v="107"/>
    <s v="Taylor"/>
    <n v="520"/>
    <s v="France"/>
    <s v="Male"/>
    <n v="79"/>
    <x v="9"/>
    <n v="165628.62"/>
    <n v="2"/>
    <n v="0"/>
    <n v="0"/>
    <n v="144375.79999999999"/>
    <x v="0"/>
    <n v="0.51741643018334049"/>
    <n v="1.5188528027442765"/>
    <s v="Senior Citizens"/>
    <x v="3"/>
  </r>
  <r>
    <n v="105"/>
    <s v="Wilson"/>
    <n v="397"/>
    <s v="Spain"/>
    <s v="Male"/>
    <n v="75"/>
    <x v="9"/>
    <n v="46.68"/>
    <n v="3"/>
    <n v="1"/>
    <n v="0"/>
    <n v="61080.02"/>
    <x v="0"/>
    <n v="-1.7832114493453557"/>
    <n v="-0.51659130510969353"/>
    <s v="Senior Citizens"/>
    <x v="3"/>
  </r>
  <r>
    <n v="39"/>
    <s v="Smith"/>
    <n v="534"/>
    <s v="Spain"/>
    <s v="Female"/>
    <n v="75"/>
    <x v="9"/>
    <n v="20385.3"/>
    <n v="1"/>
    <n v="0"/>
    <n v="0"/>
    <n v="118972.35"/>
    <x v="0"/>
    <n v="-1.5006226827012401"/>
    <n v="0.89808542867487096"/>
    <s v="Senior Citizens"/>
    <x v="3"/>
  </r>
  <r>
    <n v="387"/>
    <s v="Jones"/>
    <n v="359"/>
    <s v="Spain"/>
    <s v="Female"/>
    <n v="74"/>
    <x v="9"/>
    <n v="70359.16"/>
    <n v="3"/>
    <n v="0"/>
    <n v="1"/>
    <n v="21108.79"/>
    <x v="1"/>
    <n v="-0.80627609174051129"/>
    <n v="-1.4933419230542742"/>
    <s v="Senior Citizens"/>
    <x v="3"/>
  </r>
  <r>
    <n v="226"/>
    <s v="Davis"/>
    <n v="449"/>
    <s v="Spain"/>
    <s v="Male"/>
    <n v="71"/>
    <x v="9"/>
    <n v="190983.34"/>
    <n v="3"/>
    <n v="0"/>
    <n v="1"/>
    <n v="94496.24"/>
    <x v="1"/>
    <n v="0.86969987190194709"/>
    <n v="0.2999788513346307"/>
    <s v="Senior Citizens"/>
    <x v="3"/>
  </r>
  <r>
    <n v="301"/>
    <s v="Smith"/>
    <n v="531"/>
    <s v="Germany"/>
    <s v="Female"/>
    <n v="68"/>
    <x v="9"/>
    <n v="25763.31"/>
    <n v="1"/>
    <n v="1"/>
    <n v="1"/>
    <n v="31564.75"/>
    <x v="1"/>
    <n v="-1.4258995592592505"/>
    <n v="-1.2378365160101623"/>
    <s v="Old person"/>
    <x v="3"/>
  </r>
  <r>
    <n v="89"/>
    <s v="Smith"/>
    <n v="469"/>
    <s v="France"/>
    <s v="Male"/>
    <n v="68"/>
    <x v="9"/>
    <n v="19196.560000000001"/>
    <n v="3"/>
    <n v="1"/>
    <n v="0"/>
    <n v="133731.54999999999"/>
    <x v="0"/>
    <n v="-1.5171392689032797"/>
    <n v="1.2587462769992193"/>
    <s v="Old person"/>
    <x v="3"/>
  </r>
  <r>
    <n v="251"/>
    <s v="Williams"/>
    <n v="545"/>
    <s v="Germany"/>
    <s v="Male"/>
    <n v="67"/>
    <x v="9"/>
    <n v="180722.3"/>
    <n v="2"/>
    <n v="1"/>
    <n v="1"/>
    <n v="47605.64"/>
    <x v="1"/>
    <n v="0.7271309740078945"/>
    <n v="-0.84585585342156921"/>
    <s v="Old person"/>
    <x v="3"/>
  </r>
  <r>
    <n v="74"/>
    <s v="Taylor"/>
    <n v="431"/>
    <s v="Germany"/>
    <s v="Male"/>
    <n v="66"/>
    <x v="9"/>
    <n v="103045.29"/>
    <n v="2"/>
    <n v="1"/>
    <n v="0"/>
    <n v="36831.440000000002"/>
    <x v="1"/>
    <n v="-0.35212860469029755"/>
    <n v="-1.1091378817168831"/>
    <s v="Old person"/>
    <x v="3"/>
  </r>
  <r>
    <n v="317"/>
    <s v="Brown"/>
    <n v="586"/>
    <s v="Germany"/>
    <s v="Female"/>
    <n v="64"/>
    <x v="9"/>
    <n v="31288.48"/>
    <n v="2"/>
    <n v="0"/>
    <n v="0"/>
    <n v="111373.48"/>
    <x v="1"/>
    <n v="-1.349131765977353"/>
    <n v="0.71239684795867719"/>
    <s v="Old person"/>
    <x v="3"/>
  </r>
  <r>
    <n v="277"/>
    <s v="Taylor"/>
    <n v="739"/>
    <s v="France"/>
    <s v="Male"/>
    <n v="63"/>
    <x v="9"/>
    <n v="239749.84"/>
    <n v="1"/>
    <n v="0"/>
    <n v="0"/>
    <n v="35871.660000000003"/>
    <x v="1"/>
    <n v="1.5472711667366141"/>
    <n v="-1.1325913933574019"/>
    <s v="Old person"/>
    <x v="3"/>
  </r>
  <r>
    <n v="44"/>
    <s v="Brown"/>
    <n v="694"/>
    <s v="Germany"/>
    <s v="Male"/>
    <n v="62"/>
    <x v="9"/>
    <n v="689.5"/>
    <n v="3"/>
    <n v="0"/>
    <n v="0"/>
    <n v="19803.7"/>
    <x v="1"/>
    <n v="-1.7742799824624418"/>
    <n v="-1.5252335477046364"/>
    <s v="Old person"/>
    <x v="3"/>
  </r>
  <r>
    <n v="46"/>
    <s v="Jones"/>
    <n v="813"/>
    <s v="France"/>
    <s v="Female"/>
    <n v="61"/>
    <x v="9"/>
    <n v="92243.96"/>
    <n v="2"/>
    <n v="0"/>
    <n v="1"/>
    <n v="64920.41"/>
    <x v="0"/>
    <n v="-0.50220439758165791"/>
    <n v="-0.42274622439418402"/>
    <s v="Old person"/>
    <x v="3"/>
  </r>
  <r>
    <n v="283"/>
    <s v="Brown"/>
    <n v="612"/>
    <s v="Spain"/>
    <s v="Male"/>
    <n v="56"/>
    <x v="9"/>
    <n v="235159.65"/>
    <n v="3"/>
    <n v="0"/>
    <n v="1"/>
    <n v="132280.03"/>
    <x v="0"/>
    <n v="1.4834941685547243"/>
    <n v="1.2232764388941895"/>
    <s v="Old person"/>
    <x v="3"/>
  </r>
  <r>
    <n v="451"/>
    <s v="Wilson"/>
    <n v="498"/>
    <s v="Spain"/>
    <s v="Female"/>
    <n v="54"/>
    <x v="9"/>
    <n v="26944.7"/>
    <n v="4"/>
    <n v="0"/>
    <n v="0"/>
    <n v="88360.27"/>
    <x v="1"/>
    <n v="-1.4094850953956408"/>
    <n v="0.15003819428731416"/>
    <s v="Old person"/>
    <x v="3"/>
  </r>
  <r>
    <n v="305"/>
    <s v="Brown"/>
    <n v="429"/>
    <s v="France"/>
    <s v="Male"/>
    <n v="53"/>
    <x v="9"/>
    <n v="187975.23"/>
    <n v="1"/>
    <n v="1"/>
    <n v="0"/>
    <n v="137236.54"/>
    <x v="0"/>
    <n v="0.82790460286059497"/>
    <n v="1.3443954088470407"/>
    <s v="Old person"/>
    <x v="3"/>
  </r>
  <r>
    <n v="142"/>
    <s v="Moore"/>
    <n v="396"/>
    <s v="Germany"/>
    <s v="Male"/>
    <n v="52"/>
    <x v="9"/>
    <n v="227146.67"/>
    <n v="2"/>
    <n v="0"/>
    <n v="0"/>
    <n v="57655.65"/>
    <x v="0"/>
    <n v="1.3721602562566451"/>
    <n v="-0.60027037912294956"/>
    <s v="Old person"/>
    <x v="3"/>
  </r>
  <r>
    <n v="179"/>
    <s v="Miller"/>
    <n v="816"/>
    <s v="Germany"/>
    <s v="Female"/>
    <n v="51"/>
    <x v="9"/>
    <n v="55692.78"/>
    <n v="2"/>
    <n v="0"/>
    <n v="0"/>
    <n v="138662.49"/>
    <x v="0"/>
    <n v="-1.0100536457404348"/>
    <n v="1.3792404097053594"/>
    <s v="Old person"/>
    <x v="3"/>
  </r>
  <r>
    <n v="363"/>
    <s v="Brown"/>
    <n v="430"/>
    <s v="Spain"/>
    <s v="Female"/>
    <n v="45"/>
    <x v="9"/>
    <n v="226048.06"/>
    <n v="4"/>
    <n v="1"/>
    <n v="1"/>
    <n v="13741.1"/>
    <x v="0"/>
    <n v="1.3568959539134724"/>
    <n v="-1.6733813103917192"/>
    <s v="Adults"/>
    <x v="3"/>
  </r>
  <r>
    <n v="280"/>
    <s v="Smith"/>
    <n v="616"/>
    <s v="France"/>
    <s v="Male"/>
    <n v="45"/>
    <x v="9"/>
    <n v="9477.92"/>
    <n v="3"/>
    <n v="1"/>
    <n v="1"/>
    <n v="23547.86"/>
    <x v="0"/>
    <n v="-1.6521719550470872"/>
    <n v="-1.4337399761111831"/>
    <s v="Adults"/>
    <x v="3"/>
  </r>
  <r>
    <n v="195"/>
    <s v="Brown"/>
    <n v="392"/>
    <s v="Spain"/>
    <s v="Male"/>
    <n v="45"/>
    <x v="9"/>
    <n v="233110.85"/>
    <n v="1"/>
    <n v="0"/>
    <n v="0"/>
    <n v="72202.649999999994"/>
    <x v="0"/>
    <n v="1.4550277403948755"/>
    <n v="-0.24479492241972051"/>
    <s v="Adults"/>
    <x v="3"/>
  </r>
  <r>
    <n v="38"/>
    <s v="Wilson"/>
    <n v="505"/>
    <s v="Spain"/>
    <s v="Male"/>
    <n v="43"/>
    <x v="9"/>
    <n v="190574.23"/>
    <n v="1"/>
    <n v="1"/>
    <n v="0"/>
    <n v="22363.52"/>
    <x v="1"/>
    <n v="0.86401561749718558"/>
    <n v="-1.4626809125511295"/>
    <s v="Adults"/>
    <x v="3"/>
  </r>
  <r>
    <n v="165"/>
    <s v="Johnson"/>
    <n v="682"/>
    <s v="Spain"/>
    <s v="Female"/>
    <n v="43"/>
    <x v="9"/>
    <n v="197321.37"/>
    <n v="4"/>
    <n v="0"/>
    <n v="0"/>
    <n v="28096.07"/>
    <x v="0"/>
    <n v="0.95776170110439074"/>
    <n v="-1.3225983643058492"/>
    <s v="Adults"/>
    <x v="3"/>
  </r>
  <r>
    <n v="443"/>
    <s v="Miller"/>
    <n v="814"/>
    <s v="Spain"/>
    <s v="Male"/>
    <n v="43"/>
    <x v="9"/>
    <n v="144405.5"/>
    <n v="1"/>
    <n v="0"/>
    <n v="1"/>
    <n v="30241.09"/>
    <x v="0"/>
    <n v="0.22253824743839226"/>
    <n v="-1.2701819235182257"/>
    <s v="Adults"/>
    <x v="3"/>
  </r>
  <r>
    <n v="167"/>
    <s v="Smith"/>
    <n v="423"/>
    <s v="France"/>
    <s v="Female"/>
    <n v="43"/>
    <x v="9"/>
    <n v="143851"/>
    <n v="1"/>
    <n v="0"/>
    <n v="1"/>
    <n v="36084.61"/>
    <x v="0"/>
    <n v="0.21483391592012002"/>
    <n v="-1.1273876744803171"/>
    <s v="Adults"/>
    <x v="3"/>
  </r>
  <r>
    <n v="390"/>
    <s v="Johnson"/>
    <n v="429"/>
    <s v="France"/>
    <s v="Female"/>
    <n v="41"/>
    <x v="9"/>
    <n v="110666.99"/>
    <n v="1"/>
    <n v="0"/>
    <n v="1"/>
    <n v="128261.18"/>
    <x v="0"/>
    <n v="-0.24623121328756431"/>
    <n v="1.1250704487125869"/>
    <s v="Adults"/>
    <x v="3"/>
  </r>
  <r>
    <n v="104"/>
    <s v="Smith"/>
    <n v="483"/>
    <s v="Germany"/>
    <s v="Female"/>
    <n v="40"/>
    <x v="9"/>
    <n v="199427.98"/>
    <n v="4"/>
    <n v="1"/>
    <n v="1"/>
    <n v="128540.03"/>
    <x v="0"/>
    <n v="0.98703135271793008"/>
    <n v="1.1318845224804905"/>
    <s v="Adults"/>
    <x v="3"/>
  </r>
  <r>
    <n v="194"/>
    <s v="Moore"/>
    <n v="558"/>
    <s v="Spain"/>
    <s v="Male"/>
    <n v="39"/>
    <x v="9"/>
    <n v="222626.19"/>
    <n v="2"/>
    <n v="0"/>
    <n v="0"/>
    <n v="59452.54"/>
    <x v="0"/>
    <n v="1.3093518224573315"/>
    <n v="-0.55636096182759898"/>
    <s v="Adults"/>
    <x v="3"/>
  </r>
  <r>
    <n v="140"/>
    <s v="Williams"/>
    <n v="787"/>
    <s v="Spain"/>
    <s v="Female"/>
    <n v="38"/>
    <x v="9"/>
    <n v="216858.41"/>
    <n v="1"/>
    <n v="0"/>
    <n v="1"/>
    <n v="13005.86"/>
    <x v="1"/>
    <n v="1.2292131583555097"/>
    <n v="-1.6913478859596358"/>
    <s v="Adults"/>
    <x v="3"/>
  </r>
  <r>
    <n v="482"/>
    <s v="Brown"/>
    <n v="629"/>
    <s v="Germany"/>
    <s v="Male"/>
    <n v="37"/>
    <x v="9"/>
    <n v="24530.880000000001"/>
    <n v="2"/>
    <n v="1"/>
    <n v="0"/>
    <n v="100372.28"/>
    <x v="1"/>
    <n v="-1.4430231828716296"/>
    <n v="0.44356777019119498"/>
    <s v="Adults"/>
    <x v="3"/>
  </r>
  <r>
    <n v="215"/>
    <s v="Williams"/>
    <n v="455"/>
    <s v="Spain"/>
    <s v="Male"/>
    <n v="35"/>
    <x v="9"/>
    <n v="116072.5"/>
    <n v="4"/>
    <n v="0"/>
    <n v="0"/>
    <n v="19713.43"/>
    <x v="1"/>
    <n v="-0.17112599946369469"/>
    <n v="-1.5274394162326215"/>
    <s v="Adults"/>
    <x v="3"/>
  </r>
  <r>
    <n v="248"/>
    <s v="Williams"/>
    <n v="660"/>
    <s v="Spain"/>
    <s v="Female"/>
    <n v="35"/>
    <x v="9"/>
    <n v="80413.460000000006"/>
    <n v="2"/>
    <n v="0"/>
    <n v="1"/>
    <n v="42147.48"/>
    <x v="1"/>
    <n v="-0.6665796798664545"/>
    <n v="-0.97923331398108637"/>
    <s v="Adults"/>
    <x v="3"/>
  </r>
  <r>
    <n v="225"/>
    <s v="Johnson"/>
    <n v="760"/>
    <s v="France"/>
    <s v="Male"/>
    <n v="35"/>
    <x v="9"/>
    <n v="241023.24"/>
    <n v="4"/>
    <n v="0"/>
    <n v="0"/>
    <n v="97832.3"/>
    <x v="1"/>
    <n v="1.564964035547016"/>
    <n v="0.38149995204882425"/>
    <s v="Adults"/>
    <x v="3"/>
  </r>
  <r>
    <n v="498"/>
    <s v="Wilson"/>
    <n v="814"/>
    <s v="Spain"/>
    <s v="Female"/>
    <n v="34"/>
    <x v="9"/>
    <n v="161580.20000000001"/>
    <n v="3"/>
    <n v="0"/>
    <n v="0"/>
    <n v="148752.49"/>
    <x v="1"/>
    <n v="0.4611668904084017"/>
    <n v="1.6258030932920498"/>
    <s v="Adults"/>
    <x v="3"/>
  </r>
  <r>
    <n v="49"/>
    <s v="Williams"/>
    <n v="588"/>
    <s v="Spain"/>
    <s v="Female"/>
    <n v="32"/>
    <x v="9"/>
    <n v="126550.42"/>
    <n v="3"/>
    <n v="0"/>
    <n v="1"/>
    <n v="21781.599999999999"/>
    <x v="0"/>
    <n v="-2.5543728405200566E-2"/>
    <n v="-1.4769009082729103"/>
    <s v="Adults"/>
    <x v="3"/>
  </r>
  <r>
    <n v="331"/>
    <s v="Miller"/>
    <n v="409"/>
    <s v="Germany"/>
    <s v="Male"/>
    <n v="32"/>
    <x v="9"/>
    <n v="100270.85"/>
    <n v="1"/>
    <n v="1"/>
    <n v="1"/>
    <n v="57238.53"/>
    <x v="1"/>
    <n v="-0.39067721702132574"/>
    <n v="-0.6104632658006186"/>
    <s v="Adults"/>
    <x v="3"/>
  </r>
  <r>
    <n v="453"/>
    <s v="Davis"/>
    <n v="424"/>
    <s v="France"/>
    <s v="Female"/>
    <n v="31"/>
    <x v="9"/>
    <n v="236352.17"/>
    <n v="4"/>
    <n v="0"/>
    <n v="0"/>
    <n v="111036.69"/>
    <x v="0"/>
    <n v="1.5000632748165279"/>
    <n v="0.7041669325765999"/>
    <s v="Adults"/>
    <x v="3"/>
  </r>
  <r>
    <n v="84"/>
    <s v="Brown"/>
    <n v="579"/>
    <s v="Spain"/>
    <s v="Male"/>
    <n v="31"/>
    <x v="9"/>
    <n v="34457.83"/>
    <n v="3"/>
    <n v="1"/>
    <n v="1"/>
    <n v="142833.29999999999"/>
    <x v="0"/>
    <n v="-1.3050961968205701"/>
    <n v="1.4811597463089474"/>
    <s v="Adults"/>
    <x v="3"/>
  </r>
  <r>
    <n v="231"/>
    <s v="Davis"/>
    <n v="626"/>
    <s v="Germany"/>
    <s v="Male"/>
    <n v="27"/>
    <x v="9"/>
    <n v="13467.28"/>
    <n v="1"/>
    <n v="0"/>
    <n v="0"/>
    <n v="114472.4"/>
    <x v="0"/>
    <n v="-1.5967430064704695"/>
    <n v="0.78812311470005136"/>
    <s v="Youngsters"/>
    <x v="3"/>
  </r>
  <r>
    <n v="424"/>
    <s v="Taylor"/>
    <n v="665"/>
    <s v="Germany"/>
    <s v="Male"/>
    <n v="27"/>
    <x v="9"/>
    <n v="36155.39"/>
    <n v="3"/>
    <n v="0"/>
    <n v="0"/>
    <n v="122338.51"/>
    <x v="0"/>
    <n v="-1.2815099659600502"/>
    <n v="0.98034206326180562"/>
    <s v="Youngsters"/>
    <x v="3"/>
  </r>
  <r>
    <n v="425"/>
    <s v="Moore"/>
    <n v="462"/>
    <s v="France"/>
    <s v="Male"/>
    <n v="26"/>
    <x v="9"/>
    <n v="190443.29"/>
    <n v="4"/>
    <n v="1"/>
    <n v="0"/>
    <n v="77215.990000000005"/>
    <x v="0"/>
    <n v="0.86219631151160836"/>
    <n v="-0.12228723519152426"/>
    <s v="Youngsters"/>
    <x v="3"/>
  </r>
  <r>
    <n v="472"/>
    <s v="Brown"/>
    <n v="444"/>
    <s v="France"/>
    <s v="Female"/>
    <n v="24"/>
    <x v="9"/>
    <n v="80969.13"/>
    <n v="1"/>
    <n v="1"/>
    <n v="0"/>
    <n v="80855.009999999995"/>
    <x v="0"/>
    <n v="-0.65885909213920768"/>
    <n v="-3.3362900520995532E-2"/>
    <s v="Youngsters"/>
    <x v="3"/>
  </r>
  <r>
    <n v="155"/>
    <s v="Moore"/>
    <n v="437"/>
    <s v="Spain"/>
    <s v="Male"/>
    <n v="23"/>
    <x v="9"/>
    <n v="118047.52"/>
    <n v="4"/>
    <n v="0"/>
    <n v="1"/>
    <n v="69509.759999999995"/>
    <x v="0"/>
    <n v="-0.14368468506294077"/>
    <n v="-0.31059930150829951"/>
    <s v="Youngsters"/>
    <x v="3"/>
  </r>
  <r>
    <n v="500"/>
    <s v="Davis"/>
    <n v="393"/>
    <s v="Germany"/>
    <s v="Male"/>
    <n v="23"/>
    <x v="9"/>
    <n v="189955.55"/>
    <n v="3"/>
    <n v="1"/>
    <n v="1"/>
    <n v="85565.14"/>
    <x v="0"/>
    <n v="0.85541955649858359"/>
    <n v="8.1735443665543445E-2"/>
    <s v="Youngsters"/>
    <x v="3"/>
  </r>
  <r>
    <n v="268"/>
    <s v="Johnson"/>
    <n v="455"/>
    <s v="Germany"/>
    <s v="Female"/>
    <n v="23"/>
    <x v="9"/>
    <n v="63959.82"/>
    <n v="4"/>
    <n v="0"/>
    <n v="1"/>
    <n v="124481.95"/>
    <x v="1"/>
    <n v="-0.89518977408161193"/>
    <n v="1.0327198946301956"/>
    <s v="Youngsters"/>
    <x v="3"/>
  </r>
  <r>
    <n v="490"/>
    <s v="Miller"/>
    <n v="567"/>
    <s v="France"/>
    <s v="Male"/>
    <n v="22"/>
    <x v="9"/>
    <n v="67796.41"/>
    <n v="4"/>
    <n v="1"/>
    <n v="1"/>
    <n v="125551.64"/>
    <x v="1"/>
    <n v="-0.84188344178280561"/>
    <n v="1.0588592045415779"/>
    <s v="Youngsters"/>
    <x v="3"/>
  </r>
  <r>
    <n v="22"/>
    <s v="Taylor"/>
    <n v="528"/>
    <s v="Spain"/>
    <s v="Female"/>
    <n v="90"/>
    <x v="10"/>
    <n v="192616.6"/>
    <n v="4"/>
    <n v="1"/>
    <n v="0"/>
    <n v="27413.39"/>
    <x v="1"/>
    <n v="0.89239270597865294"/>
    <n v="-1.3392805657757165"/>
    <s v="Senior Citizens"/>
    <x v="3"/>
  </r>
  <r>
    <n v="333"/>
    <s v="Smith"/>
    <n v="445"/>
    <s v="France"/>
    <s v="Female"/>
    <n v="89"/>
    <x v="10"/>
    <n v="239257.96"/>
    <n v="4"/>
    <n v="0"/>
    <n v="0"/>
    <n v="75002.11"/>
    <x v="1"/>
    <n v="1.540436889753372"/>
    <n v="-0.17638636244017666"/>
    <s v="Senior Citizens"/>
    <x v="3"/>
  </r>
  <r>
    <n v="50"/>
    <s v="Smith"/>
    <n v="515"/>
    <s v="Spain"/>
    <s v="Male"/>
    <n v="89"/>
    <x v="10"/>
    <n v="87177.02"/>
    <n v="1"/>
    <n v="1"/>
    <n v="1"/>
    <n v="118097.5"/>
    <x v="1"/>
    <n v="-0.57260545356577752"/>
    <n v="0.87670729549986426"/>
    <s v="Senior Citizens"/>
    <x v="3"/>
  </r>
  <r>
    <n v="97"/>
    <s v="Johnson"/>
    <n v="424"/>
    <s v="Germany"/>
    <s v="Female"/>
    <n v="87"/>
    <x v="10"/>
    <n v="177818.74"/>
    <n v="2"/>
    <n v="0"/>
    <n v="1"/>
    <n v="111587.44"/>
    <x v="0"/>
    <n v="0.68678834312747161"/>
    <n v="0.71762524754046209"/>
    <s v="Senior Citizens"/>
    <x v="3"/>
  </r>
  <r>
    <n v="133"/>
    <s v="Jones"/>
    <n v="502"/>
    <s v="Germany"/>
    <s v="Male"/>
    <n v="85"/>
    <x v="10"/>
    <n v="157686.62"/>
    <n v="3"/>
    <n v="1"/>
    <n v="0"/>
    <n v="43499.67"/>
    <x v="1"/>
    <n v="0.40706872789638271"/>
    <n v="-0.94619073765610273"/>
    <s v="Senior Citizens"/>
    <x v="3"/>
  </r>
  <r>
    <n v="310"/>
    <s v="Moore"/>
    <n v="499"/>
    <s v="Spain"/>
    <s v="Female"/>
    <n v="85"/>
    <x v="10"/>
    <n v="203018.63"/>
    <n v="2"/>
    <n v="1"/>
    <n v="1"/>
    <n v="57175.83"/>
    <x v="0"/>
    <n v="1.0369205465251152"/>
    <n v="-0.61199542439931875"/>
    <s v="Senior Citizens"/>
    <x v="3"/>
  </r>
  <r>
    <n v="180"/>
    <s v="Taylor"/>
    <n v="529"/>
    <s v="Germany"/>
    <s v="Male"/>
    <n v="83"/>
    <x v="10"/>
    <n v="140464.4"/>
    <n v="2"/>
    <n v="1"/>
    <n v="0"/>
    <n v="62160.12"/>
    <x v="0"/>
    <n v="0.16777983274648467"/>
    <n v="-0.49019761288551261"/>
    <s v="Senior Citizens"/>
    <x v="3"/>
  </r>
  <r>
    <n v="362"/>
    <s v="Moore"/>
    <n v="530"/>
    <s v="France"/>
    <s v="Male"/>
    <n v="81"/>
    <x v="10"/>
    <n v="58304.43"/>
    <n v="1"/>
    <n v="0"/>
    <n v="0"/>
    <n v="122633.44"/>
    <x v="1"/>
    <n v="-0.97376686952817915"/>
    <n v="0.98754907339760589"/>
    <s v="Senior Citizens"/>
    <x v="3"/>
  </r>
  <r>
    <n v="7"/>
    <s v="Jones"/>
    <n v="432"/>
    <s v="Germany"/>
    <s v="Female"/>
    <n v="81"/>
    <x v="10"/>
    <n v="136164.96"/>
    <n v="4"/>
    <n v="0"/>
    <n v="0"/>
    <n v="135962.88"/>
    <x v="1"/>
    <n v="0.10804257196574457"/>
    <n v="1.3132718184033316"/>
    <s v="Senior Citizens"/>
    <x v="3"/>
  </r>
  <r>
    <n v="312"/>
    <s v="Smith"/>
    <n v="624"/>
    <s v="Spain"/>
    <s v="Male"/>
    <n v="80"/>
    <x v="10"/>
    <n v="81815.67"/>
    <n v="4"/>
    <n v="0"/>
    <n v="0"/>
    <n v="129536.99"/>
    <x v="1"/>
    <n v="-0.64709709970732654"/>
    <n v="1.1562465772900634"/>
    <s v="Senior Citizens"/>
    <x v="3"/>
  </r>
  <r>
    <n v="404"/>
    <s v="Taylor"/>
    <n v="704"/>
    <s v="France"/>
    <s v="Female"/>
    <n v="79"/>
    <x v="10"/>
    <n v="222300.09"/>
    <n v="4"/>
    <n v="0"/>
    <n v="0"/>
    <n v="76217.14"/>
    <x v="0"/>
    <n v="1.3048209252380192"/>
    <n v="-0.14669547468612951"/>
    <s v="Senior Citizens"/>
    <x v="3"/>
  </r>
  <r>
    <n v="325"/>
    <s v="Jones"/>
    <n v="508"/>
    <s v="France"/>
    <s v="Male"/>
    <n v="79"/>
    <x v="10"/>
    <n v="248917.55"/>
    <n v="4"/>
    <n v="1"/>
    <n v="0"/>
    <n v="126187.32"/>
    <x v="1"/>
    <n v="1.6746491236408152"/>
    <n v="1.0743928979709525"/>
    <s v="Senior Citizens"/>
    <x v="3"/>
  </r>
  <r>
    <n v="213"/>
    <s v="Wilson"/>
    <n v="440"/>
    <s v="Germany"/>
    <s v="Male"/>
    <n v="79"/>
    <x v="10"/>
    <n v="201052.55"/>
    <n v="2"/>
    <n v="0"/>
    <n v="0"/>
    <n v="145868.74"/>
    <x v="1"/>
    <n v="1.0096034462339614"/>
    <n v="1.5553347941054176"/>
    <s v="Senior Citizens"/>
    <x v="3"/>
  </r>
  <r>
    <n v="174"/>
    <s v="Moore"/>
    <n v="643"/>
    <s v="Spain"/>
    <s v="Male"/>
    <n v="78"/>
    <x v="10"/>
    <n v="55309.99"/>
    <n v="2"/>
    <n v="0"/>
    <n v="1"/>
    <n v="57614.96"/>
    <x v="0"/>
    <n v="-1.015372204914248"/>
    <n v="-0.60126469384992109"/>
    <s v="Senior Citizens"/>
    <x v="3"/>
  </r>
  <r>
    <n v="185"/>
    <s v="Jones"/>
    <n v="844"/>
    <s v="France"/>
    <s v="Female"/>
    <n v="78"/>
    <x v="10"/>
    <n v="138185.18"/>
    <n v="1"/>
    <n v="0"/>
    <n v="0"/>
    <n v="143728.42000000001"/>
    <x v="1"/>
    <n v="0.13611190401235221"/>
    <n v="1.5030332041218437"/>
    <s v="Senior Citizens"/>
    <x v="3"/>
  </r>
  <r>
    <n v="469"/>
    <s v="Taylor"/>
    <n v="828"/>
    <s v="Germany"/>
    <s v="Male"/>
    <n v="77"/>
    <x v="10"/>
    <n v="184078.17"/>
    <n v="3"/>
    <n v="1"/>
    <n v="1"/>
    <n v="24061.040000000001"/>
    <x v="0"/>
    <n v="0.7737580885475237"/>
    <n v="-1.4211997344894767"/>
    <s v="Senior Citizens"/>
    <x v="3"/>
  </r>
  <r>
    <n v="445"/>
    <s v="Wilson"/>
    <n v="774"/>
    <s v="Spain"/>
    <s v="Male"/>
    <n v="77"/>
    <x v="10"/>
    <n v="10982.07"/>
    <n v="4"/>
    <n v="1"/>
    <n v="0"/>
    <n v="107521.29"/>
    <x v="1"/>
    <n v="-1.6312730005778191"/>
    <n v="0.6182634184159802"/>
    <s v="Senior Citizens"/>
    <x v="3"/>
  </r>
  <r>
    <n v="430"/>
    <s v="Jones"/>
    <n v="451"/>
    <s v="Germany"/>
    <s v="Male"/>
    <n v="76"/>
    <x v="10"/>
    <n v="1978.31"/>
    <n v="2"/>
    <n v="1"/>
    <n v="0"/>
    <n v="19915.18"/>
    <x v="0"/>
    <n v="-1.75637300409623"/>
    <n v="-1.522509384377952"/>
    <s v="Senior Citizens"/>
    <x v="3"/>
  </r>
  <r>
    <n v="258"/>
    <s v="Williams"/>
    <n v="512"/>
    <s v="Spain"/>
    <s v="Female"/>
    <n v="75"/>
    <x v="10"/>
    <n v="170020.95"/>
    <n v="4"/>
    <n v="1"/>
    <n v="1"/>
    <n v="34325.360000000001"/>
    <x v="0"/>
    <n v="0.5784443228030931"/>
    <n v="-1.1703773078896218"/>
    <s v="Senior Citizens"/>
    <x v="3"/>
  </r>
  <r>
    <n v="401"/>
    <s v="Moore"/>
    <n v="716"/>
    <s v="Spain"/>
    <s v="Female"/>
    <n v="74"/>
    <x v="10"/>
    <n v="193015.5"/>
    <n v="4"/>
    <n v="0"/>
    <n v="0"/>
    <n v="127051.78"/>
    <x v="1"/>
    <n v="0.89793510064526927"/>
    <n v="1.0955171375599859"/>
    <s v="Senior Citizens"/>
    <x v="3"/>
  </r>
  <r>
    <n v="368"/>
    <s v="Taylor"/>
    <n v="680"/>
    <s v="Germany"/>
    <s v="Female"/>
    <n v="74"/>
    <x v="10"/>
    <n v="3229.42"/>
    <n v="2"/>
    <n v="0"/>
    <n v="0"/>
    <n v="139041.32999999999"/>
    <x v="0"/>
    <n v="-1.7389898369080865"/>
    <n v="1.3884978732385587"/>
    <s v="Senior Citizens"/>
    <x v="3"/>
  </r>
  <r>
    <n v="263"/>
    <s v="Johnson"/>
    <n v="521"/>
    <s v="Germany"/>
    <s v="Male"/>
    <n v="71"/>
    <x v="10"/>
    <n v="234878.9"/>
    <n v="1"/>
    <n v="0"/>
    <n v="1"/>
    <n v="55748.58"/>
    <x v="0"/>
    <n v="1.4795933731106214"/>
    <n v="-0.64687219250131123"/>
    <s v="Senior Citizens"/>
    <x v="3"/>
  </r>
  <r>
    <n v="256"/>
    <s v="Davis"/>
    <n v="804"/>
    <s v="Germany"/>
    <s v="Female"/>
    <n v="68"/>
    <x v="10"/>
    <n v="240635.59"/>
    <n v="1"/>
    <n v="0"/>
    <n v="0"/>
    <n v="122764.08"/>
    <x v="1"/>
    <n v="1.5595779505820779"/>
    <n v="0.9907414370233506"/>
    <s v="Old person"/>
    <x v="3"/>
  </r>
  <r>
    <n v="375"/>
    <s v="Jones"/>
    <n v="807"/>
    <s v="Spain"/>
    <s v="Male"/>
    <n v="61"/>
    <x v="10"/>
    <n v="33943.949999999997"/>
    <n v="2"/>
    <n v="1"/>
    <n v="1"/>
    <n v="70802.91"/>
    <x v="1"/>
    <n v="-1.3122361461093162"/>
    <n v="-0.278999446772905"/>
    <s v="Old person"/>
    <x v="3"/>
  </r>
  <r>
    <n v="67"/>
    <s v="Jones"/>
    <n v="459"/>
    <s v="Spain"/>
    <s v="Male"/>
    <n v="60"/>
    <x v="10"/>
    <n v="179198.75"/>
    <n v="2"/>
    <n v="1"/>
    <n v="1"/>
    <n v="48970.879999999997"/>
    <x v="0"/>
    <n v="0.70596247214195473"/>
    <n v="-0.81249438284278908"/>
    <s v="Old person"/>
    <x v="3"/>
  </r>
  <r>
    <n v="450"/>
    <s v="Jones"/>
    <n v="610"/>
    <s v="France"/>
    <s v="Female"/>
    <n v="60"/>
    <x v="10"/>
    <n v="104917.3"/>
    <n v="2"/>
    <n v="0"/>
    <n v="1"/>
    <n v="72303.199999999997"/>
    <x v="0"/>
    <n v="-0.3261185313890877"/>
    <n v="-0.24233784830330402"/>
    <s v="Old person"/>
    <x v="3"/>
  </r>
  <r>
    <n v="95"/>
    <s v="Davis"/>
    <n v="746"/>
    <s v="Spain"/>
    <s v="Male"/>
    <n v="60"/>
    <x v="10"/>
    <n v="229932.49"/>
    <n v="2"/>
    <n v="1"/>
    <n v="0"/>
    <n v="81112.42"/>
    <x v="1"/>
    <n v="1.4108669845347928"/>
    <n v="-2.7072741910286833E-2"/>
    <s v="Old person"/>
    <x v="3"/>
  </r>
  <r>
    <n v="32"/>
    <s v="Jones"/>
    <n v="806"/>
    <s v="Spain"/>
    <s v="Female"/>
    <n v="60"/>
    <x v="10"/>
    <n v="98142.26"/>
    <n v="4"/>
    <n v="0"/>
    <n v="1"/>
    <n v="88655.49"/>
    <x v="0"/>
    <n v="-0.42025226305645502"/>
    <n v="0.15725229096208751"/>
    <s v="Old person"/>
    <x v="3"/>
  </r>
  <r>
    <n v="108"/>
    <s v="Smith"/>
    <n v="801"/>
    <s v="Spain"/>
    <s v="Female"/>
    <n v="59"/>
    <x v="10"/>
    <n v="77661.960000000006"/>
    <n v="2"/>
    <n v="0"/>
    <n v="0"/>
    <n v="74188.759999999995"/>
    <x v="1"/>
    <n v="-0.70480955934801637"/>
    <n v="-0.1962616606260276"/>
    <s v="Old person"/>
    <x v="3"/>
  </r>
  <r>
    <n v="178"/>
    <s v="Miller"/>
    <n v="459"/>
    <s v="Spain"/>
    <s v="Male"/>
    <n v="57"/>
    <x v="10"/>
    <n v="170945.73"/>
    <n v="3"/>
    <n v="0"/>
    <n v="0"/>
    <n v="77687.86"/>
    <x v="1"/>
    <n v="0.59129339710691231"/>
    <n v="-0.11075645882838746"/>
    <s v="Old person"/>
    <x v="3"/>
  </r>
  <r>
    <n v="274"/>
    <s v="Smith"/>
    <n v="383"/>
    <s v="France"/>
    <s v="Male"/>
    <n v="55"/>
    <x v="10"/>
    <n v="190927.15"/>
    <n v="3"/>
    <n v="1"/>
    <n v="0"/>
    <n v="88503.02"/>
    <x v="0"/>
    <n v="0.86891915704529832"/>
    <n v="0.1535264820060456"/>
    <s v="Old person"/>
    <x v="3"/>
  </r>
  <r>
    <n v="29"/>
    <s v="Davis"/>
    <n v="583"/>
    <s v="Spain"/>
    <s v="Male"/>
    <n v="55"/>
    <x v="10"/>
    <n v="137337.07999999999"/>
    <n v="2"/>
    <n v="0"/>
    <n v="1"/>
    <n v="107849.47"/>
    <x v="0"/>
    <n v="0.12432823663517147"/>
    <n v="0.62628293689957604"/>
    <s v="Old person"/>
    <x v="3"/>
  </r>
  <r>
    <n v="494"/>
    <s v="Miller"/>
    <n v="813"/>
    <s v="Germany"/>
    <s v="Male"/>
    <n v="55"/>
    <x v="10"/>
    <n v="201976.42"/>
    <n v="3"/>
    <n v="0"/>
    <n v="1"/>
    <n v="131084.15"/>
    <x v="1"/>
    <n v="1.0224398768196896"/>
    <n v="1.1940535070757898"/>
    <s v="Old person"/>
    <x v="3"/>
  </r>
  <r>
    <n v="475"/>
    <s v="Jones"/>
    <n v="732"/>
    <s v="Spain"/>
    <s v="Male"/>
    <n v="55"/>
    <x v="10"/>
    <n v="31845.15"/>
    <n v="2"/>
    <n v="1"/>
    <n v="1"/>
    <n v="144035.23000000001"/>
    <x v="0"/>
    <n v="-1.3413972840544013"/>
    <n v="1.5105305179921344"/>
    <s v="Old person"/>
    <x v="3"/>
  </r>
  <r>
    <n v="419"/>
    <s v="Jones"/>
    <n v="404"/>
    <s v="France"/>
    <s v="Female"/>
    <n v="54"/>
    <x v="10"/>
    <n v="180845.4"/>
    <n v="1"/>
    <n v="0"/>
    <n v="1"/>
    <n v="67354.759999999995"/>
    <x v="0"/>
    <n v="0.7288413494991467"/>
    <n v="-0.36325961698196824"/>
    <s v="Old person"/>
    <x v="3"/>
  </r>
  <r>
    <n v="81"/>
    <s v="Brown"/>
    <n v="631"/>
    <s v="France"/>
    <s v="Male"/>
    <n v="54"/>
    <x v="10"/>
    <n v="68959.39"/>
    <n v="3"/>
    <n v="0"/>
    <n v="0"/>
    <n v="101131.11"/>
    <x v="1"/>
    <n v="-0.82572477006211997"/>
    <n v="0.46211079905007391"/>
    <s v="Old person"/>
    <x v="3"/>
  </r>
  <r>
    <n v="92"/>
    <s v="Taylor"/>
    <n v="735"/>
    <s v="France"/>
    <s v="Male"/>
    <n v="53"/>
    <x v="10"/>
    <n v="247280.33"/>
    <n v="3"/>
    <n v="1"/>
    <n v="0"/>
    <n v="54977.06"/>
    <x v="1"/>
    <n v="1.6519012685491188"/>
    <n v="-0.66572531853112327"/>
    <s v="Old person"/>
    <x v="3"/>
  </r>
  <r>
    <n v="103"/>
    <s v="Williams"/>
    <n v="651"/>
    <s v="Spain"/>
    <s v="Male"/>
    <n v="49"/>
    <x v="10"/>
    <n v="100461.13"/>
    <n v="1"/>
    <n v="0"/>
    <n v="0"/>
    <n v="30554.85"/>
    <x v="1"/>
    <n v="-0.38803342946262992"/>
    <n v="-1.2625147770759897"/>
    <s v="Adults"/>
    <x v="3"/>
  </r>
  <r>
    <n v="409"/>
    <s v="Williams"/>
    <n v="397"/>
    <s v="France"/>
    <s v="Male"/>
    <n v="49"/>
    <x v="10"/>
    <n v="232252.83"/>
    <n v="2"/>
    <n v="0"/>
    <n v="1"/>
    <n v="44531.43"/>
    <x v="1"/>
    <n v="1.4431062425963037"/>
    <n v="-0.92097829816973964"/>
    <s v="Adults"/>
    <x v="3"/>
  </r>
  <r>
    <n v="208"/>
    <s v="Jones"/>
    <n v="583"/>
    <s v="France"/>
    <s v="Female"/>
    <n v="48"/>
    <x v="10"/>
    <n v="111620.9"/>
    <n v="1"/>
    <n v="1"/>
    <n v="1"/>
    <n v="10423.709999999999"/>
    <x v="0"/>
    <n v="-0.23297740106286643"/>
    <n v="-1.7544461846140833"/>
    <s v="Adults"/>
    <x v="3"/>
  </r>
  <r>
    <n v="216"/>
    <s v="Jones"/>
    <n v="360"/>
    <s v="Germany"/>
    <s v="Female"/>
    <n v="47"/>
    <x v="10"/>
    <n v="160567.84"/>
    <n v="2"/>
    <n v="1"/>
    <n v="0"/>
    <n v="96310.13"/>
    <x v="0"/>
    <n v="0.447100962444762"/>
    <n v="0.34430368643186177"/>
    <s v="Adults"/>
    <x v="3"/>
  </r>
  <r>
    <n v="439"/>
    <s v="Wilson"/>
    <n v="735"/>
    <s v="Spain"/>
    <s v="Female"/>
    <n v="45"/>
    <x v="10"/>
    <n v="137629.67000000001"/>
    <n v="4"/>
    <n v="0"/>
    <n v="1"/>
    <n v="63609.91"/>
    <x v="1"/>
    <n v="0.12839353935641848"/>
    <n v="-0.45477004965090922"/>
    <s v="Adults"/>
    <x v="3"/>
  </r>
  <r>
    <n v="139"/>
    <s v="Jones"/>
    <n v="485"/>
    <s v="Spain"/>
    <s v="Female"/>
    <n v="45"/>
    <x v="10"/>
    <n v="134925.82999999999"/>
    <n v="1"/>
    <n v="1"/>
    <n v="0"/>
    <n v="103143.51"/>
    <x v="0"/>
    <n v="9.0825857242143648E-2"/>
    <n v="0.51128649225620415"/>
    <s v="Adults"/>
    <x v="3"/>
  </r>
  <r>
    <n v="37"/>
    <s v="Jones"/>
    <n v="568"/>
    <s v="Germany"/>
    <s v="Female"/>
    <n v="41"/>
    <x v="10"/>
    <n v="192830.21"/>
    <n v="2"/>
    <n v="0"/>
    <n v="0"/>
    <n v="82220.31"/>
    <x v="1"/>
    <n v="0.89536064512313995"/>
    <n v="3.6238262035302951E-8"/>
    <s v="Adults"/>
    <x v="3"/>
  </r>
  <r>
    <n v="365"/>
    <s v="Johnson"/>
    <n v="350"/>
    <s v="Germany"/>
    <s v="Female"/>
    <n v="31"/>
    <x v="10"/>
    <n v="213425.22"/>
    <n v="2"/>
    <n v="0"/>
    <n v="0"/>
    <n v="36418.230000000003"/>
    <x v="0"/>
    <n v="1.1815117446039909"/>
    <n v="-1.1192352223001196"/>
    <s v="Adults"/>
    <x v="3"/>
  </r>
  <r>
    <n v="230"/>
    <s v="Williams"/>
    <n v="560"/>
    <s v="Germany"/>
    <s v="Female"/>
    <n v="29"/>
    <x v="10"/>
    <n v="199808.98"/>
    <n v="1"/>
    <n v="1"/>
    <n v="1"/>
    <n v="38969.33"/>
    <x v="0"/>
    <n v="0.99232504128143184"/>
    <n v="-1.0568956720426363"/>
    <s v="Youngsters"/>
    <x v="3"/>
  </r>
  <r>
    <n v="159"/>
    <s v="Taylor"/>
    <n v="848"/>
    <s v="France"/>
    <s v="Male"/>
    <n v="29"/>
    <x v="10"/>
    <n v="208033.65"/>
    <n v="4"/>
    <n v="1"/>
    <n v="1"/>
    <n v="43662.79"/>
    <x v="0"/>
    <n v="1.1066002158682451"/>
    <n v="-0.94220468166535332"/>
    <s v="Youngsters"/>
    <x v="3"/>
  </r>
  <r>
    <n v="254"/>
    <s v="Williams"/>
    <n v="705"/>
    <s v="Germany"/>
    <s v="Male"/>
    <n v="29"/>
    <x v="10"/>
    <n v="78681.009999999995"/>
    <n v="1"/>
    <n v="0"/>
    <n v="0"/>
    <n v="69503.59"/>
    <x v="1"/>
    <n v="-0.69065067921511236"/>
    <n v="-0.31075007373404079"/>
    <s v="Youngsters"/>
    <x v="3"/>
  </r>
  <r>
    <n v="320"/>
    <s v="Jones"/>
    <n v="356"/>
    <s v="Germany"/>
    <s v="Female"/>
    <n v="26"/>
    <x v="10"/>
    <n v="114332.53"/>
    <n v="3"/>
    <n v="0"/>
    <n v="0"/>
    <n v="148688.76999999999"/>
    <x v="0"/>
    <n v="-0.19530148316405205"/>
    <n v="1.6242460096252365"/>
    <s v="Youngsters"/>
    <x v="3"/>
  </r>
  <r>
    <n v="381"/>
    <s v="Wilson"/>
    <n v="668"/>
    <s v="Spain"/>
    <s v="Female"/>
    <n v="25"/>
    <x v="10"/>
    <n v="65557.83"/>
    <n v="1"/>
    <n v="1"/>
    <n v="1"/>
    <n v="119298.33"/>
    <x v="0"/>
    <n v="-0.87298671040349785"/>
    <n v="0.90605118720763489"/>
    <s v="Youngsters"/>
    <x v="3"/>
  </r>
  <r>
    <n v="11"/>
    <s v="Wilson"/>
    <n v="519"/>
    <s v="France"/>
    <s v="Female"/>
    <n v="22"/>
    <x v="10"/>
    <n v="198399.26"/>
    <n v="3"/>
    <n v="1"/>
    <n v="0"/>
    <n v="125839.96"/>
    <x v="0"/>
    <n v="0.97273811571256119"/>
    <n v="1.0659046904614706"/>
    <s v="Youngsters"/>
    <x v="3"/>
  </r>
  <r>
    <n v="209"/>
    <s v="Wilson"/>
    <n v="695"/>
    <s v="Germany"/>
    <s v="Female"/>
    <n v="21"/>
    <x v="10"/>
    <n v="112981.4"/>
    <n v="4"/>
    <n v="0"/>
    <n v="1"/>
    <n v="69975.320000000007"/>
    <x v="1"/>
    <n v="-0.2140743478065826"/>
    <n v="-0.29922271845868381"/>
    <s v="Youngsters"/>
    <x v="3"/>
  </r>
  <r>
    <n v="85"/>
    <s v="Jones"/>
    <n v="820"/>
    <s v="Spain"/>
    <s v="Female"/>
    <n v="20"/>
    <x v="10"/>
    <n v="20249.55"/>
    <n v="3"/>
    <n v="0"/>
    <n v="0"/>
    <n v="121737.08"/>
    <x v="1"/>
    <n v="-1.5025088197681571"/>
    <n v="0.96564531452151414"/>
    <s v="Youngsters"/>
    <x v="3"/>
  </r>
  <r>
    <n v="52"/>
    <s v="Brown"/>
    <n v="561"/>
    <s v="Spain"/>
    <s v="Male"/>
    <n v="19"/>
    <x v="10"/>
    <n v="202302.98"/>
    <n v="1"/>
    <n v="1"/>
    <n v="1"/>
    <n v="24025.919999999998"/>
    <x v="1"/>
    <n v="1.0269771653690261"/>
    <n v="-1.4220579387954793"/>
    <s v="Youngsters"/>
    <x v="3"/>
  </r>
  <r>
    <n v="476"/>
    <s v="Williams"/>
    <n v="566"/>
    <s v="France"/>
    <s v="Male"/>
    <n v="18"/>
    <x v="10"/>
    <n v="146680.78"/>
    <n v="2"/>
    <n v="0"/>
    <n v="0"/>
    <n v="76895.64"/>
    <x v="1"/>
    <n v="0.25415143304144805"/>
    <n v="-0.13011541712284216"/>
    <s v="Youngsters"/>
    <x v="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n v="249"/>
    <s v="Johnson"/>
    <n v="350"/>
    <s v="Spain"/>
    <s v="Female"/>
    <n v="76"/>
    <n v="3"/>
    <n v="47176.34"/>
    <n v="4"/>
    <n v="1"/>
    <n v="1"/>
    <n v="139671.97"/>
    <x v="0"/>
    <n v="-1.1283827298080087"/>
    <n v="1.4039084075078461"/>
    <s v="Senior Citizens"/>
    <s v="Less Tenure Period"/>
    <x v="0"/>
  </r>
  <r>
    <n v="365"/>
    <s v="Johnson"/>
    <n v="350"/>
    <s v="Germany"/>
    <s v="Female"/>
    <n v="31"/>
    <n v="10"/>
    <n v="213425.22"/>
    <n v="2"/>
    <n v="0"/>
    <n v="0"/>
    <n v="36418.230000000003"/>
    <x v="1"/>
    <n v="1.1815117446039862"/>
    <n v="-1.1192352223001192"/>
    <s v="Adults"/>
    <s v="Large Tenure Period"/>
    <x v="0"/>
  </r>
  <r>
    <n v="47"/>
    <s v="Williams"/>
    <n v="353"/>
    <s v="Germany"/>
    <s v="Female"/>
    <n v="50"/>
    <n v="4"/>
    <n v="35813.31"/>
    <n v="4"/>
    <n v="0"/>
    <n v="0"/>
    <n v="133876.07999999999"/>
    <x v="0"/>
    <n v="-1.2862628924267148"/>
    <n v="1.2622780614054412"/>
    <s v="Adults"/>
    <s v="More Tenure Period"/>
    <x v="0"/>
  </r>
  <r>
    <n v="187"/>
    <s v="Jones"/>
    <n v="353"/>
    <s v="Spain"/>
    <s v="Male"/>
    <n v="77"/>
    <n v="7"/>
    <n v="110096.43"/>
    <n v="4"/>
    <n v="1"/>
    <n v="0"/>
    <n v="141135.62"/>
    <x v="1"/>
    <n v="-0.25415868558885119"/>
    <n v="1.4396746584326883"/>
    <s v="Senior Citizens"/>
    <s v="More Tenure Period"/>
    <x v="0"/>
  </r>
  <r>
    <n v="281"/>
    <s v="Brown"/>
    <n v="356"/>
    <s v="France"/>
    <s v="Female"/>
    <n v="47"/>
    <n v="6"/>
    <n v="97557.6"/>
    <n v="3"/>
    <n v="0"/>
    <n v="1"/>
    <n v="21082.35"/>
    <x v="1"/>
    <n v="-0.42837564351717727"/>
    <n v="-1.4939880199179041"/>
    <s v="Adults"/>
    <s v="More Tenure Period"/>
    <x v="0"/>
  </r>
  <r>
    <n v="320"/>
    <s v="Jones"/>
    <n v="356"/>
    <s v="Germany"/>
    <s v="Female"/>
    <n v="26"/>
    <n v="10"/>
    <n v="114332.53"/>
    <n v="3"/>
    <n v="0"/>
    <n v="0"/>
    <n v="148688.76999999999"/>
    <x v="1"/>
    <n v="-0.19530148316404891"/>
    <n v="1.624246009625236"/>
    <s v="Youngsters"/>
    <s v="Large Tenure Period"/>
    <x v="0"/>
  </r>
  <r>
    <n v="402"/>
    <s v="Brown"/>
    <n v="357"/>
    <s v="Germany"/>
    <s v="Female"/>
    <n v="23"/>
    <n v="0"/>
    <n v="184400.14"/>
    <n v="2"/>
    <n v="1"/>
    <n v="1"/>
    <n v="22278.37"/>
    <x v="0"/>
    <n v="0.77823160273857295"/>
    <n v="-1.4647616670117245"/>
    <s v="Youngsters"/>
    <s v="No Tenure Period"/>
    <x v="0"/>
  </r>
  <r>
    <n v="296"/>
    <s v="Brown"/>
    <n v="359"/>
    <s v="Spain"/>
    <s v="Female"/>
    <n v="47"/>
    <n v="6"/>
    <n v="71875.839999999997"/>
    <n v="1"/>
    <n v="0"/>
    <n v="1"/>
    <n v="112038.87"/>
    <x v="0"/>
    <n v="-0.78520304299905663"/>
    <n v="0.72865654508769062"/>
    <s v="Adults"/>
    <s v="More Tenure Period"/>
    <x v="0"/>
  </r>
  <r>
    <n v="387"/>
    <s v="Jones"/>
    <n v="359"/>
    <s v="Spain"/>
    <s v="Female"/>
    <n v="74"/>
    <n v="9"/>
    <n v="70359.16"/>
    <n v="3"/>
    <n v="0"/>
    <n v="1"/>
    <n v="21108.79"/>
    <x v="0"/>
    <n v="-0.80627609174050474"/>
    <n v="-1.4933419230542737"/>
    <s v="Senior Citizens"/>
    <s v="Large Tenure Period"/>
    <x v="0"/>
  </r>
  <r>
    <n v="216"/>
    <s v="Jones"/>
    <n v="360"/>
    <s v="Germany"/>
    <s v="Female"/>
    <n v="47"/>
    <n v="10"/>
    <n v="160567.84"/>
    <n v="2"/>
    <n v="1"/>
    <n v="0"/>
    <n v="96310.13"/>
    <x v="1"/>
    <n v="0.4471009624447615"/>
    <n v="0.34430368643186166"/>
    <s v="Adults"/>
    <s v="Large Tenure Period"/>
    <x v="0"/>
  </r>
  <r>
    <n v="412"/>
    <s v="Brown"/>
    <n v="361"/>
    <s v="France"/>
    <s v="Female"/>
    <n v="56"/>
    <n v="3"/>
    <n v="166147.69"/>
    <n v="2"/>
    <n v="1"/>
    <n v="0"/>
    <n v="56454.41"/>
    <x v="1"/>
    <n v="0.52462849034779335"/>
    <n v="-0.62962428973064755"/>
    <s v="Old person"/>
    <s v="Less Tenure Period"/>
    <x v="0"/>
  </r>
  <r>
    <n v="217"/>
    <s v="Taylor"/>
    <n v="362"/>
    <s v="Spain"/>
    <s v="Female"/>
    <n v="52"/>
    <n v="0"/>
    <n v="146945.31"/>
    <n v="4"/>
    <n v="1"/>
    <n v="0"/>
    <n v="125091.68"/>
    <x v="0"/>
    <n v="0.25782686463122056"/>
    <n v="1.0476194650031696"/>
    <s v="Old person"/>
    <s v="No Tenure Period"/>
    <x v="0"/>
  </r>
  <r>
    <n v="148"/>
    <s v="Brown"/>
    <n v="362"/>
    <s v="France"/>
    <s v="Male"/>
    <n v="86"/>
    <n v="6"/>
    <n v="77731.5"/>
    <n v="4"/>
    <n v="0"/>
    <n v="1"/>
    <n v="128074.02"/>
    <x v="1"/>
    <n v="-0.70384335697870359"/>
    <n v="1.1204969430772957"/>
    <s v="Senior Citizens"/>
    <s v="More Tenure Period"/>
    <x v="0"/>
  </r>
  <r>
    <n v="429"/>
    <s v="Moore"/>
    <n v="363"/>
    <s v="France"/>
    <s v="Female"/>
    <n v="77"/>
    <n v="0"/>
    <n v="36501.089999999997"/>
    <n v="2"/>
    <n v="1"/>
    <n v="1"/>
    <n v="64420.160000000003"/>
    <x v="1"/>
    <n v="-1.2767067425049163"/>
    <n v="-0.43497050412304827"/>
    <s v="Senior Citizens"/>
    <s v="No Tenure Period"/>
    <x v="0"/>
  </r>
  <r>
    <n v="314"/>
    <s v="Davis"/>
    <n v="363"/>
    <s v="Germany"/>
    <s v="Male"/>
    <n v="55"/>
    <n v="7"/>
    <n v="156344.54"/>
    <n v="2"/>
    <n v="0"/>
    <n v="0"/>
    <n v="90381.04"/>
    <x v="1"/>
    <n v="0.38842160572497997"/>
    <n v="0.19941841967001711"/>
    <s v="Old person"/>
    <s v="More Tenure Period"/>
    <x v="0"/>
  </r>
  <r>
    <n v="2"/>
    <s v="Smith"/>
    <n v="365"/>
    <s v="Spain"/>
    <s v="Female"/>
    <n v="64"/>
    <n v="3"/>
    <n v="203737.4"/>
    <n v="3"/>
    <n v="1"/>
    <n v="1"/>
    <n v="52848.11"/>
    <x v="0"/>
    <n v="1.0469072775717991"/>
    <n v="-0.71774906731426313"/>
    <s v="Old person"/>
    <s v="Less Tenure Period"/>
    <x v="0"/>
  </r>
  <r>
    <n v="121"/>
    <s v="Taylor"/>
    <n v="367"/>
    <s v="Germany"/>
    <s v="Male"/>
    <n v="18"/>
    <n v="8"/>
    <n v="37178.53"/>
    <n v="1"/>
    <n v="1"/>
    <n v="0"/>
    <n v="82791.570000000007"/>
    <x v="1"/>
    <n v="-1.2672942585667046"/>
    <n v="1.3959540561922581E-2"/>
    <s v="Youngsters"/>
    <s v="Large Tenure Period"/>
    <x v="0"/>
  </r>
  <r>
    <n v="449"/>
    <s v="Taylor"/>
    <n v="369"/>
    <s v="Spain"/>
    <s v="Female"/>
    <n v="56"/>
    <n v="7"/>
    <n v="228816.63"/>
    <n v="3"/>
    <n v="1"/>
    <n v="1"/>
    <n v="52394"/>
    <x v="0"/>
    <n v="1.3953630073157082"/>
    <n v="-0.72884585425614146"/>
    <s v="Old person"/>
    <s v="More Tenure Period"/>
    <x v="0"/>
  </r>
  <r>
    <n v="262"/>
    <s v="Miller"/>
    <n v="370"/>
    <s v="Germany"/>
    <s v="Male"/>
    <n v="47"/>
    <n v="4"/>
    <n v="20999.24"/>
    <n v="3"/>
    <n v="1"/>
    <n v="1"/>
    <n v="33647.800000000003"/>
    <x v="1"/>
    <n v="-1.4920924801902682"/>
    <n v="-1.1869343952920988"/>
    <s v="Adults"/>
    <s v="More Tenure Period"/>
    <x v="0"/>
  </r>
  <r>
    <n v="193"/>
    <s v="Smith"/>
    <n v="370"/>
    <s v="France"/>
    <s v="Male"/>
    <n v="24"/>
    <n v="6"/>
    <n v="38342.589999999997"/>
    <n v="2"/>
    <n v="0"/>
    <n v="1"/>
    <n v="18606.009999999998"/>
    <x v="0"/>
    <n v="-1.251120581114658"/>
    <n v="-1.554500709300765"/>
    <s v="Youngsters"/>
    <s v="More Tenure Period"/>
    <x v="0"/>
  </r>
  <r>
    <n v="82"/>
    <s v="Brown"/>
    <n v="371"/>
    <s v="Germany"/>
    <s v="Female"/>
    <n v="46"/>
    <n v="8"/>
    <n v="55186.57"/>
    <n v="2"/>
    <n v="1"/>
    <n v="0"/>
    <n v="117137.04"/>
    <x v="0"/>
    <n v="-1.017087026548118"/>
    <n v="0.85323716714726994"/>
    <s v="Adults"/>
    <s v="Large Tenure Period"/>
    <x v="0"/>
  </r>
  <r>
    <n v="197"/>
    <s v="Davis"/>
    <n v="378"/>
    <s v="Spain"/>
    <s v="Male"/>
    <n v="82"/>
    <n v="9"/>
    <n v="59302.02"/>
    <n v="2"/>
    <n v="0"/>
    <n v="1"/>
    <n v="51011.37"/>
    <x v="0"/>
    <n v="-0.95990615883509123"/>
    <n v="-0.76263227280990409"/>
    <s v="Senior Citizens"/>
    <s v="Large Tenure Period"/>
    <x v="0"/>
  </r>
  <r>
    <n v="470"/>
    <s v="Williams"/>
    <n v="379"/>
    <s v="Spain"/>
    <s v="Female"/>
    <n v="52"/>
    <n v="6"/>
    <n v="159259.26"/>
    <n v="2"/>
    <n v="1"/>
    <n v="1"/>
    <n v="50254.16"/>
    <x v="0"/>
    <n v="0.42891929582946753"/>
    <n v="-0.78113571479589783"/>
    <s v="Old person"/>
    <s v="More Tenure Period"/>
    <x v="0"/>
  </r>
  <r>
    <n v="447"/>
    <s v="Smith"/>
    <n v="380"/>
    <s v="France"/>
    <s v="Female"/>
    <n v="62"/>
    <n v="7"/>
    <n v="114966.17"/>
    <n v="3"/>
    <n v="0"/>
    <n v="1"/>
    <n v="136504.93"/>
    <x v="1"/>
    <n v="-0.18649756499770448"/>
    <n v="1.3265175371979954"/>
    <s v="Old person"/>
    <s v="More Tenure Period"/>
    <x v="0"/>
  </r>
  <r>
    <n v="274"/>
    <s v="Smith"/>
    <n v="383"/>
    <s v="France"/>
    <s v="Male"/>
    <n v="55"/>
    <n v="10"/>
    <n v="190927.15"/>
    <n v="3"/>
    <n v="1"/>
    <n v="0"/>
    <n v="88503.02"/>
    <x v="1"/>
    <n v="0.86891915704529543"/>
    <n v="0.15352648200604554"/>
    <s v="Old person"/>
    <s v="Large Tenure Period"/>
    <x v="0"/>
  </r>
  <r>
    <n v="75"/>
    <s v="Brown"/>
    <n v="385"/>
    <s v="Germany"/>
    <s v="Female"/>
    <n v="27"/>
    <n v="8"/>
    <n v="35744.699999999997"/>
    <n v="1"/>
    <n v="0"/>
    <n v="1"/>
    <n v="67445.009999999995"/>
    <x v="0"/>
    <n v="-1.2872161731940162"/>
    <n v="-0.36105423718080865"/>
    <s v="Youngsters"/>
    <s v="Large Tenure Period"/>
    <x v="0"/>
  </r>
  <r>
    <n v="330"/>
    <s v="Johnson"/>
    <n v="387"/>
    <s v="Spain"/>
    <s v="Female"/>
    <n v="38"/>
    <n v="2"/>
    <n v="211996.17"/>
    <n v="2"/>
    <n v="1"/>
    <n v="0"/>
    <n v="45722.09"/>
    <x v="0"/>
    <n v="1.1616562442321436"/>
    <n v="-0.89188292405285841"/>
    <s v="Adults"/>
    <s v="Less Tenure Period"/>
    <x v="0"/>
  </r>
  <r>
    <n v="278"/>
    <s v="Smith"/>
    <n v="388"/>
    <s v="France"/>
    <s v="Female"/>
    <n v="47"/>
    <n v="2"/>
    <n v="176592.7"/>
    <n v="4"/>
    <n v="0"/>
    <n v="0"/>
    <n v="75036.289999999994"/>
    <x v="1"/>
    <n v="0.6697535034256441"/>
    <n v="-0.1755511282949842"/>
    <s v="Adults"/>
    <s v="Less Tenure Period"/>
    <x v="0"/>
  </r>
  <r>
    <n v="238"/>
    <s v="Jones"/>
    <n v="389"/>
    <s v="France"/>
    <s v="Female"/>
    <n v="24"/>
    <n v="3"/>
    <n v="144426.62"/>
    <n v="1"/>
    <n v="1"/>
    <n v="0"/>
    <n v="64031.99"/>
    <x v="0"/>
    <n v="0.22283169285167684"/>
    <n v="-0.44445595872045629"/>
    <s v="Youngsters"/>
    <s v="Less Tenure Period"/>
    <x v="0"/>
  </r>
  <r>
    <n v="323"/>
    <s v="Davis"/>
    <n v="390"/>
    <s v="Germany"/>
    <s v="Male"/>
    <n v="80"/>
    <n v="2"/>
    <n v="25688.61"/>
    <n v="3"/>
    <n v="0"/>
    <n v="1"/>
    <n v="100083.34"/>
    <x v="1"/>
    <n v="-1.4269374556783836"/>
    <n v="0.43650713373970434"/>
    <s v="Senior Citizens"/>
    <s v="Less Tenure Period"/>
    <x v="0"/>
  </r>
  <r>
    <n v="462"/>
    <s v="Wilson"/>
    <n v="390"/>
    <s v="Spain"/>
    <s v="Female"/>
    <n v="58"/>
    <n v="2"/>
    <n v="86317.46"/>
    <n v="3"/>
    <n v="0"/>
    <n v="0"/>
    <n v="90411.33"/>
    <x v="1"/>
    <n v="-0.58454834842572911"/>
    <n v="0.20015859644760312"/>
    <s v="Old person"/>
    <s v="Less Tenure Period"/>
    <x v="0"/>
  </r>
  <r>
    <n v="195"/>
    <s v="Brown"/>
    <n v="392"/>
    <s v="Spain"/>
    <s v="Male"/>
    <n v="45"/>
    <n v="9"/>
    <n v="233110.85"/>
    <n v="1"/>
    <n v="0"/>
    <n v="0"/>
    <n v="72202.649999999994"/>
    <x v="1"/>
    <n v="1.4550277403948693"/>
    <n v="-0.24479492241972042"/>
    <s v="Adults"/>
    <s v="Large Tenure Period"/>
    <x v="0"/>
  </r>
  <r>
    <n v="500"/>
    <s v="Davis"/>
    <n v="393"/>
    <s v="Germany"/>
    <s v="Male"/>
    <n v="23"/>
    <n v="9"/>
    <n v="189955.55"/>
    <n v="3"/>
    <n v="1"/>
    <n v="1"/>
    <n v="85565.14"/>
    <x v="1"/>
    <n v="0.85541955649858081"/>
    <n v="8.1735443665543417E-2"/>
    <s v="Youngsters"/>
    <s v="Large Tenure Period"/>
    <x v="0"/>
  </r>
  <r>
    <n v="142"/>
    <s v="Moore"/>
    <n v="396"/>
    <s v="Germany"/>
    <s v="Male"/>
    <n v="52"/>
    <n v="9"/>
    <n v="227146.67"/>
    <n v="2"/>
    <n v="0"/>
    <n v="0"/>
    <n v="57655.65"/>
    <x v="1"/>
    <n v="1.3721602562566393"/>
    <n v="-0.60027037912294934"/>
    <s v="Old person"/>
    <s v="Large Tenure Period"/>
    <x v="0"/>
  </r>
  <r>
    <n v="308"/>
    <s v="Jones"/>
    <n v="397"/>
    <s v="Spain"/>
    <s v="Female"/>
    <n v="66"/>
    <n v="3"/>
    <n v="232462.02"/>
    <n v="4"/>
    <n v="1"/>
    <n v="1"/>
    <n v="135716.10999999999"/>
    <x v="1"/>
    <n v="1.4460127693957698"/>
    <n v="1.3072416624639167"/>
    <s v="Old person"/>
    <s v="Less Tenure Period"/>
    <x v="0"/>
  </r>
  <r>
    <n v="105"/>
    <s v="Wilson"/>
    <n v="397"/>
    <s v="Spain"/>
    <s v="Male"/>
    <n v="75"/>
    <n v="9"/>
    <n v="46.68"/>
    <n v="3"/>
    <n v="1"/>
    <n v="0"/>
    <n v="61080.02"/>
    <x v="1"/>
    <n v="-1.7832114493453435"/>
    <n v="-0.51659130510969331"/>
    <s v="Senior Citizens"/>
    <s v="Large Tenure Period"/>
    <x v="0"/>
  </r>
  <r>
    <n v="409"/>
    <s v="Williams"/>
    <n v="397"/>
    <s v="France"/>
    <s v="Male"/>
    <n v="49"/>
    <n v="10"/>
    <n v="232252.83"/>
    <n v="2"/>
    <n v="0"/>
    <n v="1"/>
    <n v="44531.43"/>
    <x v="0"/>
    <n v="1.4431062425962975"/>
    <n v="-0.92097829816973931"/>
    <s v="Adults"/>
    <s v="Large Tenure Period"/>
    <x v="0"/>
  </r>
  <r>
    <n v="172"/>
    <s v="Wilson"/>
    <n v="398"/>
    <s v="France"/>
    <s v="Female"/>
    <n v="78"/>
    <n v="0"/>
    <n v="124423.84"/>
    <n v="4"/>
    <n v="1"/>
    <n v="1"/>
    <n v="144202.79"/>
    <x v="1"/>
    <n v="-5.5090847106960869E-2"/>
    <n v="1.5146250713381977"/>
    <s v="Senior Citizens"/>
    <s v="No Tenure Period"/>
    <x v="0"/>
  </r>
  <r>
    <n v="383"/>
    <s v="Johnson"/>
    <n v="398"/>
    <s v="France"/>
    <s v="Female"/>
    <n v="44"/>
    <n v="1"/>
    <n v="27423.79"/>
    <n v="1"/>
    <n v="1"/>
    <n v="1"/>
    <n v="103883.72"/>
    <x v="1"/>
    <n v="-1.4028285251754522"/>
    <n v="0.52937451644031752"/>
    <s v="Adults"/>
    <s v="Less Tenure Period"/>
    <x v="0"/>
  </r>
  <r>
    <n v="177"/>
    <s v="Moore"/>
    <n v="398"/>
    <s v="France"/>
    <s v="Female"/>
    <n v="63"/>
    <n v="2"/>
    <n v="146639.1"/>
    <n v="1"/>
    <n v="1"/>
    <n v="0"/>
    <n v="114757.22"/>
    <x v="1"/>
    <n v="0.25357232296447563"/>
    <n v="0.79508307342543894"/>
    <s v="Old person"/>
    <s v="Less Tenure Period"/>
    <x v="0"/>
  </r>
  <r>
    <n v="322"/>
    <s v="Williams"/>
    <n v="398"/>
    <s v="France"/>
    <s v="Male"/>
    <n v="84"/>
    <n v="6"/>
    <n v="151818.88"/>
    <n v="3"/>
    <n v="1"/>
    <n v="0"/>
    <n v="76167.42"/>
    <x v="0"/>
    <n v="0.32554119999191644"/>
    <n v="-0.14791044957492336"/>
    <s v="Senior Citizens"/>
    <s v="More Tenure Period"/>
    <x v="0"/>
  </r>
  <r>
    <n v="181"/>
    <s v="Johnson"/>
    <n v="399"/>
    <s v="Germany"/>
    <s v="Male"/>
    <n v="91"/>
    <n v="8"/>
    <n v="230097.2"/>
    <n v="4"/>
    <n v="0"/>
    <n v="0"/>
    <n v="144755.60999999999"/>
    <x v="0"/>
    <n v="1.413155497509313"/>
    <n v="1.5281339695285237"/>
    <s v="Senior Citizens"/>
    <s v="Large Tenure Period"/>
    <x v="0"/>
  </r>
  <r>
    <n v="259"/>
    <s v="Davis"/>
    <n v="400"/>
    <s v="Germany"/>
    <s v="Male"/>
    <n v="21"/>
    <n v="3"/>
    <n v="67715.59"/>
    <n v="2"/>
    <n v="1"/>
    <n v="1"/>
    <n v="71585.87"/>
    <x v="1"/>
    <n v="-0.84300637067965511"/>
    <n v="-0.25986676899876882"/>
    <s v="Youngsters"/>
    <s v="Less Tenure Period"/>
    <x v="0"/>
  </r>
  <r>
    <n v="161"/>
    <s v="Taylor"/>
    <n v="402"/>
    <s v="Spain"/>
    <s v="Male"/>
    <n v="89"/>
    <n v="7"/>
    <n v="205105.61"/>
    <n v="3"/>
    <n v="1"/>
    <n v="0"/>
    <n v="75716.98"/>
    <x v="1"/>
    <n v="1.0659174550769663"/>
    <n v="-0.15891755514427811"/>
    <s v="Senior Citizens"/>
    <s v="More Tenure Period"/>
    <x v="0"/>
  </r>
  <r>
    <n v="419"/>
    <s v="Jones"/>
    <n v="404"/>
    <s v="France"/>
    <s v="Female"/>
    <n v="54"/>
    <n v="10"/>
    <n v="180845.4"/>
    <n v="1"/>
    <n v="0"/>
    <n v="1"/>
    <n v="67354.759999999995"/>
    <x v="1"/>
    <n v="0.72884134949914459"/>
    <n v="-0.36325961698196813"/>
    <s v="Old person"/>
    <s v="Large Tenure Period"/>
    <x v="0"/>
  </r>
  <r>
    <n v="130"/>
    <s v="Miller"/>
    <n v="408"/>
    <s v="Spain"/>
    <s v="Female"/>
    <n v="29"/>
    <n v="1"/>
    <n v="136796.01999999999"/>
    <n v="4"/>
    <n v="1"/>
    <n v="0"/>
    <n v="81668.89"/>
    <x v="0"/>
    <n v="0.11681064310717218"/>
    <n v="-1.3474651074262468E-2"/>
    <s v="Youngsters"/>
    <s v="Less Tenure Period"/>
    <x v="0"/>
  </r>
  <r>
    <n v="467"/>
    <s v="Miller"/>
    <n v="409"/>
    <s v="Germany"/>
    <s v="Female"/>
    <n v="41"/>
    <n v="3"/>
    <n v="156420.72"/>
    <n v="2"/>
    <n v="1"/>
    <n v="1"/>
    <n v="101660.52"/>
    <x v="0"/>
    <n v="0.38948006555376613"/>
    <n v="0.47504764249086967"/>
    <s v="Adults"/>
    <s v="Less Tenure Period"/>
    <x v="0"/>
  </r>
  <r>
    <n v="331"/>
    <s v="Miller"/>
    <n v="409"/>
    <s v="Germany"/>
    <s v="Male"/>
    <n v="32"/>
    <n v="9"/>
    <n v="100270.85"/>
    <n v="1"/>
    <n v="1"/>
    <n v="1"/>
    <n v="57238.53"/>
    <x v="0"/>
    <n v="-0.39067721702132152"/>
    <n v="-0.61046326580061838"/>
    <s v="Adults"/>
    <s v="Large Tenure Period"/>
    <x v="0"/>
  </r>
  <r>
    <n v="371"/>
    <s v="Davis"/>
    <n v="411"/>
    <s v="Germany"/>
    <s v="Female"/>
    <n v="25"/>
    <n v="6"/>
    <n v="221855.45"/>
    <n v="3"/>
    <n v="0"/>
    <n v="1"/>
    <n v="27505.16"/>
    <x v="0"/>
    <n v="1.2986430100598634"/>
    <n v="-1.3370380427358002"/>
    <s v="Youngsters"/>
    <s v="More Tenure Period"/>
    <x v="0"/>
  </r>
  <r>
    <n v="306"/>
    <s v="Miller"/>
    <n v="412"/>
    <s v="Spain"/>
    <s v="Female"/>
    <n v="91"/>
    <n v="1"/>
    <n v="71844.740000000005"/>
    <n v="1"/>
    <n v="0"/>
    <n v="1"/>
    <n v="105880.01"/>
    <x v="0"/>
    <n v="-0.78563515248547355"/>
    <n v="0.57815654018831275"/>
    <s v="Senior Citizens"/>
    <s v="Less Tenure Period"/>
    <x v="0"/>
  </r>
  <r>
    <n v="338"/>
    <s v="Taylor"/>
    <n v="412"/>
    <s v="Spain"/>
    <s v="Male"/>
    <n v="50"/>
    <n v="7"/>
    <n v="57433.4"/>
    <n v="3"/>
    <n v="1"/>
    <n v="0"/>
    <n v="125784.2"/>
    <x v="1"/>
    <n v="-0.98586913081286165"/>
    <n v="1.0645421200713021"/>
    <s v="Adults"/>
    <s v="More Tenure Period"/>
    <x v="0"/>
  </r>
  <r>
    <n v="164"/>
    <s v="Jones"/>
    <n v="414"/>
    <s v="France"/>
    <s v="Female"/>
    <n v="89"/>
    <n v="4"/>
    <n v="133217.37"/>
    <n v="1"/>
    <n v="0"/>
    <n v="1"/>
    <n v="120812.2"/>
    <x v="1"/>
    <n v="6.7088179648444088E-2"/>
    <n v="0.94304463119191428"/>
    <s v="Senior Citizens"/>
    <s v="More Tenure Period"/>
    <x v="0"/>
  </r>
  <r>
    <n v="481"/>
    <s v="Taylor"/>
    <n v="415"/>
    <s v="France"/>
    <s v="Female"/>
    <n v="31"/>
    <n v="5"/>
    <n v="224202.59"/>
    <n v="3"/>
    <n v="1"/>
    <n v="0"/>
    <n v="58513.24"/>
    <x v="0"/>
    <n v="1.3312546325662606"/>
    <n v="-0.57931401719855802"/>
    <s v="Adults"/>
    <s v="More Tenure Period"/>
    <x v="0"/>
  </r>
  <r>
    <n v="31"/>
    <s v="Williams"/>
    <n v="416"/>
    <s v="Germany"/>
    <s v="Male"/>
    <n v="40"/>
    <n v="1"/>
    <n v="192565.36"/>
    <n v="3"/>
    <n v="0"/>
    <n v="0"/>
    <n v="106833.18"/>
    <x v="1"/>
    <n v="0.89168076739073932"/>
    <n v="0.60144852761292378"/>
    <s v="Adults"/>
    <s v="Less Tenure Period"/>
    <x v="0"/>
  </r>
  <r>
    <n v="214"/>
    <s v="Jones"/>
    <n v="418"/>
    <s v="Germany"/>
    <s v="Female"/>
    <n v="18"/>
    <n v="1"/>
    <n v="96345.86"/>
    <n v="4"/>
    <n v="1"/>
    <n v="0"/>
    <n v="82176.899999999994"/>
    <x v="0"/>
    <n v="-0.44521179622042556"/>
    <n v="-1.0607453370104205E-3"/>
    <s v="Youngsters"/>
    <s v="Less Tenure Period"/>
    <x v="0"/>
  </r>
  <r>
    <n v="427"/>
    <s v="Brown"/>
    <n v="418"/>
    <s v="Germany"/>
    <s v="Female"/>
    <n v="43"/>
    <n v="7"/>
    <n v="205080.33"/>
    <n v="3"/>
    <n v="0"/>
    <n v="1"/>
    <n v="22885.14"/>
    <x v="1"/>
    <n v="1.0655662098095509"/>
    <n v="-1.4499344282089597"/>
    <s v="Adults"/>
    <s v="More Tenure Period"/>
    <x v="0"/>
  </r>
  <r>
    <n v="54"/>
    <s v="Davis"/>
    <n v="420"/>
    <s v="Spain"/>
    <s v="Male"/>
    <n v="61"/>
    <n v="5"/>
    <n v="216419.15"/>
    <n v="4"/>
    <n v="1"/>
    <n v="1"/>
    <n v="40937.339999999997"/>
    <x v="1"/>
    <n v="1.2231099939502452"/>
    <n v="-1.0088047080262397"/>
    <s v="Old person"/>
    <s v="More Tenure Period"/>
    <x v="0"/>
  </r>
  <r>
    <n v="422"/>
    <s v="Jones"/>
    <n v="421"/>
    <s v="France"/>
    <s v="Female"/>
    <n v="76"/>
    <n v="4"/>
    <n v="24418.55"/>
    <n v="3"/>
    <n v="0"/>
    <n v="1"/>
    <n v="131045.9"/>
    <x v="0"/>
    <n v="-1.4445839178751316"/>
    <n v="1.1931188170215585"/>
    <s v="Senior Citizens"/>
    <s v="More Tenure Period"/>
    <x v="0"/>
  </r>
  <r>
    <n v="182"/>
    <s v="Miller"/>
    <n v="421"/>
    <s v="France"/>
    <s v="Female"/>
    <n v="86"/>
    <n v="8"/>
    <n v="58586.77"/>
    <n v="4"/>
    <n v="0"/>
    <n v="0"/>
    <n v="27139.72"/>
    <x v="1"/>
    <n v="-0.96984398231289859"/>
    <n v="-1.3459680592957526"/>
    <s v="Senior Citizens"/>
    <s v="Large Tenure Period"/>
    <x v="0"/>
  </r>
  <r>
    <n v="101"/>
    <s v="Smith"/>
    <n v="422"/>
    <s v="France"/>
    <s v="Female"/>
    <n v="27"/>
    <n v="1"/>
    <n v="103031.97"/>
    <n v="2"/>
    <n v="0"/>
    <n v="0"/>
    <n v="125609.39"/>
    <x v="1"/>
    <n v="-0.35231367537708042"/>
    <n v="1.0602704032509067"/>
    <s v="Youngsters"/>
    <s v="Less Tenure Period"/>
    <x v="0"/>
  </r>
  <r>
    <n v="234"/>
    <s v="Moore"/>
    <n v="422"/>
    <s v="France"/>
    <s v="Female"/>
    <n v="69"/>
    <n v="8"/>
    <n v="198731.58"/>
    <n v="3"/>
    <n v="1"/>
    <n v="0"/>
    <n v="37615.839999999997"/>
    <x v="1"/>
    <n v="0.97735543482915299"/>
    <n v="-1.0899700156112933"/>
    <s v="Old person"/>
    <s v="Large Tenure Period"/>
    <x v="0"/>
  </r>
  <r>
    <n v="167"/>
    <s v="Smith"/>
    <n v="423"/>
    <s v="France"/>
    <s v="Female"/>
    <n v="43"/>
    <n v="9"/>
    <n v="143851"/>
    <n v="1"/>
    <n v="0"/>
    <n v="1"/>
    <n v="36084.61"/>
    <x v="1"/>
    <n v="0.21483391592012083"/>
    <n v="-1.1273876744803166"/>
    <s v="Adults"/>
    <s v="Large Tenure Period"/>
    <x v="0"/>
  </r>
  <r>
    <n v="188"/>
    <s v="Miller"/>
    <n v="424"/>
    <s v="Germany"/>
    <s v="Male"/>
    <n v="47"/>
    <n v="6"/>
    <n v="163549.64000000001"/>
    <n v="1"/>
    <n v="1"/>
    <n v="0"/>
    <n v="33745.43"/>
    <x v="1"/>
    <n v="0.48853067519712245"/>
    <n v="-1.1845486752922407"/>
    <s v="Adults"/>
    <s v="More Tenure Period"/>
    <x v="0"/>
  </r>
  <r>
    <n v="453"/>
    <s v="Davis"/>
    <n v="424"/>
    <s v="France"/>
    <s v="Female"/>
    <n v="31"/>
    <n v="9"/>
    <n v="236352.17"/>
    <n v="4"/>
    <n v="0"/>
    <n v="0"/>
    <n v="111036.69"/>
    <x v="1"/>
    <n v="1.5000632748165215"/>
    <n v="0.70416693257659968"/>
    <s v="Adults"/>
    <s v="Large Tenure Period"/>
    <x v="0"/>
  </r>
  <r>
    <n v="97"/>
    <s v="Johnson"/>
    <n v="424"/>
    <s v="Germany"/>
    <s v="Female"/>
    <n v="87"/>
    <n v="10"/>
    <n v="177818.74"/>
    <n v="2"/>
    <n v="0"/>
    <n v="1"/>
    <n v="111587.44"/>
    <x v="1"/>
    <n v="0.68678834312746972"/>
    <n v="0.71762524754046186"/>
    <s v="Senior Citizens"/>
    <s v="Large Tenure Period"/>
    <x v="0"/>
  </r>
  <r>
    <n v="173"/>
    <s v="Moore"/>
    <n v="426"/>
    <s v="France"/>
    <s v="Female"/>
    <n v="25"/>
    <n v="0"/>
    <n v="239377.45"/>
    <n v="4"/>
    <n v="0"/>
    <n v="1"/>
    <n v="126167.25"/>
    <x v="0"/>
    <n v="1.5420971071981238"/>
    <n v="1.0739024606013201"/>
    <s v="Youngsters"/>
    <s v="No Tenure Period"/>
    <x v="0"/>
  </r>
  <r>
    <n v="309"/>
    <s v="Wilson"/>
    <n v="426"/>
    <s v="Germany"/>
    <s v="Male"/>
    <n v="89"/>
    <n v="1"/>
    <n v="178130.78"/>
    <n v="3"/>
    <n v="0"/>
    <n v="1"/>
    <n v="21570.41"/>
    <x v="0"/>
    <n v="0.69112388795517343"/>
    <n v="-1.4820616191893292"/>
    <s v="Senior Citizens"/>
    <s v="Less Tenure Period"/>
    <x v="0"/>
  </r>
  <r>
    <n v="99"/>
    <s v="Brown"/>
    <n v="428"/>
    <s v="Germany"/>
    <s v="Male"/>
    <n v="61"/>
    <n v="3"/>
    <n v="206619.49"/>
    <n v="2"/>
    <n v="0"/>
    <n v="0"/>
    <n v="102150.42"/>
    <x v="0"/>
    <n v="1.0869516000704413"/>
    <n v="0.48701900608741255"/>
    <s v="Old person"/>
    <s v="Less Tenure Period"/>
    <x v="0"/>
  </r>
  <r>
    <n v="305"/>
    <s v="Brown"/>
    <n v="429"/>
    <s v="France"/>
    <s v="Male"/>
    <n v="53"/>
    <n v="9"/>
    <n v="187975.23"/>
    <n v="1"/>
    <n v="1"/>
    <n v="0"/>
    <n v="137236.54"/>
    <x v="1"/>
    <n v="0.82790460286059231"/>
    <n v="1.3443954088470402"/>
    <s v="Old person"/>
    <s v="Large Tenure Period"/>
    <x v="0"/>
  </r>
  <r>
    <n v="390"/>
    <s v="Johnson"/>
    <n v="429"/>
    <s v="France"/>
    <s v="Female"/>
    <n v="41"/>
    <n v="9"/>
    <n v="110666.99"/>
    <n v="1"/>
    <n v="0"/>
    <n v="1"/>
    <n v="128261.18"/>
    <x v="1"/>
    <n v="-0.2462312132875609"/>
    <n v="1.1250704487125864"/>
    <s v="Adults"/>
    <s v="Large Tenure Period"/>
    <x v="0"/>
  </r>
  <r>
    <n v="407"/>
    <s v="Williams"/>
    <n v="430"/>
    <s v="Germany"/>
    <s v="Female"/>
    <n v="35"/>
    <n v="2"/>
    <n v="245176.21"/>
    <n v="1"/>
    <n v="0"/>
    <n v="1"/>
    <n v="35708.43"/>
    <x v="1"/>
    <n v="1.6226662134828773"/>
    <n v="-1.1365801373456923"/>
    <s v="Adults"/>
    <s v="Less Tenure Period"/>
    <x v="0"/>
  </r>
  <r>
    <n v="363"/>
    <s v="Brown"/>
    <n v="430"/>
    <s v="Spain"/>
    <s v="Female"/>
    <n v="45"/>
    <n v="9"/>
    <n v="226048.06"/>
    <n v="4"/>
    <n v="1"/>
    <n v="1"/>
    <n v="13741.1"/>
    <x v="1"/>
    <n v="1.3568959539134668"/>
    <n v="-1.6733813103917186"/>
    <s v="Adults"/>
    <s v="Large Tenure Period"/>
    <x v="0"/>
  </r>
  <r>
    <n v="74"/>
    <s v="Taylor"/>
    <n v="431"/>
    <s v="Germany"/>
    <s v="Male"/>
    <n v="66"/>
    <n v="9"/>
    <n v="103045.29"/>
    <n v="2"/>
    <n v="1"/>
    <n v="0"/>
    <n v="36831.440000000002"/>
    <x v="0"/>
    <n v="-0.35212860469029356"/>
    <n v="-1.1091378817168827"/>
    <s v="Old person"/>
    <s v="Large Tenure Period"/>
    <x v="0"/>
  </r>
  <r>
    <n v="7"/>
    <s v="Jones"/>
    <n v="432"/>
    <s v="Germany"/>
    <s v="Female"/>
    <n v="81"/>
    <n v="10"/>
    <n v="136164.96"/>
    <n v="4"/>
    <n v="0"/>
    <n v="0"/>
    <n v="135962.88"/>
    <x v="0"/>
    <n v="0.10804257196574597"/>
    <n v="1.3132718184033312"/>
    <s v="Senior Citizens"/>
    <s v="Large Tenure Period"/>
    <x v="0"/>
  </r>
  <r>
    <n v="350"/>
    <s v="Moore"/>
    <n v="433"/>
    <s v="Germany"/>
    <s v="Male"/>
    <n v="87"/>
    <n v="0"/>
    <n v="161025.64000000001"/>
    <n v="4"/>
    <n v="1"/>
    <n v="1"/>
    <n v="129607.96"/>
    <x v="0"/>
    <n v="0.45346172523838668"/>
    <n v="1.1579808244312073"/>
    <s v="Senior Citizens"/>
    <s v="No Tenure Period"/>
    <x v="0"/>
  </r>
  <r>
    <n v="358"/>
    <s v="Smith"/>
    <n v="433"/>
    <s v="Spain"/>
    <s v="Female"/>
    <n v="85"/>
    <n v="6"/>
    <n v="92093.09"/>
    <n v="4"/>
    <n v="0"/>
    <n v="1"/>
    <n v="117465.12"/>
    <x v="1"/>
    <n v="-0.50430061488762568"/>
    <n v="0.86125424199673695"/>
    <s v="Senior Citizens"/>
    <s v="More Tenure Period"/>
    <x v="0"/>
  </r>
  <r>
    <n v="376"/>
    <s v="Davis"/>
    <n v="434"/>
    <s v="France"/>
    <s v="Male"/>
    <n v="65"/>
    <n v="6"/>
    <n v="90083.5"/>
    <n v="1"/>
    <n v="0"/>
    <n v="1"/>
    <n v="97501.27"/>
    <x v="0"/>
    <n v="-0.53222225163389181"/>
    <n v="0.37341078999256033"/>
    <s v="Old person"/>
    <s v="More Tenure Period"/>
    <x v="0"/>
  </r>
  <r>
    <n v="189"/>
    <s v="Jones"/>
    <n v="434"/>
    <s v="Spain"/>
    <s v="Male"/>
    <n v="46"/>
    <n v="6"/>
    <n v="229121.35"/>
    <n v="2"/>
    <n v="1"/>
    <n v="0"/>
    <n v="14185.62"/>
    <x v="0"/>
    <n v="1.3995968466308533"/>
    <n v="-1.6625188679627836"/>
    <s v="Adults"/>
    <s v="More Tenure Period"/>
    <x v="0"/>
  </r>
  <r>
    <n v="485"/>
    <s v="Wilson"/>
    <n v="437"/>
    <s v="France"/>
    <s v="Female"/>
    <n v="69"/>
    <n v="3"/>
    <n v="69485.69"/>
    <n v="2"/>
    <n v="1"/>
    <n v="1"/>
    <n v="91069.46"/>
    <x v="0"/>
    <n v="-0.81841225486271441"/>
    <n v="0.21624088573887265"/>
    <s v="Old person"/>
    <s v="Less Tenure Period"/>
    <x v="0"/>
  </r>
  <r>
    <n v="155"/>
    <s v="Moore"/>
    <n v="437"/>
    <s v="Spain"/>
    <s v="Male"/>
    <n v="23"/>
    <n v="9"/>
    <n v="118047.52"/>
    <n v="4"/>
    <n v="0"/>
    <n v="1"/>
    <n v="69509.759999999995"/>
    <x v="1"/>
    <n v="-0.14368468506293791"/>
    <n v="-0.3105993015082994"/>
    <s v="Youngsters"/>
    <s v="Large Tenure Period"/>
    <x v="0"/>
  </r>
  <r>
    <n v="417"/>
    <s v="Moore"/>
    <n v="440"/>
    <s v="France"/>
    <s v="Male"/>
    <n v="29"/>
    <n v="2"/>
    <n v="38378.400000000001"/>
    <n v="2"/>
    <n v="0"/>
    <n v="0"/>
    <n v="148498.85"/>
    <x v="1"/>
    <n v="-1.2506230299664713"/>
    <n v="1.6196050596879932"/>
    <s v="Youngsters"/>
    <s v="Less Tenure Period"/>
    <x v="0"/>
  </r>
  <r>
    <n v="213"/>
    <s v="Wilson"/>
    <n v="440"/>
    <s v="Germany"/>
    <s v="Male"/>
    <n v="79"/>
    <n v="10"/>
    <n v="201052.55"/>
    <n v="2"/>
    <n v="0"/>
    <n v="0"/>
    <n v="145868.74"/>
    <x v="0"/>
    <n v="1.0096034462339576"/>
    <n v="1.555334794105417"/>
    <s v="Senior Citizens"/>
    <s v="Large Tenure Period"/>
    <x v="0"/>
  </r>
  <r>
    <n v="61"/>
    <s v="Moore"/>
    <n v="442"/>
    <s v="France"/>
    <s v="Female"/>
    <n v="61"/>
    <n v="1"/>
    <n v="89085.68"/>
    <n v="1"/>
    <n v="1"/>
    <n v="1"/>
    <n v="33012.78"/>
    <x v="0"/>
    <n v="-0.54608615799198457"/>
    <n v="-1.2024519607362238"/>
    <s v="Old person"/>
    <s v="Less Tenure Period"/>
    <x v="0"/>
  </r>
  <r>
    <n v="316"/>
    <s v="Wilson"/>
    <n v="442"/>
    <s v="France"/>
    <s v="Female"/>
    <n v="73"/>
    <n v="4"/>
    <n v="232599.36"/>
    <n v="3"/>
    <n v="0"/>
    <n v="1"/>
    <n v="103203.97"/>
    <x v="0"/>
    <n v="1.4479209982338572"/>
    <n v="0.51276391345042127"/>
    <s v="Senior Citizens"/>
    <s v="More Tenure Period"/>
    <x v="0"/>
  </r>
  <r>
    <n v="24"/>
    <s v="Taylor"/>
    <n v="443"/>
    <s v="France"/>
    <s v="Female"/>
    <n v="70"/>
    <n v="0"/>
    <n v="116986.77"/>
    <n v="2"/>
    <n v="0"/>
    <n v="0"/>
    <n v="16197.08"/>
    <x v="0"/>
    <n v="-0.15842295315672913"/>
    <n v="-1.613366144917463"/>
    <s v="Old person"/>
    <s v="No Tenure Period"/>
    <x v="0"/>
  </r>
  <r>
    <n v="460"/>
    <s v="Jones"/>
    <n v="443"/>
    <s v="Spain"/>
    <s v="Female"/>
    <n v="34"/>
    <n v="1"/>
    <n v="234557.34"/>
    <n v="2"/>
    <n v="0"/>
    <n v="1"/>
    <n v="148617.01"/>
    <x v="1"/>
    <n v="1.4751255555398026"/>
    <n v="1.6224924577744753"/>
    <s v="Adults"/>
    <s v="Less Tenure Period"/>
    <x v="0"/>
  </r>
  <r>
    <n v="341"/>
    <s v="Wilson"/>
    <n v="443"/>
    <s v="Germany"/>
    <s v="Male"/>
    <n v="91"/>
    <n v="8"/>
    <n v="245454.02"/>
    <n v="4"/>
    <n v="0"/>
    <n v="0"/>
    <n v="49422.5"/>
    <x v="1"/>
    <n v="1.6265261599916081"/>
    <n v="-0.80145844239071529"/>
    <s v="Senior Citizens"/>
    <s v="Large Tenure Period"/>
    <x v="0"/>
  </r>
  <r>
    <n v="472"/>
    <s v="Brown"/>
    <n v="444"/>
    <s v="France"/>
    <s v="Female"/>
    <n v="24"/>
    <n v="9"/>
    <n v="80969.13"/>
    <n v="1"/>
    <n v="1"/>
    <n v="0"/>
    <n v="80855.009999999995"/>
    <x v="1"/>
    <n v="-0.65885909213920191"/>
    <n v="-3.3362900520995518E-2"/>
    <s v="Youngsters"/>
    <s v="Large Tenure Period"/>
    <x v="0"/>
  </r>
  <r>
    <n v="333"/>
    <s v="Smith"/>
    <n v="445"/>
    <s v="France"/>
    <s v="Female"/>
    <n v="89"/>
    <n v="10"/>
    <n v="239257.96"/>
    <n v="4"/>
    <n v="0"/>
    <n v="0"/>
    <n v="75002.11"/>
    <x v="0"/>
    <n v="1.5404368897533653"/>
    <n v="-0.17638636244017661"/>
    <s v="Senior Citizens"/>
    <s v="Large Tenure Period"/>
    <x v="0"/>
  </r>
  <r>
    <n v="226"/>
    <s v="Davis"/>
    <n v="449"/>
    <s v="Spain"/>
    <s v="Male"/>
    <n v="71"/>
    <n v="9"/>
    <n v="190983.34"/>
    <n v="3"/>
    <n v="0"/>
    <n v="1"/>
    <n v="94496.24"/>
    <x v="0"/>
    <n v="0.8696998719019442"/>
    <n v="0.29997885133463059"/>
    <s v="Senior Citizens"/>
    <s v="Large Tenure Period"/>
    <x v="0"/>
  </r>
  <r>
    <n v="19"/>
    <s v="Moore"/>
    <n v="450"/>
    <s v="Germany"/>
    <s v="Female"/>
    <n v="78"/>
    <n v="1"/>
    <n v="224549.07"/>
    <n v="4"/>
    <n v="0"/>
    <n v="1"/>
    <n v="144262.57"/>
    <x v="1"/>
    <n v="1.3360686934940353"/>
    <n v="1.5160858758203397"/>
    <s v="Senior Citizens"/>
    <s v="Less Tenure Period"/>
    <x v="0"/>
  </r>
  <r>
    <n v="438"/>
    <s v="Brown"/>
    <n v="450"/>
    <s v="Spain"/>
    <s v="Female"/>
    <n v="34"/>
    <n v="2"/>
    <n v="32148.54"/>
    <n v="2"/>
    <n v="0"/>
    <n v="1"/>
    <n v="99026.41"/>
    <x v="0"/>
    <n v="-1.3371819240195342"/>
    <n v="0.41067963154314552"/>
    <s v="Adults"/>
    <s v="Less Tenure Period"/>
    <x v="0"/>
  </r>
  <r>
    <n v="321"/>
    <s v="Taylor"/>
    <n v="450"/>
    <s v="Germany"/>
    <s v="Male"/>
    <n v="83"/>
    <n v="6"/>
    <n v="188229.59"/>
    <n v="2"/>
    <n v="0"/>
    <n v="0"/>
    <n v="129283.37"/>
    <x v="1"/>
    <n v="0.83143873048004691"/>
    <n v="1.1500490324128321"/>
    <s v="Senior Citizens"/>
    <s v="More Tenure Period"/>
    <x v="0"/>
  </r>
  <r>
    <n v="212"/>
    <s v="Taylor"/>
    <n v="450"/>
    <s v="France"/>
    <s v="Male"/>
    <n v="62"/>
    <n v="6"/>
    <n v="167423.71"/>
    <n v="4"/>
    <n v="0"/>
    <n v="1"/>
    <n v="61220.89"/>
    <x v="1"/>
    <n v="0.54235776195094132"/>
    <n v="-0.51314895771258162"/>
    <s v="Old person"/>
    <s v="More Tenure Period"/>
    <x v="0"/>
  </r>
  <r>
    <n v="495"/>
    <s v="Smith"/>
    <n v="451"/>
    <s v="Germany"/>
    <s v="Male"/>
    <n v="62"/>
    <n v="7"/>
    <n v="38075.550000000003"/>
    <n v="2"/>
    <n v="0"/>
    <n v="1"/>
    <n v="11580.61"/>
    <x v="0"/>
    <n v="-1.2548308871356486"/>
    <n v="-1.7261757813790535"/>
    <s v="Old person"/>
    <s v="More Tenure Period"/>
    <x v="0"/>
  </r>
  <r>
    <n v="430"/>
    <s v="Jones"/>
    <n v="451"/>
    <s v="Germany"/>
    <s v="Male"/>
    <n v="76"/>
    <n v="10"/>
    <n v="1978.31"/>
    <n v="2"/>
    <n v="1"/>
    <n v="0"/>
    <n v="19915.18"/>
    <x v="1"/>
    <n v="-1.756373004096218"/>
    <n v="-1.5225093843779514"/>
    <s v="Senior Citizens"/>
    <s v="Large Tenure Period"/>
    <x v="0"/>
  </r>
  <r>
    <n v="284"/>
    <s v="Jones"/>
    <n v="452"/>
    <s v="France"/>
    <s v="Male"/>
    <n v="29"/>
    <n v="1"/>
    <n v="28385.09"/>
    <n v="3"/>
    <n v="0"/>
    <n v="1"/>
    <n v="70010.28"/>
    <x v="0"/>
    <n v="-1.3894720348444962"/>
    <n v="-0.29836842396728741"/>
    <s v="Youngsters"/>
    <s v="Less Tenure Period"/>
    <x v="0"/>
  </r>
  <r>
    <n v="203"/>
    <s v="Davis"/>
    <n v="452"/>
    <s v="Spain"/>
    <s v="Male"/>
    <n v="20"/>
    <n v="2"/>
    <n v="240624.04"/>
    <n v="3"/>
    <n v="0"/>
    <n v="0"/>
    <n v="16236.92"/>
    <x v="1"/>
    <n v="1.5594174726216816"/>
    <n v="-1.6123926010805856"/>
    <s v="Youngsters"/>
    <s v="Less Tenure Period"/>
    <x v="0"/>
  </r>
  <r>
    <n v="63"/>
    <s v="Johnson"/>
    <n v="452"/>
    <s v="Spain"/>
    <s v="Female"/>
    <n v="65"/>
    <n v="5"/>
    <n v="145317.32"/>
    <n v="3"/>
    <n v="0"/>
    <n v="0"/>
    <n v="60885.4"/>
    <x v="1"/>
    <n v="0.23520725296587905"/>
    <n v="-0.52134710585098576"/>
    <s v="Old person"/>
    <s v="More Tenure Period"/>
    <x v="0"/>
  </r>
  <r>
    <n v="218"/>
    <s v="Wilson"/>
    <n v="454"/>
    <s v="France"/>
    <s v="Male"/>
    <n v="77"/>
    <n v="1"/>
    <n v="183306.47"/>
    <n v="1"/>
    <n v="1"/>
    <n v="1"/>
    <n v="134198.82999999999"/>
    <x v="1"/>
    <n v="0.76303593772218192"/>
    <n v="1.270164890555848"/>
    <s v="Senior Citizens"/>
    <s v="Less Tenure Period"/>
    <x v="0"/>
  </r>
  <r>
    <n v="318"/>
    <s v="Johnson"/>
    <n v="455"/>
    <s v="France"/>
    <s v="Male"/>
    <n v="56"/>
    <n v="2"/>
    <n v="184265.11"/>
    <n v="1"/>
    <n v="1"/>
    <n v="0"/>
    <n v="106046.27"/>
    <x v="1"/>
    <n v="0.77635546949256307"/>
    <n v="0.58221932629070372"/>
    <s v="Old person"/>
    <s v="Less Tenure Period"/>
    <x v="0"/>
  </r>
  <r>
    <n v="215"/>
    <s v="Williams"/>
    <n v="455"/>
    <s v="Spain"/>
    <s v="Male"/>
    <n v="35"/>
    <n v="9"/>
    <n v="116072.5"/>
    <n v="4"/>
    <n v="0"/>
    <n v="0"/>
    <n v="19713.43"/>
    <x v="0"/>
    <n v="-0.1711259994636917"/>
    <n v="-1.5274394162326208"/>
    <s v="Adults"/>
    <s v="Large Tenure Period"/>
    <x v="0"/>
  </r>
  <r>
    <n v="268"/>
    <s v="Johnson"/>
    <n v="455"/>
    <s v="Germany"/>
    <s v="Female"/>
    <n v="23"/>
    <n v="9"/>
    <n v="63959.82"/>
    <n v="4"/>
    <n v="0"/>
    <n v="1"/>
    <n v="124481.95"/>
    <x v="0"/>
    <n v="-0.89518977408160483"/>
    <n v="1.0327198946301952"/>
    <s v="Youngsters"/>
    <s v="Large Tenure Period"/>
    <x v="0"/>
  </r>
  <r>
    <n v="67"/>
    <s v="Jones"/>
    <n v="459"/>
    <s v="Spain"/>
    <s v="Male"/>
    <n v="60"/>
    <n v="10"/>
    <n v="179198.75"/>
    <n v="2"/>
    <n v="1"/>
    <n v="1"/>
    <n v="48970.879999999997"/>
    <x v="1"/>
    <n v="0.70596247214195285"/>
    <n v="-0.81249438284278874"/>
    <s v="Old person"/>
    <s v="Large Tenure Period"/>
    <x v="0"/>
  </r>
  <r>
    <n v="178"/>
    <s v="Miller"/>
    <n v="459"/>
    <s v="Spain"/>
    <s v="Male"/>
    <n v="57"/>
    <n v="10"/>
    <n v="170945.73"/>
    <n v="3"/>
    <n v="0"/>
    <n v="0"/>
    <n v="77687.86"/>
    <x v="0"/>
    <n v="0.59129339710691098"/>
    <n v="-0.11075645882838742"/>
    <s v="Old person"/>
    <s v="Large Tenure Period"/>
    <x v="0"/>
  </r>
  <r>
    <n v="163"/>
    <s v="Davis"/>
    <n v="460"/>
    <s v="France"/>
    <s v="Male"/>
    <n v="60"/>
    <n v="3"/>
    <n v="163732.6"/>
    <n v="1"/>
    <n v="1"/>
    <n v="0"/>
    <n v="66914.649999999994"/>
    <x v="0"/>
    <n v="0.49107275724325955"/>
    <n v="-0.37401429514582718"/>
    <s v="Old person"/>
    <s v="Less Tenure Period"/>
    <x v="0"/>
  </r>
  <r>
    <n v="36"/>
    <s v="Jones"/>
    <n v="462"/>
    <s v="Germany"/>
    <s v="Male"/>
    <n v="69"/>
    <n v="2"/>
    <n v="9295.2900000000009"/>
    <n v="3"/>
    <n v="0"/>
    <n v="0"/>
    <n v="39491.230000000003"/>
    <x v="1"/>
    <n v="-1.6547094520086305"/>
    <n v="-1.0441423455249061"/>
    <s v="Old person"/>
    <s v="Less Tenure Period"/>
    <x v="0"/>
  </r>
  <r>
    <n v="425"/>
    <s v="Moore"/>
    <n v="462"/>
    <s v="France"/>
    <s v="Male"/>
    <n v="26"/>
    <n v="9"/>
    <n v="190443.29"/>
    <n v="4"/>
    <n v="1"/>
    <n v="0"/>
    <n v="77215.990000000005"/>
    <x v="1"/>
    <n v="0.86219631151160558"/>
    <n v="-0.12228723519152422"/>
    <s v="Youngsters"/>
    <s v="Large Tenure Period"/>
    <x v="0"/>
  </r>
  <r>
    <n v="332"/>
    <s v="Davis"/>
    <n v="463"/>
    <s v="France"/>
    <s v="Female"/>
    <n v="70"/>
    <n v="8"/>
    <n v="100036.16"/>
    <n v="1"/>
    <n v="0"/>
    <n v="0"/>
    <n v="27387.77"/>
    <x v="1"/>
    <n v="-0.39393804581126435"/>
    <n v="-1.3399066248394911"/>
    <s v="Old person"/>
    <s v="Large Tenure Period"/>
    <x v="0"/>
  </r>
  <r>
    <n v="25"/>
    <s v="Brown"/>
    <n v="464"/>
    <s v="Spain"/>
    <s v="Female"/>
    <n v="81"/>
    <n v="0"/>
    <n v="242071.38"/>
    <n v="2"/>
    <n v="0"/>
    <n v="0"/>
    <n v="129312.08"/>
    <x v="0"/>
    <n v="1.5795270978329641"/>
    <n v="1.1507505997711844"/>
    <s v="Senior Citizens"/>
    <s v="No Tenure Period"/>
    <x v="0"/>
  </r>
  <r>
    <n v="13"/>
    <s v="Moore"/>
    <n v="464"/>
    <s v="Spain"/>
    <s v="Female"/>
    <n v="37"/>
    <n v="2"/>
    <n v="58317.75"/>
    <n v="3"/>
    <n v="0"/>
    <n v="0"/>
    <n v="13740.96"/>
    <x v="0"/>
    <n v="-0.97358179884138474"/>
    <n v="-1.6733847314794992"/>
    <s v="Adults"/>
    <s v="Less Tenure Period"/>
    <x v="0"/>
  </r>
  <r>
    <n v="411"/>
    <s v="Jones"/>
    <n v="464"/>
    <s v="Spain"/>
    <s v="Female"/>
    <n v="68"/>
    <n v="7"/>
    <n v="162045.57"/>
    <n v="1"/>
    <n v="0"/>
    <n v="0"/>
    <n v="87532.67"/>
    <x v="1"/>
    <n v="0.46763283226351071"/>
    <n v="0.12981467823812223"/>
    <s v="Old person"/>
    <s v="More Tenure Period"/>
    <x v="0"/>
  </r>
  <r>
    <n v="58"/>
    <s v="Johnson"/>
    <n v="465"/>
    <s v="Germany"/>
    <s v="Male"/>
    <n v="18"/>
    <n v="0"/>
    <n v="55329.78"/>
    <n v="1"/>
    <n v="0"/>
    <n v="0"/>
    <n v="130050.9"/>
    <x v="1"/>
    <n v="-1.0150972387812436"/>
    <n v="1.1688046574409086"/>
    <s v="Youngsters"/>
    <s v="No Tenure Period"/>
    <x v="0"/>
  </r>
  <r>
    <n v="154"/>
    <s v="Taylor"/>
    <n v="465"/>
    <s v="France"/>
    <s v="Female"/>
    <n v="26"/>
    <n v="1"/>
    <n v="197384.58"/>
    <n v="3"/>
    <n v="0"/>
    <n v="0"/>
    <n v="73040.67"/>
    <x v="1"/>
    <n v="0.95863995321488316"/>
    <n v="-0.22431677969431715"/>
    <s v="Youngsters"/>
    <s v="Less Tenure Period"/>
    <x v="0"/>
  </r>
  <r>
    <n v="297"/>
    <s v="Wilson"/>
    <n v="465"/>
    <s v="France"/>
    <s v="Male"/>
    <n v="81"/>
    <n v="8"/>
    <n v="124862.63"/>
    <n v="4"/>
    <n v="1"/>
    <n v="1"/>
    <n v="141751.96"/>
    <x v="0"/>
    <n v="-4.8994212973682748E-2"/>
    <n v="1.4547357530215703"/>
    <s v="Senior Citizens"/>
    <s v="Large Tenure Period"/>
    <x v="0"/>
  </r>
  <r>
    <n v="300"/>
    <s v="Taylor"/>
    <n v="466"/>
    <s v="Spain"/>
    <s v="Female"/>
    <n v="91"/>
    <n v="5"/>
    <n v="58953.35"/>
    <n v="4"/>
    <n v="1"/>
    <n v="0"/>
    <n v="140486.14000000001"/>
    <x v="1"/>
    <n v="-0.96475064805145916"/>
    <n v="1.4238037434935524"/>
    <s v="Senior Citizens"/>
    <s v="More Tenure Period"/>
    <x v="0"/>
  </r>
  <r>
    <n v="175"/>
    <s v="Taylor"/>
    <n v="466"/>
    <s v="Germany"/>
    <s v="Female"/>
    <n v="55"/>
    <n v="7"/>
    <n v="109273.56"/>
    <n v="3"/>
    <n v="1"/>
    <n v="0"/>
    <n v="114104.65"/>
    <x v="1"/>
    <n v="-0.26559180240840141"/>
    <n v="0.77913665019172551"/>
    <s v="Old person"/>
    <s v="More Tenure Period"/>
    <x v="0"/>
  </r>
  <r>
    <n v="377"/>
    <s v="Wilson"/>
    <n v="466"/>
    <s v="Spain"/>
    <s v="Female"/>
    <n v="90"/>
    <n v="8"/>
    <n v="3890.93"/>
    <n v="2"/>
    <n v="0"/>
    <n v="1"/>
    <n v="112863.73"/>
    <x v="1"/>
    <n v="-1.7297986875074394"/>
    <n v="0.74881310556175573"/>
    <s v="Senior Citizens"/>
    <s v="Large Tenure Period"/>
    <x v="0"/>
  </r>
  <r>
    <n v="149"/>
    <s v="Jones"/>
    <n v="468"/>
    <s v="France"/>
    <s v="Female"/>
    <n v="63"/>
    <n v="0"/>
    <n v="99986.47"/>
    <n v="4"/>
    <n v="1"/>
    <n v="1"/>
    <n v="106009.52"/>
    <x v="1"/>
    <n v="-0.39462844839583239"/>
    <n v="0.58132129074840333"/>
    <s v="Old person"/>
    <s v="No Tenure Period"/>
    <x v="0"/>
  </r>
  <r>
    <n v="273"/>
    <s v="Williams"/>
    <n v="468"/>
    <s v="France"/>
    <s v="Male"/>
    <n v="50"/>
    <n v="4"/>
    <n v="36270.720000000001"/>
    <n v="4"/>
    <n v="0"/>
    <n v="0"/>
    <n v="48088.94"/>
    <x v="1"/>
    <n v="-1.2799075483694147"/>
    <n v="-0.83404576967752053"/>
    <s v="Adults"/>
    <s v="More Tenure Period"/>
    <x v="0"/>
  </r>
  <r>
    <n v="264"/>
    <s v="Miller"/>
    <n v="468"/>
    <s v="France"/>
    <s v="Female"/>
    <n v="85"/>
    <n v="7"/>
    <n v="101290.26"/>
    <n v="1"/>
    <n v="1"/>
    <n v="1"/>
    <n v="37047.949999999997"/>
    <x v="0"/>
    <n v="-0.37651333497796391"/>
    <n v="-1.103847169464816"/>
    <s v="Senior Citizens"/>
    <s v="More Tenure Period"/>
    <x v="0"/>
  </r>
  <r>
    <n v="89"/>
    <s v="Smith"/>
    <n v="469"/>
    <s v="France"/>
    <s v="Male"/>
    <n v="68"/>
    <n v="9"/>
    <n v="19196.560000000001"/>
    <n v="3"/>
    <n v="1"/>
    <n v="0"/>
    <n v="133731.54999999999"/>
    <x v="1"/>
    <n v="-1.517139268903269"/>
    <n v="1.2587462769992188"/>
    <s v="Old person"/>
    <s v="Large Tenure Period"/>
    <x v="0"/>
  </r>
  <r>
    <n v="40"/>
    <s v="Johnson"/>
    <n v="470"/>
    <s v="France"/>
    <s v="Female"/>
    <n v="87"/>
    <n v="5"/>
    <n v="207759.1"/>
    <n v="4"/>
    <n v="0"/>
    <n v="0"/>
    <n v="23908.03"/>
    <x v="0"/>
    <n v="1.1027855644375077"/>
    <n v="-1.4249387390698132"/>
    <s v="Senior Citizens"/>
    <s v="More Tenure Period"/>
    <x v="0"/>
  </r>
  <r>
    <n v="311"/>
    <s v="Davis"/>
    <n v="470"/>
    <s v="France"/>
    <s v="Male"/>
    <n v="89"/>
    <n v="6"/>
    <n v="113690.36"/>
    <n v="4"/>
    <n v="0"/>
    <n v="1"/>
    <n v="87583.039999999994"/>
    <x v="1"/>
    <n v="-0.20422391881975466"/>
    <n v="0.13104553674875261"/>
    <s v="Senior Citizens"/>
    <s v="More Tenure Period"/>
    <x v="0"/>
  </r>
  <r>
    <n v="454"/>
    <s v="Moore"/>
    <n v="473"/>
    <s v="Germany"/>
    <s v="Male"/>
    <n v="31"/>
    <n v="4"/>
    <n v="148788.01"/>
    <n v="2"/>
    <n v="1"/>
    <n v="1"/>
    <n v="13370.94"/>
    <x v="1"/>
    <n v="0.2834296990563247"/>
    <n v="-1.6824266664825462"/>
    <s v="Adults"/>
    <s v="More Tenure Period"/>
    <x v="0"/>
  </r>
  <r>
    <n v="240"/>
    <s v="Moore"/>
    <n v="473"/>
    <s v="France"/>
    <s v="Female"/>
    <n v="90"/>
    <n v="6"/>
    <n v="56926.6"/>
    <n v="3"/>
    <n v="0"/>
    <n v="0"/>
    <n v="52021.75"/>
    <x v="1"/>
    <n v="-0.99291070919601854"/>
    <n v="-0.73794228230025893"/>
    <s v="Senior Citizens"/>
    <s v="More Tenure Period"/>
    <x v="0"/>
  </r>
  <r>
    <n v="156"/>
    <s v="Smith"/>
    <n v="474"/>
    <s v="Germany"/>
    <s v="Female"/>
    <n v="28"/>
    <n v="5"/>
    <n v="209434.77"/>
    <n v="2"/>
    <n v="0"/>
    <n v="0"/>
    <n v="42983.99"/>
    <x v="0"/>
    <n v="1.1260676513540506"/>
    <n v="-0.95879207013102652"/>
    <s v="Youngsters"/>
    <s v="More Tenure Period"/>
    <x v="0"/>
  </r>
  <r>
    <n v="115"/>
    <s v="Jones"/>
    <n v="475"/>
    <s v="Spain"/>
    <s v="Female"/>
    <n v="78"/>
    <n v="5"/>
    <n v="5741.56"/>
    <n v="3"/>
    <n v="0"/>
    <n v="1"/>
    <n v="136090.56"/>
    <x v="0"/>
    <n v="-1.7040856721103967"/>
    <n v="1.3163918504588661"/>
    <s v="Senior Citizens"/>
    <s v="More Tenure Period"/>
    <x v="0"/>
  </r>
  <r>
    <n v="34"/>
    <s v="Johnson"/>
    <n v="475"/>
    <s v="Spain"/>
    <s v="Male"/>
    <n v="72"/>
    <n v="6"/>
    <n v="72899.17"/>
    <n v="1"/>
    <n v="0"/>
    <n v="0"/>
    <n v="90761.77"/>
    <x v="0"/>
    <n v="-0.77098469570853634"/>
    <n v="0.20872206788824932"/>
    <s v="Senior Citizens"/>
    <s v="More Tenure Period"/>
    <x v="0"/>
  </r>
  <r>
    <n v="351"/>
    <s v="Jones"/>
    <n v="477"/>
    <s v="Germany"/>
    <s v="Male"/>
    <n v="80"/>
    <n v="7"/>
    <n v="69980.850000000006"/>
    <n v="4"/>
    <n v="1"/>
    <n v="0"/>
    <n v="112678.04"/>
    <x v="0"/>
    <n v="-0.81153240491756073"/>
    <n v="0.74427552134815678"/>
    <s v="Senior Citizens"/>
    <s v="More Tenure Period"/>
    <x v="0"/>
  </r>
  <r>
    <n v="144"/>
    <s v="Jones"/>
    <n v="477"/>
    <s v="France"/>
    <s v="Male"/>
    <n v="83"/>
    <n v="9"/>
    <n v="113849.92"/>
    <n v="1"/>
    <n v="1"/>
    <n v="1"/>
    <n v="122175.46"/>
    <x v="1"/>
    <n v="-0.20200696095310816"/>
    <n v="0.97635771781494629"/>
    <s v="Senior Citizens"/>
    <s v="Large Tenure Period"/>
    <x v="0"/>
  </r>
  <r>
    <n v="265"/>
    <s v="Wilson"/>
    <n v="478"/>
    <s v="France"/>
    <s v="Male"/>
    <n v="74"/>
    <n v="2"/>
    <n v="50125.4"/>
    <n v="4"/>
    <n v="1"/>
    <n v="1"/>
    <n v="14640.19"/>
    <x v="1"/>
    <n v="-1.0874079130230208"/>
    <n v="-1.6514108403039132"/>
    <s v="Senior Citizens"/>
    <s v="Less Tenure Period"/>
    <x v="0"/>
  </r>
  <r>
    <n v="171"/>
    <s v="Davis"/>
    <n v="481"/>
    <s v="Germany"/>
    <s v="Female"/>
    <n v="51"/>
    <n v="2"/>
    <n v="139747.91"/>
    <n v="4"/>
    <n v="1"/>
    <n v="1"/>
    <n v="88266.73"/>
    <x v="0"/>
    <n v="0.15782478046600465"/>
    <n v="0.14775241892331997"/>
    <s v="Old person"/>
    <s v="Less Tenure Period"/>
    <x v="0"/>
  </r>
  <r>
    <n v="370"/>
    <s v="Johnson"/>
    <n v="481"/>
    <s v="Germany"/>
    <s v="Female"/>
    <n v="35"/>
    <n v="7"/>
    <n v="121359.53"/>
    <n v="3"/>
    <n v="0"/>
    <n v="0"/>
    <n v="50215.32"/>
    <x v="1"/>
    <n v="-9.7666969946918744E-2"/>
    <n v="-0.78208482229148835"/>
    <s v="Adults"/>
    <s v="More Tenure Period"/>
    <x v="0"/>
  </r>
  <r>
    <n v="126"/>
    <s v="Williams"/>
    <n v="481"/>
    <s v="Spain"/>
    <s v="Male"/>
    <n v="34"/>
    <n v="8"/>
    <n v="43863.71"/>
    <n v="2"/>
    <n v="0"/>
    <n v="0"/>
    <n v="23962.59"/>
    <x v="0"/>
    <n v="-1.1744090593253649"/>
    <n v="-1.4236054922891899"/>
    <s v="Adults"/>
    <s v="Large Tenure Period"/>
    <x v="0"/>
  </r>
  <r>
    <n v="104"/>
    <s v="Smith"/>
    <n v="483"/>
    <s v="Germany"/>
    <s v="Female"/>
    <n v="40"/>
    <n v="9"/>
    <n v="199427.98"/>
    <n v="4"/>
    <n v="1"/>
    <n v="1"/>
    <n v="128540.03"/>
    <x v="1"/>
    <n v="0.98703135271792652"/>
    <n v="1.1318845224804903"/>
    <s v="Adults"/>
    <s v="Large Tenure Period"/>
    <x v="0"/>
  </r>
  <r>
    <n v="492"/>
    <s v="Williams"/>
    <n v="484"/>
    <s v="Spain"/>
    <s v="Female"/>
    <n v="18"/>
    <n v="1"/>
    <n v="49654.19"/>
    <n v="3"/>
    <n v="0"/>
    <n v="1"/>
    <n v="81684.84"/>
    <x v="1"/>
    <n v="-1.093954996981046"/>
    <n v="-1.308489143073353E-2"/>
    <s v="Youngsters"/>
    <s v="Less Tenure Period"/>
    <x v="0"/>
  </r>
  <r>
    <n v="361"/>
    <s v="Wilson"/>
    <n v="485"/>
    <s v="Spain"/>
    <s v="Female"/>
    <n v="44"/>
    <n v="8"/>
    <n v="45468.26"/>
    <n v="2"/>
    <n v="1"/>
    <n v="1"/>
    <n v="132665.07999999999"/>
    <x v="0"/>
    <n v="-1.1521151276073422"/>
    <n v="1.232685652106781"/>
    <s v="Adults"/>
    <s v="Large Tenure Period"/>
    <x v="0"/>
  </r>
  <r>
    <n v="139"/>
    <s v="Jones"/>
    <n v="485"/>
    <s v="Spain"/>
    <s v="Female"/>
    <n v="45"/>
    <n v="10"/>
    <n v="134925.82999999999"/>
    <n v="1"/>
    <n v="1"/>
    <n v="0"/>
    <n v="103143.51"/>
    <x v="1"/>
    <n v="9.0825857242145161E-2"/>
    <n v="0.51128649225620393"/>
    <s v="Adults"/>
    <s v="Large Tenure Period"/>
    <x v="0"/>
  </r>
  <r>
    <n v="250"/>
    <s v="Johnson"/>
    <n v="488"/>
    <s v="France"/>
    <s v="Female"/>
    <n v="29"/>
    <n v="2"/>
    <n v="218420.19"/>
    <n v="1"/>
    <n v="1"/>
    <n v="0"/>
    <n v="122291.38"/>
    <x v="0"/>
    <n v="1.2509128353232362"/>
    <n v="0.97919037849694512"/>
    <s v="Youngsters"/>
    <s v="Less Tenure Period"/>
    <x v="0"/>
  </r>
  <r>
    <n v="109"/>
    <s v="Williams"/>
    <n v="488"/>
    <s v="Germany"/>
    <s v="Male"/>
    <n v="59"/>
    <n v="3"/>
    <n v="122455.34"/>
    <n v="4"/>
    <n v="0"/>
    <n v="1"/>
    <n v="21425.94"/>
    <x v="1"/>
    <n v="-8.244157135171977E-2"/>
    <n v="-1.4855919374150746"/>
    <s v="Old person"/>
    <s v="Less Tenure Period"/>
    <x v="0"/>
  </r>
  <r>
    <n v="35"/>
    <s v="Jones"/>
    <n v="488"/>
    <s v="France"/>
    <s v="Female"/>
    <n v="91"/>
    <n v="8"/>
    <n v="200786.02"/>
    <n v="1"/>
    <n v="0"/>
    <n v="0"/>
    <n v="128936.13"/>
    <x v="1"/>
    <n v="1.0059002262527763"/>
    <n v="1.1415637572643049"/>
    <s v="Senior Citizens"/>
    <s v="Large Tenure Period"/>
    <x v="0"/>
  </r>
  <r>
    <n v="271"/>
    <s v="Taylor"/>
    <n v="490"/>
    <s v="Spain"/>
    <s v="Female"/>
    <n v="86"/>
    <n v="3"/>
    <n v="174710.86"/>
    <n v="3"/>
    <n v="1"/>
    <n v="1"/>
    <n v="72099.13"/>
    <x v="1"/>
    <n v="0.64360685018065666"/>
    <n v="-0.24732457246975925"/>
    <s v="Senior Citizens"/>
    <s v="Less Tenure Period"/>
    <x v="0"/>
  </r>
  <r>
    <n v="327"/>
    <s v="Wilson"/>
    <n v="493"/>
    <s v="Spain"/>
    <s v="Male"/>
    <n v="29"/>
    <n v="8"/>
    <n v="190645.09"/>
    <n v="1"/>
    <n v="1"/>
    <n v="1"/>
    <n v="46765.52"/>
    <x v="1"/>
    <n v="0.86500016020481962"/>
    <n v="-0.86638531246367512"/>
    <s v="Youngsters"/>
    <s v="Large Tenure Period"/>
    <x v="0"/>
  </r>
  <r>
    <n v="373"/>
    <s v="Wilson"/>
    <n v="494"/>
    <s v="Spain"/>
    <s v="Female"/>
    <n v="35"/>
    <n v="5"/>
    <n v="60811.89"/>
    <n v="1"/>
    <n v="1"/>
    <n v="0"/>
    <n v="135514.51"/>
    <x v="0"/>
    <n v="-0.93892772956639214"/>
    <n v="1.3023152960604407"/>
    <s v="Adults"/>
    <s v="More Tenure Period"/>
    <x v="0"/>
  </r>
  <r>
    <n v="384"/>
    <s v="Taylor"/>
    <n v="495"/>
    <s v="Germany"/>
    <s v="Male"/>
    <n v="55"/>
    <n v="8"/>
    <n v="174803.79"/>
    <n v="1"/>
    <n v="1"/>
    <n v="1"/>
    <n v="82707.83"/>
    <x v="1"/>
    <n v="0.64489803778749744"/>
    <n v="1.1913241342541934E-2"/>
    <s v="Old person"/>
    <s v="Large Tenure Period"/>
    <x v="0"/>
  </r>
  <r>
    <n v="243"/>
    <s v="Smith"/>
    <n v="496"/>
    <s v="Germany"/>
    <s v="Male"/>
    <n v="36"/>
    <n v="3"/>
    <n v="183880.09"/>
    <n v="3"/>
    <n v="1"/>
    <n v="1"/>
    <n v="116196.88"/>
    <x v="0"/>
    <n v="0.77100592626232844"/>
    <n v="0.83026309652280417"/>
    <s v="Adults"/>
    <s v="Less Tenure Period"/>
    <x v="0"/>
  </r>
  <r>
    <n v="168"/>
    <s v="Brown"/>
    <n v="496"/>
    <s v="Germany"/>
    <s v="Female"/>
    <n v="63"/>
    <n v="6"/>
    <n v="145172.32"/>
    <n v="3"/>
    <n v="0"/>
    <n v="0"/>
    <n v="139690.22"/>
    <x v="1"/>
    <n v="0.23319259458869335"/>
    <n v="1.4043543707363353"/>
    <s v="Old person"/>
    <s v="More Tenure Period"/>
    <x v="0"/>
  </r>
  <r>
    <n v="55"/>
    <s v="Miller"/>
    <n v="498"/>
    <s v="France"/>
    <s v="Male"/>
    <n v="33"/>
    <n v="6"/>
    <n v="146361.20000000001"/>
    <n v="4"/>
    <n v="0"/>
    <n v="1"/>
    <n v="56949.24"/>
    <x v="0"/>
    <n v="0.24971112597813155"/>
    <n v="-0.61753245497155929"/>
    <s v="Adults"/>
    <s v="More Tenure Period"/>
    <x v="0"/>
  </r>
  <r>
    <n v="451"/>
    <s v="Wilson"/>
    <n v="498"/>
    <s v="Spain"/>
    <s v="Female"/>
    <n v="54"/>
    <n v="9"/>
    <n v="26944.7"/>
    <n v="4"/>
    <n v="0"/>
    <n v="0"/>
    <n v="88360.27"/>
    <x v="0"/>
    <n v="-1.4094850953956306"/>
    <n v="0.1500381942873141"/>
    <s v="Old person"/>
    <s v="Large Tenure Period"/>
    <x v="0"/>
  </r>
  <r>
    <n v="310"/>
    <s v="Moore"/>
    <n v="499"/>
    <s v="Spain"/>
    <s v="Female"/>
    <n v="85"/>
    <n v="10"/>
    <n v="203018.63"/>
    <n v="2"/>
    <n v="1"/>
    <n v="1"/>
    <n v="57175.83"/>
    <x v="1"/>
    <n v="1.0369205465251115"/>
    <n v="-0.61199542439931853"/>
    <s v="Senior Citizens"/>
    <s v="Large Tenure Period"/>
    <x v="0"/>
  </r>
  <r>
    <n v="446"/>
    <s v="Jones"/>
    <n v="500"/>
    <s v="Germany"/>
    <s v="Male"/>
    <n v="54"/>
    <n v="0"/>
    <n v="43219.63"/>
    <n v="1"/>
    <n v="0"/>
    <n v="1"/>
    <n v="148736.87"/>
    <x v="1"/>
    <n v="-1.1833580328948667"/>
    <n v="1.6254213976411449"/>
    <s v="Old person"/>
    <s v="No Tenure Period"/>
    <x v="0"/>
  </r>
  <r>
    <n v="346"/>
    <s v="Moore"/>
    <n v="500"/>
    <s v="France"/>
    <s v="Male"/>
    <n v="54"/>
    <n v="7"/>
    <n v="56107.72"/>
    <n v="3"/>
    <n v="1"/>
    <n v="0"/>
    <n v="15514.32"/>
    <x v="0"/>
    <n v="-1.0042883881747069"/>
    <n v="-1.6300503012946332"/>
    <s v="Old person"/>
    <s v="More Tenure Period"/>
    <x v="0"/>
  </r>
  <r>
    <n v="275"/>
    <s v="Taylor"/>
    <n v="501"/>
    <s v="France"/>
    <s v="Male"/>
    <n v="61"/>
    <n v="2"/>
    <n v="213218.12"/>
    <n v="1"/>
    <n v="1"/>
    <n v="0"/>
    <n v="140183.29"/>
    <x v="0"/>
    <n v="1.1786342566735368"/>
    <n v="1.4164031975347586"/>
    <s v="Old person"/>
    <s v="Less Tenure Period"/>
    <x v="0"/>
  </r>
  <r>
    <n v="125"/>
    <s v="Moore"/>
    <n v="502"/>
    <s v="Germany"/>
    <s v="Female"/>
    <n v="47"/>
    <n v="2"/>
    <n v="185255.98"/>
    <n v="3"/>
    <n v="0"/>
    <n v="1"/>
    <n v="48022.06"/>
    <x v="1"/>
    <n v="0.7901228111905082"/>
    <n v="-0.83568007218280094"/>
    <s v="Adults"/>
    <s v="Less Tenure Period"/>
    <x v="0"/>
  </r>
  <r>
    <n v="242"/>
    <s v="Brown"/>
    <n v="502"/>
    <s v="Germany"/>
    <s v="Female"/>
    <n v="90"/>
    <n v="6"/>
    <n v="242675.6"/>
    <n v="4"/>
    <n v="1"/>
    <n v="0"/>
    <n v="38576.97"/>
    <x v="1"/>
    <n v="1.5879222487616753"/>
    <n v="-1.0664835149100369"/>
    <s v="Senior Citizens"/>
    <s v="More Tenure Period"/>
    <x v="0"/>
  </r>
  <r>
    <n v="133"/>
    <s v="Jones"/>
    <n v="502"/>
    <s v="Germany"/>
    <s v="Male"/>
    <n v="85"/>
    <n v="10"/>
    <n v="157686.62"/>
    <n v="3"/>
    <n v="1"/>
    <n v="0"/>
    <n v="43499.67"/>
    <x v="0"/>
    <n v="0.40706872789638243"/>
    <n v="-0.9461907376561024"/>
    <s v="Senior Citizens"/>
    <s v="Large Tenure Period"/>
    <x v="0"/>
  </r>
  <r>
    <n v="87"/>
    <s v="Davis"/>
    <n v="503"/>
    <s v="Spain"/>
    <s v="Female"/>
    <n v="89"/>
    <n v="2"/>
    <n v="161781.32999999999"/>
    <n v="2"/>
    <n v="0"/>
    <n v="0"/>
    <n v="145603.81"/>
    <x v="1"/>
    <n v="0.46396142999049289"/>
    <n v="1.5488608742082297"/>
    <s v="Senior Citizens"/>
    <s v="Less Tenure Period"/>
    <x v="0"/>
  </r>
  <r>
    <n v="356"/>
    <s v="Taylor"/>
    <n v="504"/>
    <s v="Spain"/>
    <s v="Female"/>
    <n v="39"/>
    <n v="0"/>
    <n v="65011.59"/>
    <n v="2"/>
    <n v="1"/>
    <n v="1"/>
    <n v="100509.25"/>
    <x v="1"/>
    <n v="-0.88057627586524212"/>
    <n v="0.44691481585728693"/>
    <s v="Adults"/>
    <s v="No Tenure Period"/>
    <x v="0"/>
  </r>
  <r>
    <n v="408"/>
    <s v="Johnson"/>
    <n v="505"/>
    <s v="France"/>
    <s v="Male"/>
    <n v="49"/>
    <n v="7"/>
    <n v="83107.39"/>
    <n v="3"/>
    <n v="0"/>
    <n v="1"/>
    <n v="41989.11"/>
    <x v="0"/>
    <n v="-0.6291496892316083"/>
    <n v="-0.98310329735072177"/>
    <s v="Adults"/>
    <s v="More Tenure Period"/>
    <x v="0"/>
  </r>
  <r>
    <n v="38"/>
    <s v="Wilson"/>
    <n v="505"/>
    <s v="Spain"/>
    <s v="Male"/>
    <n v="43"/>
    <n v="9"/>
    <n v="190574.23"/>
    <n v="1"/>
    <n v="1"/>
    <n v="0"/>
    <n v="22363.52"/>
    <x v="0"/>
    <n v="0.86401561749718281"/>
    <n v="-1.4626809125511291"/>
    <s v="Adults"/>
    <s v="Large Tenure Period"/>
    <x v="0"/>
  </r>
  <r>
    <n v="233"/>
    <s v="Smith"/>
    <n v="506"/>
    <s v="Spain"/>
    <s v="Female"/>
    <n v="72"/>
    <n v="5"/>
    <n v="120906.58"/>
    <n v="2"/>
    <n v="1"/>
    <n v="0"/>
    <n v="143845.99"/>
    <x v="1"/>
    <n v="-0.10396034589137566"/>
    <n v="1.5059061847669653"/>
    <s v="Senior Citizens"/>
    <s v="More Tenure Period"/>
    <x v="0"/>
  </r>
  <r>
    <n v="480"/>
    <s v="Brown"/>
    <n v="507"/>
    <s v="France"/>
    <s v="Male"/>
    <n v="47"/>
    <n v="1"/>
    <n v="167352.03"/>
    <n v="1"/>
    <n v="0"/>
    <n v="1"/>
    <n v="124013.91"/>
    <x v="0"/>
    <n v="0.54136182600282645"/>
    <n v="1.0212827094541881"/>
    <s v="Adults"/>
    <s v="Less Tenure Period"/>
    <x v="0"/>
  </r>
  <r>
    <n v="295"/>
    <s v="Moore"/>
    <n v="507"/>
    <s v="France"/>
    <s v="Female"/>
    <n v="67"/>
    <n v="5"/>
    <n v="179102.53"/>
    <n v="1"/>
    <n v="0"/>
    <n v="0"/>
    <n v="14556.33"/>
    <x v="1"/>
    <n v="0.70462557263124381"/>
    <n v="-1.6534600718842483"/>
    <s v="Old person"/>
    <s v="More Tenure Period"/>
    <x v="0"/>
  </r>
  <r>
    <n v="441"/>
    <s v="Davis"/>
    <n v="507"/>
    <s v="Germany"/>
    <s v="Female"/>
    <n v="18"/>
    <n v="7"/>
    <n v="6988.85"/>
    <n v="2"/>
    <n v="1"/>
    <n v="1"/>
    <n v="20477.41"/>
    <x v="1"/>
    <n v="-1.6867555807498453"/>
    <n v="-1.5087705402161133"/>
    <s v="Youngsters"/>
    <s v="More Tenure Period"/>
    <x v="0"/>
  </r>
  <r>
    <n v="147"/>
    <s v="Moore"/>
    <n v="507"/>
    <s v="Germany"/>
    <s v="Male"/>
    <n v="75"/>
    <n v="8"/>
    <n v="238465.26"/>
    <n v="4"/>
    <n v="0"/>
    <n v="1"/>
    <n v="55585.67"/>
    <x v="0"/>
    <n v="1.529422960818227"/>
    <n v="-0.65085311686039016"/>
    <s v="Senior Citizens"/>
    <s v="Large Tenure Period"/>
    <x v="0"/>
  </r>
  <r>
    <n v="405"/>
    <s v="Jones"/>
    <n v="508"/>
    <s v="Germany"/>
    <s v="Male"/>
    <n v="49"/>
    <n v="5"/>
    <n v="220856.36"/>
    <n v="1"/>
    <n v="0"/>
    <n v="1"/>
    <n v="84471.69"/>
    <x v="1"/>
    <n v="1.2847614580732254"/>
    <n v="5.5015526285180132E-2"/>
    <s v="Adults"/>
    <s v="More Tenure Period"/>
    <x v="0"/>
  </r>
  <r>
    <n v="325"/>
    <s v="Jones"/>
    <n v="508"/>
    <s v="France"/>
    <s v="Male"/>
    <n v="79"/>
    <n v="10"/>
    <n v="248917.55"/>
    <n v="4"/>
    <n v="1"/>
    <n v="0"/>
    <n v="126187.32"/>
    <x v="0"/>
    <n v="1.6746491236408079"/>
    <n v="1.0743928979709521"/>
    <s v="Senior Citizens"/>
    <s v="Large Tenure Period"/>
    <x v="0"/>
  </r>
  <r>
    <n v="73"/>
    <s v="Davis"/>
    <n v="509"/>
    <s v="Germany"/>
    <s v="Female"/>
    <n v="24"/>
    <n v="4"/>
    <n v="112469.92"/>
    <n v="4"/>
    <n v="0"/>
    <n v="0"/>
    <n v="92201.91"/>
    <x v="0"/>
    <n v="-0.22118095102563406"/>
    <n v="0.24391382042943227"/>
    <s v="Youngsters"/>
    <s v="More Tenure Period"/>
    <x v="0"/>
  </r>
  <r>
    <n v="134"/>
    <s v="Jones"/>
    <n v="511"/>
    <s v="Spain"/>
    <s v="Female"/>
    <n v="38"/>
    <n v="4"/>
    <n v="30108.06"/>
    <n v="2"/>
    <n v="1"/>
    <n v="1"/>
    <n v="17973.88"/>
    <x v="1"/>
    <n v="-1.3655327524711194"/>
    <n v="-1.5699476537185699"/>
    <s v="Adults"/>
    <s v="More Tenure Period"/>
    <x v="0"/>
  </r>
  <r>
    <n v="26"/>
    <s v="Jones"/>
    <n v="511"/>
    <s v="Spain"/>
    <s v="Female"/>
    <n v="39"/>
    <n v="6"/>
    <n v="88252.4"/>
    <n v="2"/>
    <n v="1"/>
    <n v="1"/>
    <n v="57083.95"/>
    <x v="0"/>
    <n v="-0.55766391338882104"/>
    <n v="-0.61424063543677609"/>
    <s v="Adults"/>
    <s v="More Tenure Period"/>
    <x v="0"/>
  </r>
  <r>
    <n v="258"/>
    <s v="Williams"/>
    <n v="512"/>
    <s v="Spain"/>
    <s v="Female"/>
    <n v="75"/>
    <n v="10"/>
    <n v="170020.95"/>
    <n v="4"/>
    <n v="1"/>
    <n v="1"/>
    <n v="34325.360000000001"/>
    <x v="1"/>
    <n v="0.57844432280309177"/>
    <n v="-1.1703773078896214"/>
    <s v="Senior Citizens"/>
    <s v="Large Tenure Period"/>
    <x v="0"/>
  </r>
  <r>
    <n v="421"/>
    <s v="Miller"/>
    <n v="513"/>
    <s v="Germany"/>
    <s v="Male"/>
    <n v="52"/>
    <n v="4"/>
    <n v="64929.13"/>
    <n v="2"/>
    <n v="1"/>
    <n v="1"/>
    <n v="117045.7"/>
    <x v="0"/>
    <n v="-0.88172199124305406"/>
    <n v="0.85100515173410762"/>
    <s v="Old person"/>
    <s v="More Tenure Period"/>
    <x v="0"/>
  </r>
  <r>
    <n v="129"/>
    <s v="Smith"/>
    <n v="514"/>
    <s v="France"/>
    <s v="Female"/>
    <n v="24"/>
    <n v="2"/>
    <n v="44897.120000000003"/>
    <n v="3"/>
    <n v="0"/>
    <n v="0"/>
    <n v="87587.83"/>
    <x v="0"/>
    <n v="-1.1600506585421408"/>
    <n v="0.13116258682351792"/>
    <s v="Youngsters"/>
    <s v="Less Tenure Period"/>
    <x v="0"/>
  </r>
  <r>
    <n v="474"/>
    <s v="Johnson"/>
    <n v="515"/>
    <s v="Germany"/>
    <s v="Male"/>
    <n v="66"/>
    <n v="0"/>
    <n v="133040.76"/>
    <n v="3"/>
    <n v="0"/>
    <n v="0"/>
    <n v="64833.38"/>
    <x v="0"/>
    <n v="6.4634325745032098E-2"/>
    <n v="-0.42487291917639902"/>
    <s v="Old person"/>
    <s v="No Tenure Period"/>
    <x v="0"/>
  </r>
  <r>
    <n v="90"/>
    <s v="Johnson"/>
    <n v="515"/>
    <s v="France"/>
    <s v="Male"/>
    <n v="79"/>
    <n v="5"/>
    <n v="69882.490000000005"/>
    <n v="3"/>
    <n v="1"/>
    <n v="0"/>
    <n v="28817.75"/>
    <x v="1"/>
    <n v="-0.81289903800707786"/>
    <n v="-1.3049631455257849"/>
    <s v="Senior Citizens"/>
    <s v="More Tenure Period"/>
    <x v="0"/>
  </r>
  <r>
    <n v="50"/>
    <s v="Smith"/>
    <n v="515"/>
    <s v="Spain"/>
    <s v="Male"/>
    <n v="89"/>
    <n v="10"/>
    <n v="87177.02"/>
    <n v="1"/>
    <n v="1"/>
    <n v="1"/>
    <n v="118097.5"/>
    <x v="0"/>
    <n v="-0.5726054535657723"/>
    <n v="0.87670729549986404"/>
    <s v="Senior Citizens"/>
    <s v="Large Tenure Period"/>
    <x v="0"/>
  </r>
  <r>
    <n v="4"/>
    <s v="Jones"/>
    <n v="516"/>
    <s v="Germany"/>
    <s v="Female"/>
    <n v="59"/>
    <n v="0"/>
    <n v="23572.03"/>
    <n v="1"/>
    <n v="1"/>
    <n v="0"/>
    <n v="146739.54999999999"/>
    <x v="0"/>
    <n v="-1.4563456324230988"/>
    <n v="1.5766142044616236"/>
    <s v="Old person"/>
    <s v="No Tenure Period"/>
    <x v="0"/>
  </r>
  <r>
    <n v="221"/>
    <s v="Johnson"/>
    <n v="517"/>
    <s v="Spain"/>
    <s v="Male"/>
    <n v="35"/>
    <n v="1"/>
    <n v="239854.9"/>
    <n v="1"/>
    <n v="1"/>
    <n v="1"/>
    <n v="99332.87"/>
    <x v="0"/>
    <n v="1.5487308909373463"/>
    <n v="0.41816839269398548"/>
    <s v="Adults"/>
    <s v="Less Tenure Period"/>
    <x v="0"/>
  </r>
  <r>
    <n v="479"/>
    <s v="Wilson"/>
    <n v="517"/>
    <s v="France"/>
    <s v="Female"/>
    <n v="28"/>
    <n v="6"/>
    <n v="32317.55"/>
    <n v="3"/>
    <n v="1"/>
    <n v="0"/>
    <n v="48172.94"/>
    <x v="1"/>
    <n v="-1.3348336660034779"/>
    <n v="-0.83199311700940537"/>
    <s v="Youngsters"/>
    <s v="More Tenure Period"/>
    <x v="0"/>
  </r>
  <r>
    <n v="461"/>
    <s v="Williams"/>
    <n v="519"/>
    <s v="Spain"/>
    <s v="Male"/>
    <n v="23"/>
    <n v="0"/>
    <n v="234421.59"/>
    <n v="4"/>
    <n v="1"/>
    <n v="0"/>
    <n v="35122.36"/>
    <x v="1"/>
    <n v="1.4732394184728856"/>
    <n v="-1.1509015438838144"/>
    <s v="Youngsters"/>
    <s v="No Tenure Period"/>
    <x v="0"/>
  </r>
  <r>
    <n v="3"/>
    <s v="Jones"/>
    <n v="519"/>
    <s v="Germany"/>
    <s v="Male"/>
    <n v="69"/>
    <n v="6"/>
    <n v="146780.5"/>
    <n v="3"/>
    <n v="0"/>
    <n v="0"/>
    <n v="94395.02"/>
    <x v="0"/>
    <n v="0.25553696223712424"/>
    <n v="0.29750540486955179"/>
    <s v="Old person"/>
    <s v="More Tenure Period"/>
    <x v="0"/>
  </r>
  <r>
    <n v="11"/>
    <s v="Wilson"/>
    <n v="519"/>
    <s v="France"/>
    <s v="Female"/>
    <n v="22"/>
    <n v="10"/>
    <n v="198399.26"/>
    <n v="3"/>
    <n v="1"/>
    <n v="0"/>
    <n v="125839.96"/>
    <x v="1"/>
    <n v="0.97273811571255775"/>
    <n v="1.0659046904614702"/>
    <s v="Youngsters"/>
    <s v="Large Tenure Period"/>
    <x v="0"/>
  </r>
  <r>
    <n v="107"/>
    <s v="Taylor"/>
    <n v="520"/>
    <s v="France"/>
    <s v="Male"/>
    <n v="79"/>
    <n v="9"/>
    <n v="165628.62"/>
    <n v="2"/>
    <n v="0"/>
    <n v="0"/>
    <n v="144375.79999999999"/>
    <x v="1"/>
    <n v="0.5174164301833396"/>
    <n v="1.5188528027442758"/>
    <s v="Senior Citizens"/>
    <s v="Large Tenure Period"/>
    <x v="0"/>
  </r>
  <r>
    <n v="51"/>
    <s v="Smith"/>
    <n v="521"/>
    <s v="Spain"/>
    <s v="Male"/>
    <n v="79"/>
    <n v="8"/>
    <n v="133180.14000000001"/>
    <n v="3"/>
    <n v="1"/>
    <n v="1"/>
    <n v="125168.23"/>
    <x v="1"/>
    <n v="6.657089874235729E-2"/>
    <n v="1.0494900669286962"/>
    <s v="Senior Citizens"/>
    <s v="Large Tenure Period"/>
    <x v="0"/>
  </r>
  <r>
    <n v="263"/>
    <s v="Johnson"/>
    <n v="521"/>
    <s v="Germany"/>
    <s v="Male"/>
    <n v="71"/>
    <n v="10"/>
    <n v="234878.9"/>
    <n v="1"/>
    <n v="0"/>
    <n v="1"/>
    <n v="55748.58"/>
    <x v="1"/>
    <n v="1.4795933731106152"/>
    <n v="-0.64687219250131101"/>
    <s v="Senior Citizens"/>
    <s v="Large Tenure Period"/>
    <x v="0"/>
  </r>
  <r>
    <n v="245"/>
    <s v="Jones"/>
    <n v="522"/>
    <s v="Spain"/>
    <s v="Male"/>
    <n v="87"/>
    <n v="5"/>
    <n v="237584.05"/>
    <n v="3"/>
    <n v="1"/>
    <n v="1"/>
    <n v="47917.63"/>
    <x v="1"/>
    <n v="1.5171792566212625"/>
    <n v="-0.83823195930341132"/>
    <s v="Senior Citizens"/>
    <s v="More Tenure Period"/>
    <x v="0"/>
  </r>
  <r>
    <n v="158"/>
    <s v="Davis"/>
    <n v="524"/>
    <s v="Spain"/>
    <s v="Male"/>
    <n v="47"/>
    <n v="1"/>
    <n v="95799.03"/>
    <n v="4"/>
    <n v="0"/>
    <n v="1"/>
    <n v="105598.56"/>
    <x v="0"/>
    <n v="-0.45280955925764249"/>
    <n v="0.57127893193306267"/>
    <s v="Adults"/>
    <s v="Less Tenure Period"/>
    <x v="0"/>
  </r>
  <r>
    <n v="23"/>
    <s v="Moore"/>
    <n v="524"/>
    <s v="Spain"/>
    <s v="Male"/>
    <n v="56"/>
    <n v="7"/>
    <n v="34050.82"/>
    <n v="4"/>
    <n v="0"/>
    <n v="1"/>
    <n v="130037.45"/>
    <x v="1"/>
    <n v="-1.3107512734143425"/>
    <n v="1.1684759886505973"/>
    <s v="Old person"/>
    <s v="More Tenure Period"/>
    <x v="0"/>
  </r>
  <r>
    <n v="131"/>
    <s v="Smith"/>
    <n v="527"/>
    <s v="Germany"/>
    <s v="Female"/>
    <n v="73"/>
    <n v="4"/>
    <n v="184707.82"/>
    <n v="4"/>
    <n v="0"/>
    <n v="0"/>
    <n v="93162.76"/>
    <x v="0"/>
    <n v="0.78250656887300385"/>
    <n v="0.26739347895512788"/>
    <s v="Senior Citizens"/>
    <s v="More Tenure Period"/>
    <x v="1"/>
  </r>
  <r>
    <n v="291"/>
    <s v="Moore"/>
    <n v="528"/>
    <s v="France"/>
    <s v="Female"/>
    <n v="53"/>
    <n v="6"/>
    <n v="130816.43"/>
    <n v="3"/>
    <n v="0"/>
    <n v="0"/>
    <n v="57363.12"/>
    <x v="0"/>
    <n v="3.3729049413132178E-2"/>
    <n v="-0.60741874203966029"/>
    <s v="Old person"/>
    <s v="More Tenure Period"/>
    <x v="1"/>
  </r>
  <r>
    <n v="22"/>
    <s v="Taylor"/>
    <n v="528"/>
    <s v="Spain"/>
    <s v="Female"/>
    <n v="90"/>
    <n v="10"/>
    <n v="192616.6"/>
    <n v="4"/>
    <n v="1"/>
    <n v="0"/>
    <n v="27413.39"/>
    <x v="0"/>
    <n v="0.89239270597864995"/>
    <n v="-1.3392805657757161"/>
    <s v="Senior Citizens"/>
    <s v="Large Tenure Period"/>
    <x v="1"/>
  </r>
  <r>
    <n v="465"/>
    <s v="Smith"/>
    <n v="529"/>
    <s v="Spain"/>
    <s v="Male"/>
    <n v="71"/>
    <n v="2"/>
    <n v="45202.75"/>
    <n v="4"/>
    <n v="1"/>
    <n v="0"/>
    <n v="118614.97"/>
    <x v="0"/>
    <n v="-1.1558041755089046"/>
    <n v="0.88935236902569204"/>
    <s v="Senior Citizens"/>
    <s v="Less Tenure Period"/>
    <x v="1"/>
  </r>
  <r>
    <n v="180"/>
    <s v="Taylor"/>
    <n v="529"/>
    <s v="Germany"/>
    <s v="Male"/>
    <n v="83"/>
    <n v="10"/>
    <n v="140464.4"/>
    <n v="2"/>
    <n v="1"/>
    <n v="0"/>
    <n v="62160.12"/>
    <x v="1"/>
    <n v="0.16777983274648575"/>
    <n v="-0.49019761288551239"/>
    <s v="Senior Citizens"/>
    <s v="Large Tenure Period"/>
    <x v="1"/>
  </r>
  <r>
    <n v="200"/>
    <s v="Jones"/>
    <n v="530"/>
    <s v="Germany"/>
    <s v="Male"/>
    <n v="55"/>
    <n v="1"/>
    <n v="205216.41"/>
    <n v="3"/>
    <n v="0"/>
    <n v="0"/>
    <n v="95781.75"/>
    <x v="1"/>
    <n v="1.0674569319610505"/>
    <n v="0.33139201242259142"/>
    <s v="Old person"/>
    <s v="Less Tenure Period"/>
    <x v="1"/>
  </r>
  <r>
    <n v="362"/>
    <s v="Moore"/>
    <n v="530"/>
    <s v="France"/>
    <s v="Male"/>
    <n v="81"/>
    <n v="10"/>
    <n v="58304.43"/>
    <n v="1"/>
    <n v="0"/>
    <n v="0"/>
    <n v="122633.44"/>
    <x v="0"/>
    <n v="-0.97376686952817171"/>
    <n v="0.98754907339760545"/>
    <s v="Senior Citizens"/>
    <s v="Large Tenure Period"/>
    <x v="1"/>
  </r>
  <r>
    <n v="301"/>
    <s v="Smith"/>
    <n v="531"/>
    <s v="Germany"/>
    <s v="Female"/>
    <n v="68"/>
    <n v="9"/>
    <n v="25763.31"/>
    <n v="1"/>
    <n v="1"/>
    <n v="1"/>
    <n v="31564.75"/>
    <x v="0"/>
    <n v="-1.4258995592592405"/>
    <n v="-1.2378365160101619"/>
    <s v="Old person"/>
    <s v="Large Tenure Period"/>
    <x v="1"/>
  </r>
  <r>
    <n v="70"/>
    <s v="Williams"/>
    <n v="532"/>
    <s v="Germany"/>
    <s v="Male"/>
    <n v="54"/>
    <n v="7"/>
    <n v="146834.15"/>
    <n v="2"/>
    <n v="1"/>
    <n v="1"/>
    <n v="99812.42"/>
    <x v="1"/>
    <n v="0.25628238583668284"/>
    <n v="0.42988684015820727"/>
    <s v="Old person"/>
    <s v="More Tenure Period"/>
    <x v="1"/>
  </r>
  <r>
    <n v="39"/>
    <s v="Smith"/>
    <n v="534"/>
    <s v="Spain"/>
    <s v="Female"/>
    <n v="75"/>
    <n v="9"/>
    <n v="20385.3"/>
    <n v="1"/>
    <n v="0"/>
    <n v="0"/>
    <n v="118972.35"/>
    <x v="1"/>
    <n v="-1.5006226827012297"/>
    <n v="0.89808542867487062"/>
    <s v="Senior Citizens"/>
    <s v="Large Tenure Period"/>
    <x v="1"/>
  </r>
  <r>
    <n v="119"/>
    <s v="Johnson"/>
    <n v="536"/>
    <s v="Spain"/>
    <s v="Female"/>
    <n v="83"/>
    <n v="6"/>
    <n v="241431.37"/>
    <n v="4"/>
    <n v="1"/>
    <n v="1"/>
    <n v="111107.96"/>
    <x v="0"/>
    <n v="1.5706346736399803"/>
    <n v="0.70590851062013038"/>
    <s v="Senior Citizens"/>
    <s v="More Tenure Period"/>
    <x v="1"/>
  </r>
  <r>
    <n v="106"/>
    <s v="Davis"/>
    <n v="537"/>
    <s v="France"/>
    <s v="Female"/>
    <n v="39"/>
    <n v="3"/>
    <n v="238648.7"/>
    <n v="1"/>
    <n v="1"/>
    <n v="1"/>
    <n v="71498.5"/>
    <x v="1"/>
    <n v="1.5319717120783025"/>
    <n v="-0.26200177213702136"/>
    <s v="Adults"/>
    <s v="Less Tenure Period"/>
    <x v="1"/>
  </r>
  <r>
    <n v="463"/>
    <s v="Smith"/>
    <n v="538"/>
    <s v="Spain"/>
    <s v="Male"/>
    <n v="73"/>
    <n v="5"/>
    <n v="4387.1899999999996"/>
    <n v="2"/>
    <n v="1"/>
    <n v="0"/>
    <n v="131348.78"/>
    <x v="1"/>
    <n v="-1.7229035539470106"/>
    <n v="1.2005200960705908"/>
    <s v="Senior Citizens"/>
    <s v="More Tenure Period"/>
    <x v="1"/>
  </r>
  <r>
    <n v="48"/>
    <s v="Wilson"/>
    <n v="538"/>
    <s v="Germany"/>
    <s v="Female"/>
    <n v="48"/>
    <n v="6"/>
    <n v="217182.14"/>
    <n v="2"/>
    <n v="0"/>
    <n v="1"/>
    <n v="110877.22"/>
    <x v="1"/>
    <n v="1.2337111263309968"/>
    <n v="0.70027006923154811"/>
    <s v="Adults"/>
    <s v="More Tenure Period"/>
    <x v="1"/>
  </r>
  <r>
    <n v="389"/>
    <s v="Brown"/>
    <n v="540"/>
    <s v="France"/>
    <s v="Female"/>
    <n v="73"/>
    <n v="7"/>
    <n v="244670.66"/>
    <n v="2"/>
    <n v="1"/>
    <n v="1"/>
    <n v="12942.78"/>
    <x v="0"/>
    <n v="1.6156420028443519"/>
    <n v="-1.6928893303680246"/>
    <s v="Senior Citizens"/>
    <s v="More Tenure Period"/>
    <x v="1"/>
  </r>
  <r>
    <n v="303"/>
    <s v="Brown"/>
    <n v="543"/>
    <s v="Germany"/>
    <s v="Male"/>
    <n v="89"/>
    <n v="5"/>
    <n v="248060.86"/>
    <n v="3"/>
    <n v="0"/>
    <n v="0"/>
    <n v="105985.33"/>
    <x v="1"/>
    <n v="1.6627461051225236"/>
    <n v="0.58073017565266871"/>
    <s v="Senior Citizens"/>
    <s v="More Tenure Period"/>
    <x v="1"/>
  </r>
  <r>
    <n v="269"/>
    <s v="Taylor"/>
    <n v="544"/>
    <s v="Germany"/>
    <s v="Male"/>
    <n v="48"/>
    <n v="1"/>
    <n v="189398.99"/>
    <n v="2"/>
    <n v="1"/>
    <n v="1"/>
    <n v="106385.78"/>
    <x v="1"/>
    <n v="0.84768660293715692"/>
    <n v="0.59051570852108193"/>
    <s v="Adults"/>
    <s v="Less Tenure Period"/>
    <x v="1"/>
  </r>
  <r>
    <n v="244"/>
    <s v="Taylor"/>
    <n v="545"/>
    <s v="France"/>
    <s v="Female"/>
    <n v="20"/>
    <n v="4"/>
    <n v="152465.9"/>
    <n v="3"/>
    <n v="1"/>
    <n v="1"/>
    <n v="43527.09"/>
    <x v="0"/>
    <n v="0.33453102249679001"/>
    <n v="-0.94552069317801057"/>
    <s v="Youngsters"/>
    <s v="More Tenure Period"/>
    <x v="1"/>
  </r>
  <r>
    <n v="251"/>
    <s v="Williams"/>
    <n v="545"/>
    <s v="Germany"/>
    <s v="Male"/>
    <n v="67"/>
    <n v="9"/>
    <n v="180722.3"/>
    <n v="2"/>
    <n v="1"/>
    <n v="1"/>
    <n v="47605.64"/>
    <x v="0"/>
    <n v="0.72713097400789239"/>
    <n v="-0.84585585342156899"/>
    <s v="Old person"/>
    <s v="Large Tenure Period"/>
    <x v="1"/>
  </r>
  <r>
    <n v="66"/>
    <s v="Taylor"/>
    <n v="547"/>
    <s v="Germany"/>
    <s v="Female"/>
    <n v="52"/>
    <n v="4"/>
    <n v="226630.81"/>
    <n v="3"/>
    <n v="0"/>
    <n v="0"/>
    <n v="103458.26"/>
    <x v="0"/>
    <n v="1.3649927964603976"/>
    <n v="0.51897783067631409"/>
    <s v="Old person"/>
    <s v="More Tenure Period"/>
    <x v="1"/>
  </r>
  <r>
    <n v="122"/>
    <s v="Johnson"/>
    <n v="547"/>
    <s v="France"/>
    <s v="Male"/>
    <n v="24"/>
    <n v="4"/>
    <n v="228358.15"/>
    <n v="2"/>
    <n v="0"/>
    <n v="0"/>
    <n v="127955.4"/>
    <x v="1"/>
    <n v="1.3889927964690041"/>
    <n v="1.1175983042738216"/>
    <s v="Youngsters"/>
    <s v="More Tenure Period"/>
    <x v="1"/>
  </r>
  <r>
    <n v="436"/>
    <s v="Moore"/>
    <n v="547"/>
    <s v="Spain"/>
    <s v="Male"/>
    <n v="85"/>
    <n v="5"/>
    <n v="191884.81"/>
    <n v="1"/>
    <n v="1"/>
    <n v="1"/>
    <n v="56017.64"/>
    <x v="1"/>
    <n v="0.88222507250388627"/>
    <n v="-0.6402973505146079"/>
    <s v="Senior Citizens"/>
    <s v="More Tenure Period"/>
    <x v="1"/>
  </r>
  <r>
    <n v="43"/>
    <s v="Smith"/>
    <n v="547"/>
    <s v="Germany"/>
    <s v="Female"/>
    <n v="77"/>
    <n v="5"/>
    <n v="41600.300000000003"/>
    <n v="4"/>
    <n v="0"/>
    <n v="0"/>
    <n v="48255.32"/>
    <x v="1"/>
    <n v="-1.2058573208254053"/>
    <n v="-0.8299800512141754"/>
    <s v="Senior Citizens"/>
    <s v="More Tenure Period"/>
    <x v="1"/>
  </r>
  <r>
    <n v="118"/>
    <s v="Brown"/>
    <n v="547"/>
    <s v="France"/>
    <s v="Male"/>
    <n v="54"/>
    <n v="6"/>
    <n v="103006.1"/>
    <n v="2"/>
    <n v="1"/>
    <n v="1"/>
    <n v="76101.240000000005"/>
    <x v="1"/>
    <n v="-0.35267311821996167"/>
    <n v="-0.1495276466413025"/>
    <s v="Old person"/>
    <s v="More Tenure Period"/>
    <x v="1"/>
  </r>
  <r>
    <n v="94"/>
    <s v="Smith"/>
    <n v="548"/>
    <s v="Germany"/>
    <s v="Female"/>
    <n v="44"/>
    <n v="3"/>
    <n v="107973.28"/>
    <n v="1"/>
    <n v="0"/>
    <n v="0"/>
    <n v="27995.72"/>
    <x v="0"/>
    <n v="-0.28365814719934634"/>
    <n v="-1.3250505511540076"/>
    <s v="Adults"/>
    <s v="Less Tenure Period"/>
    <x v="1"/>
  </r>
  <r>
    <n v="102"/>
    <s v="Jones"/>
    <n v="549"/>
    <s v="Spain"/>
    <s v="Female"/>
    <n v="56"/>
    <n v="0"/>
    <n v="36824.33"/>
    <n v="1"/>
    <n v="0"/>
    <n v="1"/>
    <n v="51542.45"/>
    <x v="0"/>
    <n v="-1.2722155826853196"/>
    <n v="-0.749654620679159"/>
    <s v="Old person"/>
    <s v="No Tenure Period"/>
    <x v="1"/>
  </r>
  <r>
    <n v="483"/>
    <s v="Johnson"/>
    <n v="550"/>
    <s v="Spain"/>
    <s v="Male"/>
    <n v="59"/>
    <n v="5"/>
    <n v="132558.04"/>
    <n v="3"/>
    <n v="1"/>
    <n v="0"/>
    <n v="55627.46"/>
    <x v="0"/>
    <n v="5.7927319594445338E-2"/>
    <n v="-0.64983192215800278"/>
    <s v="Old person"/>
    <s v="More Tenure Period"/>
    <x v="1"/>
  </r>
  <r>
    <n v="392"/>
    <s v="Davis"/>
    <n v="556"/>
    <s v="Spain"/>
    <s v="Male"/>
    <n v="27"/>
    <n v="6"/>
    <n v="70279.97"/>
    <n v="4"/>
    <n v="0"/>
    <n v="0"/>
    <n v="35799.879999999997"/>
    <x v="1"/>
    <n v="-0.8073763730983623"/>
    <n v="-1.1343454339349885"/>
    <s v="Youngsters"/>
    <s v="More Tenure Period"/>
    <x v="1"/>
  </r>
  <r>
    <n v="116"/>
    <s v="Williams"/>
    <n v="556"/>
    <s v="France"/>
    <s v="Male"/>
    <n v="65"/>
    <n v="7"/>
    <n v="94298.58"/>
    <n v="1"/>
    <n v="1"/>
    <n v="0"/>
    <n v="117883.52"/>
    <x v="1"/>
    <n v="-0.47365710520280296"/>
    <n v="0.87147840719125358"/>
    <s v="Old person"/>
    <s v="More Tenure Period"/>
    <x v="1"/>
  </r>
  <r>
    <n v="367"/>
    <s v="Miller"/>
    <n v="557"/>
    <s v="France"/>
    <s v="Female"/>
    <n v="66"/>
    <n v="2"/>
    <n v="89466.82"/>
    <n v="4"/>
    <n v="1"/>
    <n v="1"/>
    <n v="37239.08"/>
    <x v="1"/>
    <n v="-0.54079052424108398"/>
    <n v="-1.0991766515546153"/>
    <s v="Old person"/>
    <s v="Less Tenure Period"/>
    <x v="1"/>
  </r>
  <r>
    <n v="336"/>
    <s v="Johnson"/>
    <n v="558"/>
    <s v="Germany"/>
    <s v="Male"/>
    <n v="32"/>
    <n v="0"/>
    <n v="122399.16"/>
    <n v="1"/>
    <n v="0"/>
    <n v="0"/>
    <n v="107283.07"/>
    <x v="0"/>
    <n v="-8.3222147266411334E-2"/>
    <n v="0.61244219319457083"/>
    <s v="Adults"/>
    <s v="No Tenure Period"/>
    <x v="1"/>
  </r>
  <r>
    <n v="194"/>
    <s v="Moore"/>
    <n v="558"/>
    <s v="Spain"/>
    <s v="Male"/>
    <n v="39"/>
    <n v="9"/>
    <n v="222626.19"/>
    <n v="2"/>
    <n v="0"/>
    <n v="0"/>
    <n v="59452.54"/>
    <x v="1"/>
    <n v="1.3093518224573262"/>
    <n v="-0.55636096182759875"/>
    <s v="Adults"/>
    <s v="Large Tenure Period"/>
    <x v="1"/>
  </r>
  <r>
    <n v="464"/>
    <s v="Jones"/>
    <n v="559"/>
    <s v="France"/>
    <s v="Female"/>
    <n v="47"/>
    <n v="4"/>
    <n v="88260.36"/>
    <n v="3"/>
    <n v="0"/>
    <n v="1"/>
    <n v="16813.419999999998"/>
    <x v="1"/>
    <n v="-0.55755331559101129"/>
    <n v="-1.5983050503285809"/>
    <s v="Adults"/>
    <s v="More Tenure Period"/>
    <x v="1"/>
  </r>
  <r>
    <n v="435"/>
    <s v="Wilson"/>
    <n v="559"/>
    <s v="Germany"/>
    <s v="Male"/>
    <n v="28"/>
    <n v="5"/>
    <n v="117504.37"/>
    <n v="3"/>
    <n v="1"/>
    <n v="1"/>
    <n v="69683.199999999997"/>
    <x v="1"/>
    <n v="-0.15123131745996157"/>
    <n v="-0.30636106247546729"/>
    <s v="Youngsters"/>
    <s v="More Tenure Period"/>
    <x v="1"/>
  </r>
  <r>
    <n v="230"/>
    <s v="Williams"/>
    <n v="560"/>
    <s v="Germany"/>
    <s v="Female"/>
    <n v="29"/>
    <n v="10"/>
    <n v="199808.98"/>
    <n v="1"/>
    <n v="1"/>
    <n v="1"/>
    <n v="38969.33"/>
    <x v="1"/>
    <n v="0.99232504128142829"/>
    <n v="-1.0568956720426361"/>
    <s v="Youngsters"/>
    <s v="Large Tenure Period"/>
    <x v="1"/>
  </r>
  <r>
    <n v="246"/>
    <s v="Wilson"/>
    <n v="561"/>
    <s v="Germany"/>
    <s v="Male"/>
    <n v="47"/>
    <n v="8"/>
    <n v="177892.9"/>
    <n v="1"/>
    <n v="0"/>
    <n v="0"/>
    <n v="78723.149999999994"/>
    <x v="1"/>
    <n v="0.68781873668093241"/>
    <n v="-8.5457759057281091E-2"/>
    <s v="Adults"/>
    <s v="Large Tenure Period"/>
    <x v="1"/>
  </r>
  <r>
    <n v="52"/>
    <s v="Brown"/>
    <n v="561"/>
    <s v="Spain"/>
    <s v="Male"/>
    <n v="19"/>
    <n v="10"/>
    <n v="202302.98"/>
    <n v="1"/>
    <n v="1"/>
    <n v="1"/>
    <n v="24025.919999999998"/>
    <x v="0"/>
    <n v="1.0269771653690223"/>
    <n v="-1.4220579387954786"/>
    <s v="Youngsters"/>
    <s v="Large Tenure Period"/>
    <x v="1"/>
  </r>
  <r>
    <n v="319"/>
    <s v="Jones"/>
    <n v="563"/>
    <s v="Germany"/>
    <s v="Male"/>
    <n v="67"/>
    <n v="3"/>
    <n v="136635"/>
    <n v="1"/>
    <n v="1"/>
    <n v="1"/>
    <n v="29342.26"/>
    <x v="1"/>
    <n v="0.11457339971479688"/>
    <n v="-1.2921460401572959"/>
    <s v="Old person"/>
    <s v="Less Tenure Period"/>
    <x v="1"/>
  </r>
  <r>
    <n v="456"/>
    <s v="Moore"/>
    <n v="564"/>
    <s v="Germany"/>
    <s v="Female"/>
    <n v="90"/>
    <n v="5"/>
    <n v="223177.88"/>
    <n v="3"/>
    <n v="1"/>
    <n v="1"/>
    <n v="111640.94"/>
    <x v="0"/>
    <n v="1.3170171112856679"/>
    <n v="0.7189325917993209"/>
    <s v="Senior Citizens"/>
    <s v="More Tenure Period"/>
    <x v="1"/>
  </r>
  <r>
    <n v="366"/>
    <s v="Wilson"/>
    <n v="565"/>
    <s v="Germany"/>
    <s v="Male"/>
    <n v="63"/>
    <n v="7"/>
    <n v="244367.77"/>
    <n v="4"/>
    <n v="1"/>
    <n v="1"/>
    <n v="130825.14"/>
    <x v="0"/>
    <n v="1.6114335899073462"/>
    <n v="1.1877242503190217"/>
    <s v="Old person"/>
    <s v="More Tenure Period"/>
    <x v="1"/>
  </r>
  <r>
    <n v="493"/>
    <s v="Jones"/>
    <n v="566"/>
    <s v="France"/>
    <s v="Female"/>
    <n v="67"/>
    <n v="8"/>
    <n v="107431.37"/>
    <n v="2"/>
    <n v="1"/>
    <n v="0"/>
    <n v="136772.28"/>
    <x v="0"/>
    <n v="-0.29118755079369607"/>
    <n v="1.3330505930410979"/>
    <s v="Old person"/>
    <s v="Large Tenure Period"/>
    <x v="1"/>
  </r>
  <r>
    <n v="476"/>
    <s v="Williams"/>
    <n v="566"/>
    <s v="France"/>
    <s v="Male"/>
    <n v="18"/>
    <n v="10"/>
    <n v="146680.78"/>
    <n v="2"/>
    <n v="0"/>
    <n v="0"/>
    <n v="76895.64"/>
    <x v="0"/>
    <n v="0.25415143304144866"/>
    <n v="-0.13011541712284211"/>
    <s v="Youngsters"/>
    <s v="Large Tenure Period"/>
    <x v="1"/>
  </r>
  <r>
    <n v="227"/>
    <s v="Moore"/>
    <n v="567"/>
    <s v="Spain"/>
    <s v="Male"/>
    <n v="40"/>
    <n v="5"/>
    <n v="49223"/>
    <n v="2"/>
    <n v="0"/>
    <n v="1"/>
    <n v="111037.23"/>
    <x v="0"/>
    <n v="-1.0999460352269681"/>
    <n v="0.7041801282008946"/>
    <s v="Adults"/>
    <s v="More Tenure Period"/>
    <x v="1"/>
  </r>
  <r>
    <n v="490"/>
    <s v="Miller"/>
    <n v="567"/>
    <s v="France"/>
    <s v="Male"/>
    <n v="22"/>
    <n v="9"/>
    <n v="67796.41"/>
    <n v="4"/>
    <n v="1"/>
    <n v="1"/>
    <n v="125551.64"/>
    <x v="0"/>
    <n v="-0.84188344178279884"/>
    <n v="1.0588592045415777"/>
    <s v="Youngsters"/>
    <s v="Large Tenure Period"/>
    <x v="1"/>
  </r>
  <r>
    <n v="37"/>
    <s v="Jones"/>
    <n v="568"/>
    <s v="Germany"/>
    <s v="Female"/>
    <n v="41"/>
    <n v="10"/>
    <n v="192830.21"/>
    <n v="2"/>
    <n v="0"/>
    <n v="0"/>
    <n v="82220.31"/>
    <x v="0"/>
    <n v="0.89536064512313684"/>
    <n v="3.6238262035302938E-8"/>
    <s v="Adults"/>
    <s v="Large Tenure Period"/>
    <x v="1"/>
  </r>
  <r>
    <n v="253"/>
    <s v="Brown"/>
    <n v="569"/>
    <s v="Spain"/>
    <s v="Male"/>
    <n v="21"/>
    <n v="1"/>
    <n v="18800.849999999999"/>
    <n v="1"/>
    <n v="0"/>
    <n v="0"/>
    <n v="60995.519999999997"/>
    <x v="1"/>
    <n v="-1.5226373410855876"/>
    <n v="-0.51865617594845204"/>
    <s v="Youngsters"/>
    <s v="Less Tenure Period"/>
    <x v="1"/>
  </r>
  <r>
    <n v="17"/>
    <s v="Wilson"/>
    <n v="569"/>
    <s v="Germany"/>
    <s v="Male"/>
    <n v="29"/>
    <n v="7"/>
    <n v="75466.39"/>
    <n v="1"/>
    <n v="0"/>
    <n v="0"/>
    <n v="103226.64"/>
    <x v="1"/>
    <n v="-0.7353152386114421"/>
    <n v="0.51331788530739952"/>
    <s v="Youngsters"/>
    <s v="More Tenure Period"/>
    <x v="1"/>
  </r>
  <r>
    <n v="9"/>
    <s v="Williams"/>
    <n v="570"/>
    <s v="Germany"/>
    <s v="Female"/>
    <n v="31"/>
    <n v="1"/>
    <n v="182609.21"/>
    <n v="2"/>
    <n v="0"/>
    <n v="1"/>
    <n v="141848.51"/>
    <x v="1"/>
    <n v="0.75334807082510247"/>
    <n v="1.4570950817728388"/>
    <s v="Adults"/>
    <s v="Less Tenure Period"/>
    <x v="1"/>
  </r>
  <r>
    <n v="21"/>
    <s v="Davis"/>
    <n v="571"/>
    <s v="France"/>
    <s v="Male"/>
    <n v="26"/>
    <n v="6"/>
    <n v="239474.66"/>
    <n v="1"/>
    <n v="0"/>
    <n v="1"/>
    <n v="71646.19"/>
    <x v="1"/>
    <n v="1.5434477619625804"/>
    <n v="-0.2583927688923317"/>
    <s v="Youngsters"/>
    <s v="More Tenure Period"/>
    <x v="1"/>
  </r>
  <r>
    <n v="232"/>
    <s v="Davis"/>
    <n v="572"/>
    <s v="Germany"/>
    <s v="Female"/>
    <n v="58"/>
    <n v="5"/>
    <n v="180664.35"/>
    <n v="1"/>
    <n v="1"/>
    <n v="1"/>
    <n v="36108.42"/>
    <x v="0"/>
    <n v="0.72632580536680358"/>
    <n v="-1.1268058451942713"/>
    <s v="Old person"/>
    <s v="More Tenure Period"/>
    <x v="1"/>
  </r>
  <r>
    <n v="315"/>
    <s v="Brown"/>
    <n v="572"/>
    <s v="France"/>
    <s v="Male"/>
    <n v="23"/>
    <n v="6"/>
    <n v="169958.77"/>
    <n v="2"/>
    <n v="1"/>
    <n v="0"/>
    <n v="90227.36"/>
    <x v="1"/>
    <n v="0.57758038171417148"/>
    <n v="0.19566304274101803"/>
    <s v="Youngsters"/>
    <s v="More Tenure Period"/>
    <x v="1"/>
  </r>
  <r>
    <n v="28"/>
    <s v="Jones"/>
    <n v="574"/>
    <s v="France"/>
    <s v="Male"/>
    <n v="49"/>
    <n v="4"/>
    <n v="47828.14"/>
    <n v="3"/>
    <n v="1"/>
    <n v="0"/>
    <n v="129087.2"/>
    <x v="0"/>
    <n v="-1.1193264930476663"/>
    <n v="1.1452553553425446"/>
    <s v="Adults"/>
    <s v="More Tenure Period"/>
    <x v="1"/>
  </r>
  <r>
    <n v="219"/>
    <s v="Wilson"/>
    <n v="575"/>
    <s v="Germany"/>
    <s v="Female"/>
    <n v="39"/>
    <n v="3"/>
    <n v="213911.63"/>
    <n v="3"/>
    <n v="0"/>
    <n v="1"/>
    <n v="84036.97"/>
    <x v="1"/>
    <n v="1.1882700203367236"/>
    <n v="4.4392560000858401E-2"/>
    <s v="Adults"/>
    <s v="Less Tenure Period"/>
    <x v="1"/>
  </r>
  <r>
    <n v="471"/>
    <s v="Taylor"/>
    <n v="575"/>
    <s v="France"/>
    <s v="Female"/>
    <n v="88"/>
    <n v="4"/>
    <n v="75139.3"/>
    <n v="1"/>
    <n v="0"/>
    <n v="1"/>
    <n v="62313.56"/>
    <x v="0"/>
    <n v="-0.73985989108450179"/>
    <n v="-0.48644810067842215"/>
    <s v="Senior Citizens"/>
    <s v="More Tenure Period"/>
    <x v="1"/>
  </r>
  <r>
    <n v="270"/>
    <s v="Davis"/>
    <n v="575"/>
    <s v="Germany"/>
    <s v="Male"/>
    <n v="76"/>
    <n v="5"/>
    <n v="59505.51"/>
    <n v="4"/>
    <n v="1"/>
    <n v="0"/>
    <n v="116792.39"/>
    <x v="1"/>
    <n v="-0.95707882895113605"/>
    <n v="0.84481518212267614"/>
    <s v="Senior Citizens"/>
    <s v="More Tenure Period"/>
    <x v="1"/>
  </r>
  <r>
    <n v="396"/>
    <s v="Brown"/>
    <n v="578"/>
    <s v="Spain"/>
    <s v="Male"/>
    <n v="68"/>
    <n v="2"/>
    <n v="59641.51"/>
    <n v="4"/>
    <n v="0"/>
    <n v="0"/>
    <n v="61207.9"/>
    <x v="1"/>
    <n v="-0.95518921833529291"/>
    <n v="-0.51346638578590076"/>
    <s v="Old person"/>
    <s v="Less Tenure Period"/>
    <x v="1"/>
  </r>
  <r>
    <n v="16"/>
    <s v="Miller"/>
    <n v="579"/>
    <s v="France"/>
    <s v="Female"/>
    <n v="42"/>
    <n v="3"/>
    <n v="180430.72"/>
    <n v="4"/>
    <n v="0"/>
    <n v="1"/>
    <n v="43961.45"/>
    <x v="1"/>
    <n v="0.72307970442430769"/>
    <n v="-0.93490652397655216"/>
    <s v="Adults"/>
    <s v="Less Tenure Period"/>
    <x v="1"/>
  </r>
  <r>
    <n v="378"/>
    <s v="Jones"/>
    <n v="579"/>
    <s v="Germany"/>
    <s v="Female"/>
    <n v="76"/>
    <n v="4"/>
    <n v="200445.11"/>
    <n v="1"/>
    <n v="1"/>
    <n v="1"/>
    <n v="43482.28"/>
    <x v="0"/>
    <n v="1.0011635559950771"/>
    <n v="-0.94661568563108478"/>
    <s v="Senior Citizens"/>
    <s v="More Tenure Period"/>
    <x v="1"/>
  </r>
  <r>
    <n v="458"/>
    <s v="Miller"/>
    <n v="579"/>
    <s v="Spain"/>
    <s v="Female"/>
    <n v="30"/>
    <n v="5"/>
    <n v="220273.68"/>
    <n v="4"/>
    <n v="0"/>
    <n v="0"/>
    <n v="57395.97"/>
    <x v="0"/>
    <n v="1.2766655881199942"/>
    <n v="-0.60661600822837958"/>
    <s v="Youngsters"/>
    <s v="More Tenure Period"/>
    <x v="1"/>
  </r>
  <r>
    <n v="84"/>
    <s v="Brown"/>
    <n v="579"/>
    <s v="Spain"/>
    <s v="Male"/>
    <n v="31"/>
    <n v="9"/>
    <n v="34457.83"/>
    <n v="3"/>
    <n v="1"/>
    <n v="1"/>
    <n v="142833.29999999999"/>
    <x v="1"/>
    <n v="-1.3050961968205606"/>
    <n v="1.481159746308947"/>
    <s v="Adults"/>
    <s v="Large Tenure Period"/>
    <x v="1"/>
  </r>
  <r>
    <n v="391"/>
    <s v="Brown"/>
    <n v="580"/>
    <s v="France"/>
    <s v="Female"/>
    <n v="75"/>
    <n v="3"/>
    <n v="206215.22"/>
    <n v="1"/>
    <n v="0"/>
    <n v="1"/>
    <n v="73777.070000000007"/>
    <x v="1"/>
    <n v="1.0813345935728909"/>
    <n v="-0.20632185797050737"/>
    <s v="Senior Citizens"/>
    <s v="Less Tenure Period"/>
    <x v="1"/>
  </r>
  <r>
    <n v="444"/>
    <s v="Brown"/>
    <n v="580"/>
    <s v="Spain"/>
    <s v="Male"/>
    <n v="85"/>
    <n v="9"/>
    <n v="20728.86"/>
    <n v="2"/>
    <n v="0"/>
    <n v="1"/>
    <n v="33648.46"/>
    <x v="1"/>
    <n v="-1.4958491928249129"/>
    <n v="-1.1869182673068495"/>
    <s v="Senior Citizens"/>
    <s v="Large Tenure Period"/>
    <x v="1"/>
  </r>
  <r>
    <n v="29"/>
    <s v="Davis"/>
    <n v="583"/>
    <s v="Spain"/>
    <s v="Male"/>
    <n v="55"/>
    <n v="10"/>
    <n v="137337.07999999999"/>
    <n v="2"/>
    <n v="0"/>
    <n v="1"/>
    <n v="107849.47"/>
    <x v="1"/>
    <n v="0.12432823663517278"/>
    <n v="0.62628293689957582"/>
    <s v="Old person"/>
    <s v="Large Tenure Period"/>
    <x v="1"/>
  </r>
  <r>
    <n v="208"/>
    <s v="Jones"/>
    <n v="583"/>
    <s v="France"/>
    <s v="Female"/>
    <n v="48"/>
    <n v="10"/>
    <n v="111620.9"/>
    <n v="1"/>
    <n v="1"/>
    <n v="1"/>
    <n v="10423.709999999999"/>
    <x v="1"/>
    <n v="-0.23297740106286308"/>
    <n v="-1.7544461846140826"/>
    <s v="Adults"/>
    <s v="Large Tenure Period"/>
    <x v="1"/>
  </r>
  <r>
    <n v="239"/>
    <s v="Moore"/>
    <n v="584"/>
    <s v="Spain"/>
    <s v="Female"/>
    <n v="62"/>
    <n v="1"/>
    <n v="96431.53"/>
    <n v="3"/>
    <n v="1"/>
    <n v="1"/>
    <n v="119070.68"/>
    <x v="0"/>
    <n v="-0.44402148047440149"/>
    <n v="0.90048825411362943"/>
    <s v="Old person"/>
    <s v="Less Tenure Period"/>
    <x v="1"/>
  </r>
  <r>
    <n v="302"/>
    <s v="Miller"/>
    <n v="585"/>
    <s v="Spain"/>
    <s v="Male"/>
    <n v="35"/>
    <n v="0"/>
    <n v="205498.11"/>
    <n v="2"/>
    <n v="0"/>
    <n v="1"/>
    <n v="24566"/>
    <x v="1"/>
    <n v="1.0713709268910725"/>
    <n v="-1.4088603595931497"/>
    <s v="Adults"/>
    <s v="No Tenure Period"/>
    <x v="1"/>
  </r>
  <r>
    <n v="141"/>
    <s v="Smith"/>
    <n v="585"/>
    <s v="France"/>
    <s v="Female"/>
    <n v="41"/>
    <n v="8"/>
    <n v="157571.35999999999"/>
    <n v="2"/>
    <n v="0"/>
    <n v="0"/>
    <n v="142792.82999999999"/>
    <x v="1"/>
    <n v="0.40546728289945522"/>
    <n v="1.4801708075770585"/>
    <s v="Adults"/>
    <s v="Large Tenure Period"/>
    <x v="1"/>
  </r>
  <r>
    <n v="317"/>
    <s v="Brown"/>
    <n v="586"/>
    <s v="Germany"/>
    <s v="Female"/>
    <n v="64"/>
    <n v="9"/>
    <n v="31288.48"/>
    <n v="2"/>
    <n v="0"/>
    <n v="0"/>
    <n v="111373.48"/>
    <x v="0"/>
    <n v="-1.3491317659773434"/>
    <n v="0.71239684795867697"/>
    <s v="Old person"/>
    <s v="Large Tenure Period"/>
    <x v="1"/>
  </r>
  <r>
    <n v="76"/>
    <s v="Brown"/>
    <n v="587"/>
    <s v="Spain"/>
    <s v="Female"/>
    <n v="46"/>
    <n v="4"/>
    <n v="88638.62"/>
    <n v="2"/>
    <n v="1"/>
    <n v="0"/>
    <n v="60075.81"/>
    <x v="0"/>
    <n v="-0.55229769712374066"/>
    <n v="-0.54113052339359713"/>
    <s v="Adults"/>
    <s v="More Tenure Period"/>
    <x v="1"/>
  </r>
  <r>
    <n v="473"/>
    <s v="Taylor"/>
    <n v="588"/>
    <s v="France"/>
    <s v="Male"/>
    <n v="35"/>
    <n v="8"/>
    <n v="199536.6"/>
    <n v="3"/>
    <n v="1"/>
    <n v="1"/>
    <n v="19461.59"/>
    <x v="1"/>
    <n v="0.98854054025537408"/>
    <n v="-1.5335934644223606"/>
    <s v="Adults"/>
    <s v="Large Tenure Period"/>
    <x v="1"/>
  </r>
  <r>
    <n v="49"/>
    <s v="Williams"/>
    <n v="588"/>
    <s v="Spain"/>
    <s v="Female"/>
    <n v="32"/>
    <n v="9"/>
    <n v="126550.42"/>
    <n v="3"/>
    <n v="0"/>
    <n v="1"/>
    <n v="21781.599999999999"/>
    <x v="1"/>
    <n v="-2.5543728405198401E-2"/>
    <n v="-1.4769009082729099"/>
    <s v="Adults"/>
    <s v="Large Tenure Period"/>
    <x v="1"/>
  </r>
  <r>
    <n v="138"/>
    <s v="Williams"/>
    <n v="591"/>
    <s v="France"/>
    <s v="Male"/>
    <n v="61"/>
    <n v="7"/>
    <n v="32382.85"/>
    <n v="4"/>
    <n v="0"/>
    <n v="1"/>
    <n v="108015.6"/>
    <x v="0"/>
    <n v="-1.3339263750239592"/>
    <n v="0.63034254627759945"/>
    <s v="Old person"/>
    <s v="More Tenure Period"/>
    <x v="1"/>
  </r>
  <r>
    <n v="357"/>
    <s v="Williams"/>
    <n v="591"/>
    <s v="Spain"/>
    <s v="Female"/>
    <n v="31"/>
    <n v="8"/>
    <n v="36493.35"/>
    <n v="2"/>
    <n v="1"/>
    <n v="0"/>
    <n v="50480.54"/>
    <x v="1"/>
    <n v="-1.276814283579671"/>
    <n v="-0.77560381585532756"/>
    <s v="Adults"/>
    <s v="Large Tenure Period"/>
    <x v="1"/>
  </r>
  <r>
    <n v="260"/>
    <s v="Wilson"/>
    <n v="592"/>
    <s v="Spain"/>
    <s v="Male"/>
    <n v="78"/>
    <n v="2"/>
    <n v="64372.08"/>
    <n v="2"/>
    <n v="0"/>
    <n v="1"/>
    <n v="45223.9"/>
    <x v="1"/>
    <n v="-0.88946175296037322"/>
    <n v="-0.90405686491867132"/>
    <s v="Senior Citizens"/>
    <s v="Less Tenure Period"/>
    <x v="1"/>
  </r>
  <r>
    <n v="110"/>
    <s v="Wilson"/>
    <n v="592"/>
    <s v="Spain"/>
    <s v="Male"/>
    <n v="41"/>
    <n v="4"/>
    <n v="66018.19"/>
    <n v="3"/>
    <n v="0"/>
    <n v="0"/>
    <n v="102543.92"/>
    <x v="0"/>
    <n v="-0.86659037846886189"/>
    <n v="0.49663470638388063"/>
    <s v="Adults"/>
    <s v="More Tenure Period"/>
    <x v="1"/>
  </r>
  <r>
    <n v="77"/>
    <s v="Miller"/>
    <n v="593"/>
    <s v="Germany"/>
    <s v="Female"/>
    <n v="74"/>
    <n v="4"/>
    <n v="166950.85999999999"/>
    <n v="4"/>
    <n v="1"/>
    <n v="1"/>
    <n v="18020.810000000001"/>
    <x v="0"/>
    <n v="0.53578789151196016"/>
    <n v="-1.5688008562219671"/>
    <s v="Senior Citizens"/>
    <s v="More Tenure Period"/>
    <x v="1"/>
  </r>
  <r>
    <n v="406"/>
    <s v="Jones"/>
    <n v="596"/>
    <s v="Spain"/>
    <s v="Female"/>
    <n v="88"/>
    <n v="4"/>
    <n v="225228.97"/>
    <n v="3"/>
    <n v="0"/>
    <n v="1"/>
    <n v="55636.3"/>
    <x v="1"/>
    <n v="1.3455153571536804"/>
    <n v="-0.64961590490102483"/>
    <s v="Senior Citizens"/>
    <s v="More Tenure Period"/>
    <x v="1"/>
  </r>
  <r>
    <n v="18"/>
    <s v="Wilson"/>
    <n v="596"/>
    <s v="Spain"/>
    <s v="Male"/>
    <n v="40"/>
    <n v="7"/>
    <n v="124186.11"/>
    <n v="3"/>
    <n v="1"/>
    <n v="1"/>
    <n v="108305.55"/>
    <x v="0"/>
    <n v="-5.8393914251846021E-2"/>
    <n v="0.63742786343378965"/>
    <s v="Adults"/>
    <s v="More Tenure Period"/>
    <x v="1"/>
  </r>
  <r>
    <n v="459"/>
    <s v="Taylor"/>
    <n v="600"/>
    <s v="Spain"/>
    <s v="Male"/>
    <n v="21"/>
    <n v="4"/>
    <n v="30283.43"/>
    <n v="1"/>
    <n v="0"/>
    <n v="0"/>
    <n v="140478.74"/>
    <x v="1"/>
    <n v="-1.363096127370381"/>
    <n v="1.4236229145680275"/>
    <s v="Youngsters"/>
    <s v="More Tenure Period"/>
    <x v="1"/>
  </r>
  <r>
    <n v="78"/>
    <s v="Brown"/>
    <n v="600"/>
    <s v="Spain"/>
    <s v="Female"/>
    <n v="27"/>
    <n v="7"/>
    <n v="127193.14"/>
    <n v="2"/>
    <n v="0"/>
    <n v="0"/>
    <n v="11971.58"/>
    <x v="0"/>
    <n v="-1.6613650941855008E-2"/>
    <n v="-1.7166219050260418"/>
    <s v="Youngsters"/>
    <s v="More Tenure Period"/>
    <x v="1"/>
  </r>
  <r>
    <n v="369"/>
    <s v="Brown"/>
    <n v="602"/>
    <s v="France"/>
    <s v="Female"/>
    <n v="76"/>
    <n v="8"/>
    <n v="181947.19"/>
    <n v="3"/>
    <n v="0"/>
    <n v="1"/>
    <n v="81521.02"/>
    <x v="0"/>
    <n v="0.74414983538465795"/>
    <n v="-1.7088052860383649E-2"/>
    <s v="Senior Citizens"/>
    <s v="Large Tenure Period"/>
    <x v="2"/>
  </r>
  <r>
    <n v="440"/>
    <s v="Jones"/>
    <n v="603"/>
    <s v="France"/>
    <s v="Male"/>
    <n v="24"/>
    <n v="0"/>
    <n v="78305.72"/>
    <n v="2"/>
    <n v="0"/>
    <n v="1"/>
    <n v="84684"/>
    <x v="0"/>
    <n v="-0.69586503192113414"/>
    <n v="6.0203605903841141E-2"/>
    <s v="Youngsters"/>
    <s v="No Tenure Period"/>
    <x v="2"/>
  </r>
  <r>
    <n v="80"/>
    <s v="Jones"/>
    <n v="604"/>
    <s v="Germany"/>
    <s v="Male"/>
    <n v="27"/>
    <n v="7"/>
    <n v="162041.47"/>
    <n v="3"/>
    <n v="1"/>
    <n v="0"/>
    <n v="109301.93"/>
    <x v="1"/>
    <n v="0.46757586606112128"/>
    <n v="0.66177574516541549"/>
    <s v="Youngsters"/>
    <s v="More Tenure Period"/>
    <x v="2"/>
  </r>
  <r>
    <n v="379"/>
    <s v="Miller"/>
    <n v="605"/>
    <s v="Spain"/>
    <s v="Female"/>
    <n v="45"/>
    <n v="0"/>
    <n v="25176.02"/>
    <n v="1"/>
    <n v="0"/>
    <n v="1"/>
    <n v="47799.89"/>
    <x v="0"/>
    <n v="-1.4340594814546705"/>
    <n v="-0.84110909412655266"/>
    <s v="Adults"/>
    <s v="No Tenure Period"/>
    <x v="2"/>
  </r>
  <r>
    <n v="448"/>
    <s v="Davis"/>
    <n v="605"/>
    <s v="France"/>
    <s v="Female"/>
    <n v="90"/>
    <n v="6"/>
    <n v="125191.91"/>
    <n v="2"/>
    <n v="0"/>
    <n v="1"/>
    <n v="74035.929999999993"/>
    <x v="1"/>
    <n v="-4.4419132212029623E-2"/>
    <n v="-0.19999626666493281"/>
    <s v="Senior Citizens"/>
    <s v="More Tenure Period"/>
    <x v="2"/>
  </r>
  <r>
    <n v="279"/>
    <s v="Miller"/>
    <n v="607"/>
    <s v="Spain"/>
    <s v="Female"/>
    <n v="45"/>
    <n v="2"/>
    <n v="72836.13"/>
    <n v="3"/>
    <n v="1"/>
    <n v="1"/>
    <n v="127236.12"/>
    <x v="1"/>
    <n v="-0.77186058580576233"/>
    <n v="1.1000217327128468"/>
    <s v="Adults"/>
    <s v="Less Tenure Period"/>
    <x v="2"/>
  </r>
  <r>
    <n v="205"/>
    <s v="Brown"/>
    <n v="608"/>
    <s v="Germany"/>
    <s v="Female"/>
    <n v="23"/>
    <n v="3"/>
    <n v="88373.18"/>
    <n v="1"/>
    <n v="0"/>
    <n v="0"/>
    <n v="122196.71"/>
    <x v="0"/>
    <n v="-0.55598577243160385"/>
    <n v="0.97687699006729689"/>
    <s v="Youngsters"/>
    <s v="Less Tenure Period"/>
    <x v="2"/>
  </r>
  <r>
    <n v="293"/>
    <s v="Wilson"/>
    <n v="608"/>
    <s v="Spain"/>
    <s v="Female"/>
    <n v="81"/>
    <n v="9"/>
    <n v="30279.62"/>
    <n v="1"/>
    <n v="0"/>
    <n v="1"/>
    <n v="74150.789999999994"/>
    <x v="1"/>
    <n v="-1.3631490642560162"/>
    <n v="-0.19718950850469819"/>
    <s v="Senior Citizens"/>
    <s v="Large Tenure Period"/>
    <x v="2"/>
  </r>
  <r>
    <n v="169"/>
    <s v="Taylor"/>
    <n v="610"/>
    <s v="Germany"/>
    <s v="Male"/>
    <n v="21"/>
    <n v="4"/>
    <n v="183590.26"/>
    <n v="3"/>
    <n v="1"/>
    <n v="1"/>
    <n v="86790.47"/>
    <x v="0"/>
    <n v="0.76697897152122707"/>
    <n v="0.11167802573484763"/>
    <s v="Youngsters"/>
    <s v="More Tenure Period"/>
    <x v="2"/>
  </r>
  <r>
    <n v="450"/>
    <s v="Jones"/>
    <n v="610"/>
    <s v="France"/>
    <s v="Female"/>
    <n v="60"/>
    <n v="10"/>
    <n v="104917.3"/>
    <n v="2"/>
    <n v="0"/>
    <n v="1"/>
    <n v="72303.199999999997"/>
    <x v="1"/>
    <n v="-0.32611853138908381"/>
    <n v="-0.24233784830330393"/>
    <s v="Old person"/>
    <s v="Large Tenure Period"/>
    <x v="2"/>
  </r>
  <r>
    <n v="353"/>
    <s v="Johnson"/>
    <n v="611"/>
    <s v="Germany"/>
    <s v="Female"/>
    <n v="36"/>
    <n v="4"/>
    <n v="124751.31"/>
    <n v="1"/>
    <n v="0"/>
    <n v="0"/>
    <n v="16581.23"/>
    <x v="1"/>
    <n v="-5.0540914839533269E-2"/>
    <n v="-1.6039789244120295"/>
    <s v="Adults"/>
    <s v="More Tenure Period"/>
    <x v="2"/>
  </r>
  <r>
    <n v="283"/>
    <s v="Brown"/>
    <n v="612"/>
    <s v="Spain"/>
    <s v="Male"/>
    <n v="56"/>
    <n v="9"/>
    <n v="235159.65"/>
    <n v="3"/>
    <n v="0"/>
    <n v="1"/>
    <n v="132280.03"/>
    <x v="1"/>
    <n v="1.4834941685547178"/>
    <n v="1.223276438894189"/>
    <s v="Old person"/>
    <s v="Large Tenure Period"/>
    <x v="2"/>
  </r>
  <r>
    <n v="170"/>
    <s v="Miller"/>
    <n v="613"/>
    <s v="Spain"/>
    <s v="Male"/>
    <n v="55"/>
    <n v="1"/>
    <n v="152640.81"/>
    <n v="4"/>
    <n v="1"/>
    <n v="0"/>
    <n v="33137.160000000003"/>
    <x v="0"/>
    <n v="0.33696125626750417"/>
    <n v="-1.1994125686069359"/>
    <s v="Old person"/>
    <s v="Less Tenure Period"/>
    <x v="2"/>
  </r>
  <r>
    <n v="433"/>
    <s v="Davis"/>
    <n v="614"/>
    <s v="France"/>
    <s v="Male"/>
    <n v="19"/>
    <n v="0"/>
    <n v="179138.58"/>
    <n v="2"/>
    <n v="0"/>
    <n v="0"/>
    <n v="40101.64"/>
    <x v="1"/>
    <n v="0.70512645838639909"/>
    <n v="-1.0292261584398565"/>
    <s v="Youngsters"/>
    <s v="No Tenure Period"/>
    <x v="2"/>
  </r>
  <r>
    <n v="204"/>
    <s v="Jones"/>
    <n v="615"/>
    <s v="France"/>
    <s v="Female"/>
    <n v="72"/>
    <n v="6"/>
    <n v="199237.9"/>
    <n v="2"/>
    <n v="0"/>
    <n v="0"/>
    <n v="149768.04999999999"/>
    <x v="1"/>
    <n v="0.98439034399837144"/>
    <n v="1.6506196640495614"/>
    <s v="Senior Citizens"/>
    <s v="More Tenure Period"/>
    <x v="2"/>
  </r>
  <r>
    <n v="280"/>
    <s v="Smith"/>
    <n v="616"/>
    <s v="France"/>
    <s v="Male"/>
    <n v="45"/>
    <n v="9"/>
    <n v="9477.92"/>
    <n v="3"/>
    <n v="1"/>
    <n v="1"/>
    <n v="23547.86"/>
    <x v="1"/>
    <n v="-1.6521719550470759"/>
    <n v="-1.4337399761111826"/>
    <s v="Adults"/>
    <s v="Large Tenure Period"/>
    <x v="2"/>
  </r>
  <r>
    <n v="27"/>
    <s v="Smith"/>
    <n v="618"/>
    <s v="Germany"/>
    <s v="Male"/>
    <n v="22"/>
    <n v="4"/>
    <n v="39874.14"/>
    <n v="3"/>
    <n v="1"/>
    <n v="1"/>
    <n v="137124.10999999999"/>
    <x v="1"/>
    <n v="-1.2298409256830802"/>
    <n v="1.3416480309961327"/>
    <s v="Youngsters"/>
    <s v="More Tenure Period"/>
    <x v="2"/>
  </r>
  <r>
    <n v="272"/>
    <s v="Taylor"/>
    <n v="621"/>
    <s v="France"/>
    <s v="Female"/>
    <n v="77"/>
    <n v="7"/>
    <n v="148341.38"/>
    <n v="2"/>
    <n v="0"/>
    <n v="1"/>
    <n v="26002.71"/>
    <x v="1"/>
    <n v="0.27722413442872157"/>
    <n v="-1.3737524237025813"/>
    <s v="Senior Citizens"/>
    <s v="More Tenure Period"/>
    <x v="2"/>
  </r>
  <r>
    <n v="477"/>
    <s v="Brown"/>
    <n v="622"/>
    <s v="Germany"/>
    <s v="Male"/>
    <n v="22"/>
    <n v="0"/>
    <n v="34494.730000000003"/>
    <n v="1"/>
    <n v="1"/>
    <n v="1"/>
    <n v="146557.31"/>
    <x v="0"/>
    <n v="-1.3045835009990563"/>
    <n v="1.5721609256254654"/>
    <s v="Youngsters"/>
    <s v="No Tenure Period"/>
    <x v="2"/>
  </r>
  <r>
    <n v="235"/>
    <s v="Johnson"/>
    <n v="624"/>
    <s v="France"/>
    <s v="Male"/>
    <n v="65"/>
    <n v="4"/>
    <n v="179014.43"/>
    <n v="1"/>
    <n v="1"/>
    <n v="0"/>
    <n v="83705.740000000005"/>
    <x v="1"/>
    <n v="0.70340149398965701"/>
    <n v="3.6298510676337256E-2"/>
    <s v="Old person"/>
    <s v="More Tenure Period"/>
    <x v="2"/>
  </r>
  <r>
    <n v="312"/>
    <s v="Smith"/>
    <n v="624"/>
    <s v="Spain"/>
    <s v="Male"/>
    <n v="80"/>
    <n v="10"/>
    <n v="81815.67"/>
    <n v="4"/>
    <n v="0"/>
    <n v="0"/>
    <n v="129536.99"/>
    <x v="0"/>
    <n v="-0.64709709970732077"/>
    <n v="1.156246577290063"/>
    <s v="Senior Citizens"/>
    <s v="Large Tenure Period"/>
    <x v="2"/>
  </r>
  <r>
    <n v="431"/>
    <s v="Taylor"/>
    <n v="625"/>
    <s v="France"/>
    <s v="Male"/>
    <n v="36"/>
    <n v="0"/>
    <n v="165914.53"/>
    <n v="2"/>
    <n v="1"/>
    <n v="0"/>
    <n v="71091.44"/>
    <x v="0"/>
    <n v="0.52138891967727863"/>
    <n v="-0.27194882922134223"/>
    <s v="Adults"/>
    <s v="No Tenure Period"/>
    <x v="2"/>
  </r>
  <r>
    <n v="231"/>
    <s v="Davis"/>
    <n v="626"/>
    <s v="Germany"/>
    <s v="Male"/>
    <n v="27"/>
    <n v="9"/>
    <n v="13467.28"/>
    <n v="1"/>
    <n v="0"/>
    <n v="0"/>
    <n v="114472.4"/>
    <x v="1"/>
    <n v="-1.5967430064704584"/>
    <n v="0.78812311470005114"/>
    <s v="Youngsters"/>
    <s v="Large Tenure Period"/>
    <x v="2"/>
  </r>
  <r>
    <n v="403"/>
    <s v="Miller"/>
    <n v="628"/>
    <s v="France"/>
    <s v="Male"/>
    <n v="77"/>
    <n v="2"/>
    <n v="212693.91"/>
    <n v="4"/>
    <n v="1"/>
    <n v="1"/>
    <n v="71242.42"/>
    <x v="1"/>
    <n v="1.1713507803431611"/>
    <n v="-0.26825943041381817"/>
    <s v="Senior Citizens"/>
    <s v="Less Tenure Period"/>
    <x v="2"/>
  </r>
  <r>
    <n v="399"/>
    <s v="Smith"/>
    <n v="629"/>
    <s v="Germany"/>
    <s v="Female"/>
    <n v="48"/>
    <n v="4"/>
    <n v="234503.75"/>
    <n v="1"/>
    <n v="1"/>
    <n v="0"/>
    <n v="64388.61"/>
    <x v="0"/>
    <n v="1.4743809655919862"/>
    <n v="-0.43574147069065589"/>
    <s v="Adults"/>
    <s v="More Tenure Period"/>
    <x v="2"/>
  </r>
  <r>
    <n v="482"/>
    <s v="Brown"/>
    <n v="629"/>
    <s v="Germany"/>
    <s v="Male"/>
    <n v="37"/>
    <n v="9"/>
    <n v="24530.880000000001"/>
    <n v="2"/>
    <n v="1"/>
    <n v="0"/>
    <n v="100372.28"/>
    <x v="0"/>
    <n v="-1.4430231828716193"/>
    <n v="0.44356777019119481"/>
    <s v="Adults"/>
    <s v="Large Tenure Period"/>
    <x v="2"/>
  </r>
  <r>
    <n v="81"/>
    <s v="Brown"/>
    <n v="631"/>
    <s v="France"/>
    <s v="Male"/>
    <n v="54"/>
    <n v="10"/>
    <n v="68959.39"/>
    <n v="3"/>
    <n v="0"/>
    <n v="0"/>
    <n v="101131.11"/>
    <x v="0"/>
    <n v="-0.8257247700621132"/>
    <n v="0.46211079905007374"/>
    <s v="Old person"/>
    <s v="Large Tenure Period"/>
    <x v="2"/>
  </r>
  <r>
    <n v="57"/>
    <s v="Brown"/>
    <n v="634"/>
    <s v="Germany"/>
    <s v="Female"/>
    <n v="57"/>
    <n v="6"/>
    <n v="147135.54"/>
    <n v="4"/>
    <n v="1"/>
    <n v="0"/>
    <n v="16131.69"/>
    <x v="1"/>
    <n v="0.2604699574801313"/>
    <n v="-1.6149640372742256"/>
    <s v="Old person"/>
    <s v="More Tenure Period"/>
    <x v="2"/>
  </r>
  <r>
    <n v="241"/>
    <s v="Brown"/>
    <n v="634"/>
    <s v="Spain"/>
    <s v="Male"/>
    <n v="26"/>
    <n v="8"/>
    <n v="195884.79999999999"/>
    <n v="3"/>
    <n v="0"/>
    <n v="1"/>
    <n v="58187.74"/>
    <x v="1"/>
    <n v="0.93780171638084475"/>
    <n v="-0.58726804628750418"/>
    <s v="Youngsters"/>
    <s v="Large Tenure Period"/>
    <x v="2"/>
  </r>
  <r>
    <n v="186"/>
    <s v="Williams"/>
    <n v="635"/>
    <s v="Spain"/>
    <s v="Male"/>
    <n v="79"/>
    <n v="2"/>
    <n v="113120.37"/>
    <n v="3"/>
    <n v="1"/>
    <n v="0"/>
    <n v="87508.69"/>
    <x v="0"/>
    <n v="-0.21214347142949319"/>
    <n v="0.12922869477405802"/>
    <s v="Senior Citizens"/>
    <s v="Less Tenure Period"/>
    <x v="2"/>
  </r>
  <r>
    <n v="416"/>
    <s v="Wilson"/>
    <n v="636"/>
    <s v="France"/>
    <s v="Female"/>
    <n v="53"/>
    <n v="3"/>
    <n v="196579.74"/>
    <n v="2"/>
    <n v="1"/>
    <n v="0"/>
    <n v="58389.15"/>
    <x v="1"/>
    <n v="0.94745734874388909"/>
    <n v="-0.58234632278887233"/>
    <s v="Old person"/>
    <s v="Less Tenure Period"/>
    <x v="2"/>
  </r>
  <r>
    <n v="152"/>
    <s v="Jones"/>
    <n v="638"/>
    <s v="Spain"/>
    <s v="Male"/>
    <n v="35"/>
    <n v="3"/>
    <n v="29176.44"/>
    <n v="4"/>
    <n v="1"/>
    <n v="1"/>
    <n v="119718.19"/>
    <x v="0"/>
    <n v="-1.3784768630735589"/>
    <n v="0.91631102946043019"/>
    <s v="Adults"/>
    <s v="Less Tenure Period"/>
    <x v="2"/>
  </r>
  <r>
    <n v="337"/>
    <s v="Taylor"/>
    <n v="638"/>
    <s v="Spain"/>
    <s v="Female"/>
    <n v="69"/>
    <n v="5"/>
    <n v="4147.6899999999996"/>
    <n v="2"/>
    <n v="0"/>
    <n v="0"/>
    <n v="37164.6"/>
    <x v="1"/>
    <n v="-1.7262312138182931"/>
    <n v="-1.1009966702536775"/>
    <s v="Old person"/>
    <s v="More Tenure Period"/>
    <x v="2"/>
  </r>
  <r>
    <n v="224"/>
    <s v="Moore"/>
    <n v="639"/>
    <s v="Germany"/>
    <s v="Male"/>
    <n v="33"/>
    <n v="3"/>
    <n v="96088.43"/>
    <n v="1"/>
    <n v="1"/>
    <n v="0"/>
    <n v="43587.17"/>
    <x v="0"/>
    <n v="-0.44878857902069402"/>
    <n v="-0.94405255779348241"/>
    <s v="Adults"/>
    <s v="Less Tenure Period"/>
    <x v="2"/>
  </r>
  <r>
    <n v="418"/>
    <s v="Brown"/>
    <n v="640"/>
    <s v="France"/>
    <s v="Female"/>
    <n v="72"/>
    <n v="1"/>
    <n v="203648.16"/>
    <n v="2"/>
    <n v="0"/>
    <n v="0"/>
    <n v="102614.36"/>
    <x v="1"/>
    <n v="1.0456673595471093"/>
    <n v="0.49835600226414295"/>
    <s v="Senior Citizens"/>
    <s v="Less Tenure Period"/>
    <x v="2"/>
  </r>
  <r>
    <n v="45"/>
    <s v="Wilson"/>
    <n v="640"/>
    <s v="Spain"/>
    <s v="Female"/>
    <n v="44"/>
    <n v="1"/>
    <n v="133364.17000000001"/>
    <n v="4"/>
    <n v="1"/>
    <n v="0"/>
    <n v="124490.71"/>
    <x v="0"/>
    <n v="6.9127847577898541E-2"/>
    <n v="1.0329339569798703"/>
    <s v="Adults"/>
    <s v="Less Tenure Period"/>
    <x v="2"/>
  </r>
  <r>
    <n v="153"/>
    <s v="Miller"/>
    <n v="640"/>
    <s v="Spain"/>
    <s v="Male"/>
    <n v="70"/>
    <n v="2"/>
    <n v="47856.39"/>
    <n v="1"/>
    <n v="0"/>
    <n v="1"/>
    <n v="11462.63"/>
    <x v="1"/>
    <n v="-1.1189339820190078"/>
    <n v="-1.7290587809241038"/>
    <s v="Old person"/>
    <s v="Less Tenure Period"/>
    <x v="2"/>
  </r>
  <r>
    <n v="349"/>
    <s v="Taylor"/>
    <n v="642"/>
    <s v="Spain"/>
    <s v="Male"/>
    <n v="80"/>
    <n v="5"/>
    <n v="141610.87"/>
    <n v="1"/>
    <n v="1"/>
    <n v="0"/>
    <n v="35048.160000000003"/>
    <x v="0"/>
    <n v="0.18370911129608636"/>
    <n v="-1.152714720407316"/>
    <s v="Senior Citizens"/>
    <s v="More Tenure Period"/>
    <x v="2"/>
  </r>
  <r>
    <n v="486"/>
    <s v="Williams"/>
    <n v="643"/>
    <s v="Germany"/>
    <s v="Male"/>
    <n v="34"/>
    <n v="3"/>
    <n v="70266.98"/>
    <n v="2"/>
    <n v="0"/>
    <n v="1"/>
    <n v="129097.79"/>
    <x v="1"/>
    <n v="-0.80755685870056682"/>
    <n v="1.1455141361967749"/>
    <s v="Adults"/>
    <s v="Less Tenure Period"/>
    <x v="2"/>
  </r>
  <r>
    <n v="174"/>
    <s v="Moore"/>
    <n v="643"/>
    <s v="Spain"/>
    <s v="Male"/>
    <n v="78"/>
    <n v="10"/>
    <n v="55309.99"/>
    <n v="2"/>
    <n v="0"/>
    <n v="1"/>
    <n v="57614.96"/>
    <x v="1"/>
    <n v="-1.0153722049142402"/>
    <n v="-0.60126469384992087"/>
    <s v="Senior Citizens"/>
    <s v="Large Tenure Period"/>
    <x v="2"/>
  </r>
  <r>
    <n v="466"/>
    <s v="Jones"/>
    <n v="646"/>
    <s v="France"/>
    <s v="Female"/>
    <n v="40"/>
    <n v="7"/>
    <n v="66516.78"/>
    <n v="4"/>
    <n v="1"/>
    <n v="0"/>
    <n v="14893.47"/>
    <x v="1"/>
    <n v="-0.85966287143244113"/>
    <n v="-1.6452216037827203"/>
    <s v="Adults"/>
    <s v="More Tenure Period"/>
    <x v="2"/>
  </r>
  <r>
    <n v="496"/>
    <s v="Moore"/>
    <n v="647"/>
    <s v="Germany"/>
    <s v="Male"/>
    <n v="87"/>
    <n v="7"/>
    <n v="154264.92000000001"/>
    <n v="2"/>
    <n v="1"/>
    <n v="0"/>
    <n v="97382.98"/>
    <x v="1"/>
    <n v="0.35952695845351168"/>
    <n v="0.37052021518171085"/>
    <s v="Senior Citizens"/>
    <s v="More Tenure Period"/>
    <x v="2"/>
  </r>
  <r>
    <n v="304"/>
    <s v="Williams"/>
    <n v="649"/>
    <s v="France"/>
    <s v="Male"/>
    <n v="74"/>
    <n v="6"/>
    <n v="39932.25"/>
    <n v="3"/>
    <n v="1"/>
    <n v="0"/>
    <n v="20310.53"/>
    <x v="0"/>
    <n v="-1.2290335339706784"/>
    <n v="-1.5128484768501023"/>
    <s v="Senior Citizens"/>
    <s v="More Tenure Period"/>
    <x v="2"/>
  </r>
  <r>
    <n v="247"/>
    <s v="Jones"/>
    <n v="651"/>
    <s v="Spain"/>
    <s v="Female"/>
    <n v="45"/>
    <n v="2"/>
    <n v="114118.16"/>
    <n v="4"/>
    <n v="0"/>
    <n v="0"/>
    <n v="36850.699999999997"/>
    <x v="0"/>
    <n v="-0.19827998189727158"/>
    <n v="-1.1086672377836937"/>
    <s v="Adults"/>
    <s v="Less Tenure Period"/>
    <x v="2"/>
  </r>
  <r>
    <n v="103"/>
    <s v="Williams"/>
    <n v="651"/>
    <s v="Spain"/>
    <s v="Male"/>
    <n v="49"/>
    <n v="10"/>
    <n v="100461.13"/>
    <n v="1"/>
    <n v="0"/>
    <n v="0"/>
    <n v="30554.85"/>
    <x v="0"/>
    <n v="-0.3880334294626257"/>
    <n v="-1.2625147770759892"/>
    <s v="Adults"/>
    <s v="Large Tenure Period"/>
    <x v="2"/>
  </r>
  <r>
    <n v="150"/>
    <s v="Smith"/>
    <n v="652"/>
    <s v="Germany"/>
    <s v="Female"/>
    <n v="57"/>
    <n v="0"/>
    <n v="7447.39"/>
    <n v="2"/>
    <n v="0"/>
    <n v="0"/>
    <n v="60175.22"/>
    <x v="1"/>
    <n v="-1.6803845362513992"/>
    <n v="-0.53870130670624794"/>
    <s v="Old person"/>
    <s v="No Tenure Period"/>
    <x v="2"/>
  </r>
  <r>
    <n v="201"/>
    <s v="Taylor"/>
    <n v="654"/>
    <s v="France"/>
    <s v="Female"/>
    <n v="25"/>
    <n v="6"/>
    <n v="232419.55"/>
    <n v="1"/>
    <n v="1"/>
    <n v="1"/>
    <n v="25837.27"/>
    <x v="1"/>
    <n v="1.4454226829041901"/>
    <n v="-1.3777951720051167"/>
    <s v="Youngsters"/>
    <s v="More Tenure Period"/>
    <x v="2"/>
  </r>
  <r>
    <n v="228"/>
    <s v="Brown"/>
    <n v="656"/>
    <s v="Germany"/>
    <s v="Male"/>
    <n v="65"/>
    <n v="6"/>
    <n v="244926.41"/>
    <n v="3"/>
    <n v="0"/>
    <n v="1"/>
    <n v="129494.46"/>
    <x v="1"/>
    <n v="1.6191954433958362"/>
    <n v="1.1552072996951233"/>
    <s v="Old person"/>
    <s v="More Tenure Period"/>
    <x v="2"/>
  </r>
  <r>
    <n v="292"/>
    <s v="Wilson"/>
    <n v="657"/>
    <s v="Spain"/>
    <s v="Female"/>
    <n v="86"/>
    <n v="5"/>
    <n v="44447.47"/>
    <n v="2"/>
    <n v="0"/>
    <n v="0"/>
    <n v="145899.54"/>
    <x v="0"/>
    <n v="-1.1662981836407724"/>
    <n v="1.5560874334170596"/>
    <s v="Senior Citizens"/>
    <s v="More Tenure Period"/>
    <x v="2"/>
  </r>
  <r>
    <n v="5"/>
    <s v="Wilson"/>
    <n v="659"/>
    <s v="Spain"/>
    <s v="Female"/>
    <n v="21"/>
    <n v="2"/>
    <n v="7463.43"/>
    <n v="1"/>
    <n v="1"/>
    <n v="1"/>
    <n v="16036.55"/>
    <x v="0"/>
    <n v="-1.680161673352295"/>
    <n v="-1.6172889107842787"/>
    <s v="Youngsters"/>
    <s v="Less Tenure Period"/>
    <x v="2"/>
  </r>
  <r>
    <n v="248"/>
    <s v="Williams"/>
    <n v="660"/>
    <s v="Spain"/>
    <s v="Female"/>
    <n v="35"/>
    <n v="9"/>
    <n v="80413.460000000006"/>
    <n v="2"/>
    <n v="0"/>
    <n v="1"/>
    <n v="42147.48"/>
    <x v="0"/>
    <n v="-0.66657967986644862"/>
    <n v="-0.97923331398108604"/>
    <s v="Adults"/>
    <s v="Large Tenure Period"/>
    <x v="2"/>
  </r>
  <r>
    <n v="380"/>
    <s v="Miller"/>
    <n v="662"/>
    <s v="Germany"/>
    <s v="Male"/>
    <n v="24"/>
    <n v="3"/>
    <n v="148964.49"/>
    <n v="1"/>
    <n v="1"/>
    <n v="0"/>
    <n v="134929.35"/>
    <x v="1"/>
    <n v="0.285881746714295"/>
    <n v="1.28801612659289"/>
    <s v="Youngsters"/>
    <s v="Less Tenure Period"/>
    <x v="2"/>
  </r>
  <r>
    <n v="111"/>
    <s v="Williams"/>
    <n v="663"/>
    <s v="France"/>
    <s v="Female"/>
    <n v="70"/>
    <n v="6"/>
    <n v="108982.82"/>
    <n v="4"/>
    <n v="0"/>
    <n v="0"/>
    <n v="110349.05"/>
    <x v="1"/>
    <n v="-0.26963140086759418"/>
    <n v="0.68736352685394841"/>
    <s v="Old person"/>
    <s v="More Tenure Period"/>
    <x v="2"/>
  </r>
  <r>
    <n v="424"/>
    <s v="Taylor"/>
    <n v="665"/>
    <s v="Germany"/>
    <s v="Male"/>
    <n v="27"/>
    <n v="9"/>
    <n v="36155.39"/>
    <n v="3"/>
    <n v="0"/>
    <n v="0"/>
    <n v="122338.51"/>
    <x v="1"/>
    <n v="-1.2815099659600411"/>
    <n v="0.98034206326180529"/>
    <s v="Youngsters"/>
    <s v="Large Tenure Period"/>
    <x v="2"/>
  </r>
  <r>
    <n v="457"/>
    <s v="Jones"/>
    <n v="666"/>
    <s v="France"/>
    <s v="Male"/>
    <n v="24"/>
    <n v="2"/>
    <n v="75143.55"/>
    <n v="1"/>
    <n v="1"/>
    <n v="0"/>
    <n v="132228.18"/>
    <x v="0"/>
    <n v="-0.73980084075275676"/>
    <n v="1.2220094145984535"/>
    <s v="Youngsters"/>
    <s v="Less Tenure Period"/>
    <x v="2"/>
  </r>
  <r>
    <n v="100"/>
    <s v="Williams"/>
    <n v="668"/>
    <s v="Spain"/>
    <s v="Male"/>
    <n v="80"/>
    <n v="4"/>
    <n v="245611.62"/>
    <n v="2"/>
    <n v="1"/>
    <n v="0"/>
    <n v="103995.53"/>
    <x v="1"/>
    <n v="1.6287158852346735"/>
    <n v="0.53210674375962641"/>
    <s v="Senior Citizens"/>
    <s v="More Tenure Period"/>
    <x v="2"/>
  </r>
  <r>
    <n v="398"/>
    <s v="Brown"/>
    <n v="668"/>
    <s v="Germany"/>
    <s v="Female"/>
    <n v="85"/>
    <n v="8"/>
    <n v="137118.25"/>
    <n v="1"/>
    <n v="1"/>
    <n v="1"/>
    <n v="69952.509999999995"/>
    <x v="1"/>
    <n v="0.12128776978910713"/>
    <n v="-0.29978011140344241"/>
    <s v="Senior Citizens"/>
    <s v="Large Tenure Period"/>
    <x v="2"/>
  </r>
  <r>
    <n v="381"/>
    <s v="Wilson"/>
    <n v="668"/>
    <s v="Spain"/>
    <s v="Female"/>
    <n v="25"/>
    <n v="10"/>
    <n v="65557.83"/>
    <n v="1"/>
    <n v="1"/>
    <n v="1"/>
    <n v="119298.33"/>
    <x v="1"/>
    <n v="-0.87298671040349096"/>
    <n v="0.90605118720763456"/>
    <s v="Youngsters"/>
    <s v="Large Tenure Period"/>
    <x v="2"/>
  </r>
  <r>
    <n v="342"/>
    <s v="Moore"/>
    <n v="670"/>
    <s v="France"/>
    <s v="Male"/>
    <n v="83"/>
    <n v="2"/>
    <n v="28880.560000000001"/>
    <n v="3"/>
    <n v="1"/>
    <n v="1"/>
    <n v="124392.15"/>
    <x v="0"/>
    <n v="-1.3825878776986742"/>
    <n v="1.030525511182615"/>
    <s v="Senior Citizens"/>
    <s v="Less Tenure Period"/>
    <x v="2"/>
  </r>
  <r>
    <n v="191"/>
    <s v="Davis"/>
    <n v="671"/>
    <s v="Germany"/>
    <s v="Male"/>
    <n v="21"/>
    <n v="1"/>
    <n v="87143.41"/>
    <n v="2"/>
    <n v="0"/>
    <n v="0"/>
    <n v="130888.76"/>
    <x v="1"/>
    <n v="-0.57307243748340819"/>
    <n v="1.189278890351706"/>
    <s v="Youngsters"/>
    <s v="Less Tenure Period"/>
    <x v="2"/>
  </r>
  <r>
    <n v="41"/>
    <s v="Taylor"/>
    <n v="671"/>
    <s v="Spain"/>
    <s v="Male"/>
    <n v="63"/>
    <n v="5"/>
    <n v="43010.54"/>
    <n v="3"/>
    <n v="0"/>
    <n v="1"/>
    <n v="82220.31"/>
    <x v="1"/>
    <n v="-1.1862631702747686"/>
    <n v="3.6238262035302938E-8"/>
    <s v="Old person"/>
    <s v="More Tenure Period"/>
    <x v="2"/>
  </r>
  <r>
    <n v="10"/>
    <s v="Brown"/>
    <n v="671"/>
    <s v="France"/>
    <s v="Female"/>
    <n v="56"/>
    <n v="7"/>
    <n v="56345.73"/>
    <n v="2"/>
    <n v="0"/>
    <n v="0"/>
    <n v="143065.1"/>
    <x v="1"/>
    <n v="-1.0009814306550244"/>
    <n v="1.4868240902192937"/>
    <s v="Old person"/>
    <s v="More Tenure Period"/>
    <x v="2"/>
  </r>
  <r>
    <n v="12"/>
    <s v="Miller"/>
    <n v="672"/>
    <s v="Germany"/>
    <s v="Male"/>
    <n v="21"/>
    <n v="3"/>
    <n v="157278.91"/>
    <n v="3"/>
    <n v="0"/>
    <n v="0"/>
    <n v="58708.71"/>
    <x v="1"/>
    <n v="0.40140392536560748"/>
    <n v="-0.57453744556717135"/>
    <s v="Youngsters"/>
    <s v="Less Tenure Period"/>
    <x v="2"/>
  </r>
  <r>
    <n v="60"/>
    <s v="Taylor"/>
    <n v="672"/>
    <s v="Germany"/>
    <s v="Male"/>
    <n v="30"/>
    <n v="7"/>
    <n v="119338.08"/>
    <n v="2"/>
    <n v="0"/>
    <n v="1"/>
    <n v="111048.16"/>
    <x v="1"/>
    <n v="-0.125753391854243"/>
    <n v="0.70444721741116256"/>
    <s v="Youngsters"/>
    <s v="More Tenure Period"/>
    <x v="2"/>
  </r>
  <r>
    <n v="372"/>
    <s v="Taylor"/>
    <n v="673"/>
    <s v="France"/>
    <s v="Male"/>
    <n v="44"/>
    <n v="0"/>
    <n v="42307.27"/>
    <n v="4"/>
    <n v="1"/>
    <n v="0"/>
    <n v="91193.31"/>
    <x v="1"/>
    <n v="-1.1960345412880331"/>
    <n v="0.21926732660727793"/>
    <s v="Adults"/>
    <s v="No Tenure Period"/>
    <x v="2"/>
  </r>
  <r>
    <n v="127"/>
    <s v="Jones"/>
    <n v="675"/>
    <s v="Germany"/>
    <s v="Male"/>
    <n v="85"/>
    <n v="3"/>
    <n v="117991.41"/>
    <n v="1"/>
    <n v="1"/>
    <n v="1"/>
    <n v="36037.629999999997"/>
    <x v="0"/>
    <n v="-0.14446428838393027"/>
    <n v="-1.1285356937939839"/>
    <s v="Senior Citizens"/>
    <s v="Less Tenure Period"/>
    <x v="2"/>
  </r>
  <r>
    <n v="397"/>
    <s v="Brown"/>
    <n v="677"/>
    <s v="France"/>
    <s v="Female"/>
    <n v="56"/>
    <n v="7"/>
    <n v="63179.37"/>
    <n v="2"/>
    <n v="0"/>
    <n v="1"/>
    <n v="121798.16"/>
    <x v="0"/>
    <n v="-0.90603349911936049"/>
    <n v="0.96713788624732899"/>
    <s v="Old person"/>
    <s v="More Tenure Period"/>
    <x v="2"/>
  </r>
  <r>
    <n v="68"/>
    <s v="Miller"/>
    <n v="679"/>
    <s v="France"/>
    <s v="Female"/>
    <n v="86"/>
    <n v="4"/>
    <n v="225109.32"/>
    <n v="3"/>
    <n v="1"/>
    <n v="0"/>
    <n v="50593.37"/>
    <x v="0"/>
    <n v="1.3438529166376096"/>
    <n v="-0.77284666346790565"/>
    <s v="Senior Citizens"/>
    <s v="More Tenure Period"/>
    <x v="2"/>
  </r>
  <r>
    <n v="368"/>
    <s v="Taylor"/>
    <n v="680"/>
    <s v="Germany"/>
    <s v="Female"/>
    <n v="74"/>
    <n v="10"/>
    <n v="3229.42"/>
    <n v="2"/>
    <n v="0"/>
    <n v="0"/>
    <n v="139041.32999999999"/>
    <x v="1"/>
    <n v="-1.7389898369080745"/>
    <n v="1.3884978732385582"/>
    <s v="Senior Citizens"/>
    <s v="Large Tenure Period"/>
    <x v="2"/>
  </r>
  <r>
    <n v="286"/>
    <s v="Moore"/>
    <n v="681"/>
    <s v="Spain"/>
    <s v="Female"/>
    <n v="68"/>
    <n v="1"/>
    <n v="118693.43"/>
    <n v="1"/>
    <n v="1"/>
    <n v="1"/>
    <n v="119809.36"/>
    <x v="1"/>
    <n v="-0.13471028511529662"/>
    <n v="0.91853889069557371"/>
    <s v="Old person"/>
    <s v="Less Tenure Period"/>
    <x v="2"/>
  </r>
  <r>
    <n v="307"/>
    <s v="Jones"/>
    <n v="682"/>
    <s v="Spain"/>
    <s v="Female"/>
    <n v="65"/>
    <n v="1"/>
    <n v="82186.16"/>
    <n v="1"/>
    <n v="1"/>
    <n v="0"/>
    <n v="118581.88"/>
    <x v="0"/>
    <n v="-0.6419494391406757"/>
    <n v="0.88854377049250244"/>
    <s v="Old person"/>
    <s v="Less Tenure Period"/>
    <x v="2"/>
  </r>
  <r>
    <n v="294"/>
    <s v="Johnson"/>
    <n v="682"/>
    <s v="France"/>
    <s v="Female"/>
    <n v="22"/>
    <n v="8"/>
    <n v="153461.96"/>
    <n v="1"/>
    <n v="0"/>
    <n v="1"/>
    <n v="66758.63"/>
    <x v="0"/>
    <n v="0.34837047507044228"/>
    <n v="-0.377826853113438"/>
    <s v="Youngsters"/>
    <s v="Large Tenure Period"/>
    <x v="2"/>
  </r>
  <r>
    <n v="165"/>
    <s v="Johnson"/>
    <n v="682"/>
    <s v="Spain"/>
    <s v="Female"/>
    <n v="43"/>
    <n v="9"/>
    <n v="197321.37"/>
    <n v="4"/>
    <n v="0"/>
    <n v="0"/>
    <n v="28096.07"/>
    <x v="1"/>
    <n v="0.9577617011043873"/>
    <n v="-1.3225983643058485"/>
    <s v="Adults"/>
    <s v="Large Tenure Period"/>
    <x v="2"/>
  </r>
  <r>
    <n v="71"/>
    <s v="Smith"/>
    <n v="683"/>
    <s v="France"/>
    <s v="Female"/>
    <n v="62"/>
    <n v="2"/>
    <n v="88669.440000000002"/>
    <n v="3"/>
    <n v="1"/>
    <n v="0"/>
    <n v="128437.74"/>
    <x v="1"/>
    <n v="-0.55186947801212083"/>
    <n v="1.1293849291302345"/>
    <s v="Old person"/>
    <s v="Less Tenure Period"/>
    <x v="2"/>
  </r>
  <r>
    <n v="15"/>
    <s v="Johnson"/>
    <n v="684"/>
    <s v="Germany"/>
    <s v="Male"/>
    <n v="89"/>
    <n v="2"/>
    <n v="60006.91"/>
    <n v="2"/>
    <n v="1"/>
    <n v="0"/>
    <n v="38571.279999999999"/>
    <x v="0"/>
    <n v="-0.95011227922478481"/>
    <n v="-1.0666225576919603"/>
    <s v="Senior Citizens"/>
    <s v="Less Tenure Period"/>
    <x v="2"/>
  </r>
  <r>
    <n v="414"/>
    <s v="Johnson"/>
    <n v="684"/>
    <s v="Germany"/>
    <s v="Female"/>
    <n v="57"/>
    <n v="4"/>
    <n v="186325.98"/>
    <n v="4"/>
    <n v="0"/>
    <n v="0"/>
    <n v="76620.289999999994"/>
    <x v="0"/>
    <n v="0.80498960059456814"/>
    <n v="-0.13684396369624119"/>
    <s v="Old person"/>
    <s v="More Tenure Period"/>
    <x v="2"/>
  </r>
  <r>
    <n v="30"/>
    <s v="Smith"/>
    <n v="686"/>
    <s v="France"/>
    <s v="Female"/>
    <n v="25"/>
    <n v="5"/>
    <n v="5425.45"/>
    <n v="4"/>
    <n v="1"/>
    <n v="0"/>
    <n v="82220.31"/>
    <x v="1"/>
    <n v="-1.7084777663146187"/>
    <n v="3.6238262035302938E-8"/>
    <s v="Youngsters"/>
    <s v="More Tenure Period"/>
    <x v="2"/>
  </r>
  <r>
    <n v="420"/>
    <s v="Davis"/>
    <n v="687"/>
    <s v="France"/>
    <s v="Female"/>
    <n v="69"/>
    <n v="3"/>
    <n v="136486.32999999999"/>
    <n v="4"/>
    <n v="0"/>
    <n v="0"/>
    <n v="135558.76"/>
    <x v="0"/>
    <n v="0.11250774963937465"/>
    <n v="1.3033966041623943"/>
    <s v="Old person"/>
    <s v="Less Tenure Period"/>
    <x v="2"/>
  </r>
  <r>
    <n v="146"/>
    <s v="Williams"/>
    <n v="687"/>
    <s v="Germany"/>
    <s v="Female"/>
    <n v="39"/>
    <n v="8"/>
    <n v="52909.38"/>
    <n v="4"/>
    <n v="0"/>
    <n v="1"/>
    <n v="34759.360000000001"/>
    <x v="0"/>
    <n v="-1.0487267500649697"/>
    <n v="-1.1597719357710263"/>
    <s v="Adults"/>
    <s v="Large Tenure Period"/>
    <x v="2"/>
  </r>
  <r>
    <n v="117"/>
    <s v="Jones"/>
    <n v="688"/>
    <s v="Germany"/>
    <s v="Male"/>
    <n v="33"/>
    <n v="6"/>
    <n v="93844.5"/>
    <n v="4"/>
    <n v="1"/>
    <n v="0"/>
    <n v="49103.38"/>
    <x v="1"/>
    <n v="-0.47996618158840632"/>
    <n v="-0.80925656762224996"/>
    <s v="Adults"/>
    <s v="More Tenure Period"/>
    <x v="2"/>
  </r>
  <r>
    <n v="288"/>
    <s v="Wilson"/>
    <n v="691"/>
    <s v="Germany"/>
    <s v="Female"/>
    <n v="88"/>
    <n v="1"/>
    <n v="162669.35999999999"/>
    <n v="4"/>
    <n v="0"/>
    <n v="0"/>
    <n v="71072.84"/>
    <x v="0"/>
    <n v="0.47629989260216332"/>
    <n v="-0.27240334516928216"/>
    <s v="Senior Citizens"/>
    <s v="Less Tenure Period"/>
    <x v="2"/>
  </r>
  <r>
    <n v="199"/>
    <s v="Williams"/>
    <n v="693"/>
    <s v="Spain"/>
    <s v="Male"/>
    <n v="71"/>
    <n v="2"/>
    <n v="37093.39"/>
    <n v="3"/>
    <n v="1"/>
    <n v="0"/>
    <n v="40784.480000000003"/>
    <x v="1"/>
    <n v="-1.2684772103890052"/>
    <n v="-1.0125400471553831"/>
    <s v="Senior Citizens"/>
    <s v="Less Tenure Period"/>
    <x v="2"/>
  </r>
  <r>
    <n v="53"/>
    <s v="Davis"/>
    <n v="694"/>
    <s v="France"/>
    <s v="Female"/>
    <n v="65"/>
    <n v="0"/>
    <n v="42733.7"/>
    <n v="3"/>
    <n v="0"/>
    <n v="1"/>
    <n v="103834.77"/>
    <x v="0"/>
    <n v="-1.1901096394136657"/>
    <n v="0.52817835753431475"/>
    <s v="Old person"/>
    <s v="No Tenure Period"/>
    <x v="2"/>
  </r>
  <r>
    <n v="229"/>
    <s v="Smith"/>
    <n v="694"/>
    <s v="Spain"/>
    <s v="Male"/>
    <n v="84"/>
    <n v="8"/>
    <n v="175604.34"/>
    <n v="4"/>
    <n v="0"/>
    <n v="1"/>
    <n v="45375.97"/>
    <x v="1"/>
    <n v="0.65602103615891805"/>
    <n v="-0.90034083049914426"/>
    <s v="Senior Citizens"/>
    <s v="Large Tenure Period"/>
    <x v="2"/>
  </r>
  <r>
    <n v="44"/>
    <s v="Brown"/>
    <n v="694"/>
    <s v="Germany"/>
    <s v="Male"/>
    <n v="62"/>
    <n v="9"/>
    <n v="689.5"/>
    <n v="3"/>
    <n v="0"/>
    <n v="0"/>
    <n v="19803.7"/>
    <x v="0"/>
    <n v="-1.7742799824624296"/>
    <n v="-1.5252335477046357"/>
    <s v="Old person"/>
    <s v="Large Tenure Period"/>
    <x v="2"/>
  </r>
  <r>
    <n v="313"/>
    <s v="Moore"/>
    <n v="695"/>
    <s v="France"/>
    <s v="Female"/>
    <n v="90"/>
    <n v="0"/>
    <n v="34576.69"/>
    <n v="4"/>
    <n v="0"/>
    <n v="0"/>
    <n v="87838.32"/>
    <x v="1"/>
    <n v="-1.3034447327190966"/>
    <n v="0.13728364595252004"/>
    <s v="Senior Citizens"/>
    <s v="No Tenure Period"/>
    <x v="2"/>
  </r>
  <r>
    <n v="491"/>
    <s v="Miller"/>
    <n v="695"/>
    <s v="Germany"/>
    <s v="Male"/>
    <n v="65"/>
    <n v="5"/>
    <n v="57896.34"/>
    <n v="4"/>
    <n v="1"/>
    <n v="1"/>
    <n v="39633.65"/>
    <x v="0"/>
    <n v="-0.97943695185331459"/>
    <n v="-1.0406621217987997"/>
    <s v="Old person"/>
    <s v="More Tenure Period"/>
    <x v="2"/>
  </r>
  <r>
    <n v="113"/>
    <s v="Williams"/>
    <n v="695"/>
    <s v="Spain"/>
    <s v="Male"/>
    <n v="90"/>
    <n v="7"/>
    <n v="168519.32"/>
    <n v="2"/>
    <n v="1"/>
    <n v="0"/>
    <n v="108422.12"/>
    <x v="0"/>
    <n v="0.55758038170699964"/>
    <n v="0.64027640773762506"/>
    <s v="Senior Citizens"/>
    <s v="More Tenure Period"/>
    <x v="2"/>
  </r>
  <r>
    <n v="209"/>
    <s v="Wilson"/>
    <n v="695"/>
    <s v="Germany"/>
    <s v="Female"/>
    <n v="21"/>
    <n v="10"/>
    <n v="112981.4"/>
    <n v="4"/>
    <n v="0"/>
    <n v="1"/>
    <n v="69975.320000000007"/>
    <x v="0"/>
    <n v="-0.21407434780657938"/>
    <n v="-0.2992227184586837"/>
    <s v="Youngsters"/>
    <s v="Large Tenure Period"/>
    <x v="2"/>
  </r>
  <r>
    <n v="183"/>
    <s v="Moore"/>
    <n v="696"/>
    <s v="France"/>
    <s v="Female"/>
    <n v="42"/>
    <n v="2"/>
    <n v="27700.99"/>
    <n v="2"/>
    <n v="0"/>
    <n v="0"/>
    <n v="140547.93"/>
    <x v="0"/>
    <n v="-1.3989770541261011"/>
    <n v="1.4253136650216811"/>
    <s v="Adults"/>
    <s v="Less Tenure Period"/>
    <x v="2"/>
  </r>
  <r>
    <n v="96"/>
    <s v="Smith"/>
    <n v="696"/>
    <s v="Spain"/>
    <s v="Male"/>
    <n v="64"/>
    <n v="3"/>
    <n v="141361.44"/>
    <n v="2"/>
    <n v="1"/>
    <n v="1"/>
    <n v="147488.24"/>
    <x v="1"/>
    <n v="0.18024348206145591"/>
    <n v="1.5949094488198516"/>
    <s v="Old person"/>
    <s v="Less Tenure Period"/>
    <x v="2"/>
  </r>
  <r>
    <n v="344"/>
    <s v="Wilson"/>
    <n v="696"/>
    <s v="France"/>
    <s v="Female"/>
    <n v="58"/>
    <n v="5"/>
    <n v="2478.15"/>
    <n v="4"/>
    <n v="1"/>
    <n v="1"/>
    <n v="118783.64"/>
    <x v="1"/>
    <n v="-1.7494281293151663"/>
    <n v="0.89347404671058461"/>
    <s v="Old person"/>
    <s v="More Tenure Period"/>
    <x v="2"/>
  </r>
  <r>
    <n v="400"/>
    <s v="Smith"/>
    <n v="697"/>
    <s v="Germany"/>
    <s v="Male"/>
    <n v="55"/>
    <n v="3"/>
    <n v="29981.98"/>
    <n v="1"/>
    <n v="1"/>
    <n v="0"/>
    <n v="97693.26"/>
    <x v="1"/>
    <n v="-1.3672845326655716"/>
    <n v="0.37810232315626763"/>
    <s v="Old person"/>
    <s v="Less Tenure Period"/>
    <x v="2"/>
  </r>
  <r>
    <n v="14"/>
    <s v="Moore"/>
    <n v="698"/>
    <s v="Germany"/>
    <s v="Male"/>
    <n v="34"/>
    <n v="3"/>
    <n v="128968.35"/>
    <n v="1"/>
    <n v="0"/>
    <n v="0"/>
    <n v="143532.82"/>
    <x v="1"/>
    <n v="8.0514642151369217E-3"/>
    <n v="1.4982534557660891"/>
    <s v="Adults"/>
    <s v="Less Tenure Period"/>
    <x v="2"/>
  </r>
  <r>
    <n v="354"/>
    <s v="Wilson"/>
    <n v="698"/>
    <s v="France"/>
    <s v="Female"/>
    <n v="18"/>
    <n v="5"/>
    <n v="142139.92000000001"/>
    <n v="2"/>
    <n v="0"/>
    <n v="1"/>
    <n v="89777.41"/>
    <x v="0"/>
    <n v="0.19105983553367342"/>
    <n v="0.1846679109788941"/>
    <s v="Youngsters"/>
    <s v="More Tenure Period"/>
    <x v="2"/>
  </r>
  <r>
    <n v="124"/>
    <s v="Miller"/>
    <n v="700"/>
    <s v="France"/>
    <s v="Male"/>
    <n v="49"/>
    <n v="0"/>
    <n v="64161.88"/>
    <n v="1"/>
    <n v="1"/>
    <n v="1"/>
    <n v="141665.95000000001"/>
    <x v="1"/>
    <n v="-0.89238231289750736"/>
    <n v="1.4526339833074686"/>
    <s v="Adults"/>
    <s v="No Tenure Period"/>
    <x v="2"/>
  </r>
  <r>
    <n v="334"/>
    <s v="Smith"/>
    <n v="702"/>
    <s v="Spain"/>
    <s v="Female"/>
    <n v="47"/>
    <n v="0"/>
    <n v="189373.41"/>
    <n v="4"/>
    <n v="1"/>
    <n v="1"/>
    <n v="117202.4"/>
    <x v="1"/>
    <n v="0.84733118941103003"/>
    <n v="0.85483432641379387"/>
    <s v="Adults"/>
    <s v="No Tenure Period"/>
    <x v="3"/>
  </r>
  <r>
    <n v="434"/>
    <s v="Johnson"/>
    <n v="702"/>
    <s v="France"/>
    <s v="Male"/>
    <n v="45"/>
    <n v="4"/>
    <n v="143858.20000000001"/>
    <n v="3"/>
    <n v="0"/>
    <n v="1"/>
    <n v="111156.24"/>
    <x v="1"/>
    <n v="0.21493395412919503"/>
    <n v="0.70708829717747079"/>
    <s v="Adults"/>
    <s v="More Tenure Period"/>
    <x v="3"/>
  </r>
  <r>
    <n v="136"/>
    <s v="Moore"/>
    <n v="703"/>
    <s v="France"/>
    <s v="Male"/>
    <n v="32"/>
    <n v="4"/>
    <n v="35229.26"/>
    <n v="2"/>
    <n v="1"/>
    <n v="0"/>
    <n v="59763.13"/>
    <x v="1"/>
    <n v="-1.2943777974280617"/>
    <n v="-0.54877127858724295"/>
    <s v="Adults"/>
    <s v="More Tenure Period"/>
    <x v="3"/>
  </r>
  <r>
    <n v="404"/>
    <s v="Taylor"/>
    <n v="704"/>
    <s v="France"/>
    <s v="Female"/>
    <n v="79"/>
    <n v="10"/>
    <n v="222300.09"/>
    <n v="4"/>
    <n v="0"/>
    <n v="0"/>
    <n v="76217.14"/>
    <x v="1"/>
    <n v="1.3048209252380139"/>
    <n v="-0.14669547468612945"/>
    <s v="Senior Citizens"/>
    <s v="Large Tenure Period"/>
    <x v="3"/>
  </r>
  <r>
    <n v="478"/>
    <s v="Taylor"/>
    <n v="705"/>
    <s v="France"/>
    <s v="Male"/>
    <n v="78"/>
    <n v="2"/>
    <n v="217177.04"/>
    <n v="3"/>
    <n v="0"/>
    <n v="0"/>
    <n v="142428.82999999999"/>
    <x v="1"/>
    <n v="1.2336402659329024"/>
    <n v="1.4712759793485595"/>
    <s v="Senior Citizens"/>
    <s v="Less Tenure Period"/>
    <x v="3"/>
  </r>
  <r>
    <n v="254"/>
    <s v="Williams"/>
    <n v="705"/>
    <s v="Germany"/>
    <s v="Male"/>
    <n v="29"/>
    <n v="10"/>
    <n v="78681.009999999995"/>
    <n v="1"/>
    <n v="0"/>
    <n v="0"/>
    <n v="69503.59"/>
    <x v="0"/>
    <n v="-0.69065067921510648"/>
    <n v="-0.31075007373404068"/>
    <s v="Youngsters"/>
    <s v="Large Tenure Period"/>
    <x v="3"/>
  </r>
  <r>
    <n v="64"/>
    <s v="Wilson"/>
    <n v="707"/>
    <s v="Spain"/>
    <s v="Female"/>
    <n v="40"/>
    <n v="0"/>
    <n v="214046.15"/>
    <n v="1"/>
    <n v="0"/>
    <n v="1"/>
    <n v="86343.96"/>
    <x v="0"/>
    <n v="1.1901390675429235"/>
    <n v="0.10076695498675133"/>
    <s v="Adults"/>
    <s v="No Tenure Period"/>
    <x v="3"/>
  </r>
  <r>
    <n v="261"/>
    <s v="Wilson"/>
    <n v="708"/>
    <s v="Spain"/>
    <s v="Female"/>
    <n v="57"/>
    <n v="2"/>
    <n v="85692.93"/>
    <n v="1"/>
    <n v="1"/>
    <n v="1"/>
    <n v="122538.35"/>
    <x v="0"/>
    <n v="-0.59322569046920359"/>
    <n v="0.98522542170461669"/>
    <s v="Old person"/>
    <s v="Less Tenure Period"/>
    <x v="3"/>
  </r>
  <r>
    <n v="452"/>
    <s v="Davis"/>
    <n v="712"/>
    <s v="France"/>
    <s v="Female"/>
    <n v="86"/>
    <n v="0"/>
    <n v="57728.98"/>
    <n v="1"/>
    <n v="1"/>
    <n v="1"/>
    <n v="46958.37"/>
    <x v="0"/>
    <n v="-0.98176228444645808"/>
    <n v="-0.86167276404646054"/>
    <s v="Senior Citizens"/>
    <s v="No Tenure Period"/>
    <x v="3"/>
  </r>
  <r>
    <n v="432"/>
    <s v="Davis"/>
    <n v="713"/>
    <s v="Germany"/>
    <s v="Female"/>
    <n v="30"/>
    <n v="0"/>
    <n v="46903.02"/>
    <n v="2"/>
    <n v="1"/>
    <n v="1"/>
    <n v="120900.9"/>
    <x v="0"/>
    <n v="-1.1321802913780252"/>
    <n v="0.94521213466407861"/>
    <s v="Youngsters"/>
    <s v="No Tenure Period"/>
    <x v="3"/>
  </r>
  <r>
    <n v="160"/>
    <s v="Smith"/>
    <n v="713"/>
    <s v="Germany"/>
    <s v="Female"/>
    <n v="48"/>
    <n v="8"/>
    <n v="16907.88"/>
    <n v="3"/>
    <n v="0"/>
    <n v="0"/>
    <n v="113646.28"/>
    <x v="1"/>
    <n v="-1.5489386367287681"/>
    <n v="0.76793576443596434"/>
    <s v="Adults"/>
    <s v="Large Tenure Period"/>
    <x v="3"/>
  </r>
  <r>
    <n v="207"/>
    <s v="Jones"/>
    <n v="714"/>
    <s v="Germany"/>
    <s v="Male"/>
    <n v="23"/>
    <n v="5"/>
    <n v="160251.42000000001"/>
    <n v="3"/>
    <n v="1"/>
    <n v="0"/>
    <n v="117590.06"/>
    <x v="1"/>
    <n v="0.44270456103987144"/>
    <n v="0.86430731847714537"/>
    <s v="Youngsters"/>
    <s v="More Tenure Period"/>
    <x v="3"/>
  </r>
  <r>
    <n v="267"/>
    <s v="Jones"/>
    <n v="715"/>
    <s v="France"/>
    <s v="Male"/>
    <n v="29"/>
    <n v="4"/>
    <n v="48947.26"/>
    <n v="4"/>
    <n v="1"/>
    <n v="0"/>
    <n v="119204.73"/>
    <x v="1"/>
    <n v="-1.1037772207505903"/>
    <n v="0.90376394566316332"/>
    <s v="Youngsters"/>
    <s v="More Tenure Period"/>
    <x v="3"/>
  </r>
  <r>
    <n v="423"/>
    <s v="Williams"/>
    <n v="715"/>
    <s v="France"/>
    <s v="Female"/>
    <n v="46"/>
    <n v="6"/>
    <n v="121208.33"/>
    <n v="1"/>
    <n v="1"/>
    <n v="0"/>
    <n v="32556.34"/>
    <x v="1"/>
    <n v="-9.9767772337473706E-2"/>
    <n v="-1.213605684353301"/>
    <s v="Adults"/>
    <s v="More Tenure Period"/>
    <x v="3"/>
  </r>
  <r>
    <n v="401"/>
    <s v="Moore"/>
    <n v="716"/>
    <s v="Spain"/>
    <s v="Female"/>
    <n v="74"/>
    <n v="10"/>
    <n v="193015.5"/>
    <n v="4"/>
    <n v="0"/>
    <n v="0"/>
    <n v="127051.78"/>
    <x v="0"/>
    <n v="0.89793510064526616"/>
    <n v="1.0955171375599857"/>
    <s v="Senior Citizens"/>
    <s v="Large Tenure Period"/>
    <x v="3"/>
  </r>
  <r>
    <n v="487"/>
    <s v="Jones"/>
    <n v="717"/>
    <s v="Spain"/>
    <s v="Female"/>
    <n v="55"/>
    <n v="3"/>
    <n v="117513.1"/>
    <n v="1"/>
    <n v="0"/>
    <n v="0"/>
    <n v="143986.04"/>
    <x v="1"/>
    <n v="-0.15111002113145913"/>
    <n v="1.509328494364222"/>
    <s v="Old person"/>
    <s v="Less Tenure Period"/>
    <x v="3"/>
  </r>
  <r>
    <n v="499"/>
    <s v="Miller"/>
    <n v="718"/>
    <s v="Spain"/>
    <s v="Male"/>
    <n v="28"/>
    <n v="0"/>
    <n v="100871.3"/>
    <n v="4"/>
    <n v="0"/>
    <n v="0"/>
    <n v="106391.64"/>
    <x v="1"/>
    <n v="-0.38233444721041704"/>
    <n v="0.59065890548102429"/>
    <s v="Youngsters"/>
    <s v="No Tenure Period"/>
    <x v="3"/>
  </r>
  <r>
    <n v="374"/>
    <s v="Johnson"/>
    <n v="718"/>
    <s v="Spain"/>
    <s v="Female"/>
    <n v="86"/>
    <n v="2"/>
    <n v="117910.43"/>
    <n v="4"/>
    <n v="1"/>
    <n v="0"/>
    <n v="96850.83"/>
    <x v="0"/>
    <n v="-0.14558944035209936"/>
    <n v="0.35751641616578855"/>
    <s v="Senior Citizens"/>
    <s v="Less Tenure Period"/>
    <x v="3"/>
  </r>
  <r>
    <n v="287"/>
    <s v="Moore"/>
    <n v="720"/>
    <s v="Spain"/>
    <s v="Male"/>
    <n v="58"/>
    <n v="0"/>
    <n v="11432.08"/>
    <n v="3"/>
    <n v="0"/>
    <n v="0"/>
    <n v="56250.21"/>
    <x v="1"/>
    <n v="-1.6250204735687228"/>
    <n v="-0.63461419062147051"/>
    <s v="Old person"/>
    <s v="No Tenure Period"/>
    <x v="3"/>
  </r>
  <r>
    <n v="290"/>
    <s v="Jones"/>
    <n v="720"/>
    <s v="Germany"/>
    <s v="Female"/>
    <n v="40"/>
    <n v="0"/>
    <n v="115463.15"/>
    <n v="2"/>
    <n v="1"/>
    <n v="0"/>
    <n v="11871.68"/>
    <x v="0"/>
    <n v="-0.17959242761636837"/>
    <n v="-1.7190630955206219"/>
    <s v="Adults"/>
    <s v="No Tenure Period"/>
    <x v="3"/>
  </r>
  <r>
    <n v="206"/>
    <s v="Davis"/>
    <n v="722"/>
    <s v="France"/>
    <s v="Male"/>
    <n v="35"/>
    <n v="7"/>
    <n v="212738.23"/>
    <n v="4"/>
    <n v="1"/>
    <n v="1"/>
    <n v="95777.53"/>
    <x v="1"/>
    <n v="1.1719665710967948"/>
    <n v="0.33128889106235987"/>
    <s v="Adults"/>
    <s v="More Tenure Period"/>
    <x v="3"/>
  </r>
  <r>
    <n v="385"/>
    <s v="Miller"/>
    <n v="723"/>
    <s v="Germany"/>
    <s v="Male"/>
    <n v="67"/>
    <n v="2"/>
    <n v="222765.58"/>
    <n v="2"/>
    <n v="1"/>
    <n v="1"/>
    <n v="60737.81"/>
    <x v="0"/>
    <n v="1.3112885343966081"/>
    <n v="-0.52495366546154676"/>
    <s v="Old person"/>
    <s v="Less Tenure Period"/>
    <x v="3"/>
  </r>
  <r>
    <n v="211"/>
    <s v="Taylor"/>
    <n v="723"/>
    <s v="Germany"/>
    <s v="Female"/>
    <n v="62"/>
    <n v="6"/>
    <n v="73255.710000000006"/>
    <n v="1"/>
    <n v="1"/>
    <n v="0"/>
    <n v="146668.19"/>
    <x v="0"/>
    <n v="-0.76603085917197211"/>
    <n v="1.5748704271473777"/>
    <s v="Old person"/>
    <s v="More Tenure Period"/>
    <x v="3"/>
  </r>
  <r>
    <n v="151"/>
    <s v="Brown"/>
    <n v="724"/>
    <s v="France"/>
    <s v="Female"/>
    <n v="42"/>
    <n v="2"/>
    <n v="97001.53"/>
    <n v="3"/>
    <n v="0"/>
    <n v="0"/>
    <n v="140671.21"/>
    <x v="0"/>
    <n v="-0.43610178892270596"/>
    <n v="1.4283261771755529"/>
    <s v="Adults"/>
    <s v="Less Tenure Period"/>
    <x v="3"/>
  </r>
  <r>
    <n v="166"/>
    <s v="Moore"/>
    <n v="724"/>
    <s v="Germany"/>
    <s v="Female"/>
    <n v="72"/>
    <n v="6"/>
    <n v="191624.47"/>
    <n v="3"/>
    <n v="0"/>
    <n v="0"/>
    <n v="80375.98"/>
    <x v="0"/>
    <n v="0.87860785759411719"/>
    <n v="-4.506864108774794E-2"/>
    <s v="Senior Citizens"/>
    <s v="More Tenure Period"/>
    <x v="3"/>
  </r>
  <r>
    <n v="192"/>
    <s v="Wilson"/>
    <n v="725"/>
    <s v="France"/>
    <s v="Female"/>
    <n v="39"/>
    <n v="5"/>
    <n v="96291.25"/>
    <n v="1"/>
    <n v="0"/>
    <n v="0"/>
    <n v="135564.73000000001"/>
    <x v="0"/>
    <n v="-0.4459705582478608"/>
    <n v="1.3035424891198784"/>
    <s v="Adults"/>
    <s v="More Tenure Period"/>
    <x v="3"/>
  </r>
  <r>
    <n v="223"/>
    <s v="Williams"/>
    <n v="728"/>
    <s v="France"/>
    <s v="Female"/>
    <n v="19"/>
    <n v="4"/>
    <n v="16689.2"/>
    <n v="3"/>
    <n v="1"/>
    <n v="1"/>
    <n v="141842.12"/>
    <x v="1"/>
    <n v="-1.5519770194454783"/>
    <n v="1.456938933552014"/>
    <s v="Youngsters"/>
    <s v="More Tenure Period"/>
    <x v="3"/>
  </r>
  <r>
    <n v="65"/>
    <s v="Taylor"/>
    <n v="729"/>
    <s v="Spain"/>
    <s v="Male"/>
    <n v="49"/>
    <n v="6"/>
    <n v="139224.43"/>
    <n v="4"/>
    <n v="1"/>
    <n v="1"/>
    <n v="68374.880000000005"/>
    <x v="1"/>
    <n v="0.15055144689849301"/>
    <n v="-0.33833161650818644"/>
    <s v="Adults"/>
    <s v="More Tenure Period"/>
    <x v="3"/>
  </r>
  <r>
    <n v="210"/>
    <s v="Taylor"/>
    <n v="730"/>
    <s v="Germany"/>
    <s v="Female"/>
    <n v="18"/>
    <n v="2"/>
    <n v="240529.94"/>
    <n v="3"/>
    <n v="1"/>
    <n v="0"/>
    <n v="93107.1"/>
    <x v="0"/>
    <n v="1.5581100288058667"/>
    <n v="0.26603335219908902"/>
    <s v="Youngsters"/>
    <s v="Less Tenure Period"/>
    <x v="3"/>
  </r>
  <r>
    <n v="437"/>
    <s v="Miller"/>
    <n v="730"/>
    <s v="Germany"/>
    <s v="Male"/>
    <n v="79"/>
    <n v="9"/>
    <n v="245266.56"/>
    <n v="4"/>
    <n v="1"/>
    <n v="1"/>
    <n v="68485.740000000005"/>
    <x v="1"/>
    <n v="1.6239215540647998"/>
    <n v="-0.33562260371310015"/>
    <s v="Senior Citizens"/>
    <s v="Large Tenure Period"/>
    <x v="3"/>
  </r>
  <r>
    <n v="282"/>
    <s v="Moore"/>
    <n v="731"/>
    <s v="France"/>
    <s v="Female"/>
    <n v="90"/>
    <n v="8"/>
    <n v="183281.65"/>
    <n v="1"/>
    <n v="1"/>
    <n v="1"/>
    <n v="141248.29"/>
    <x v="1"/>
    <n v="0.76269108378479045"/>
    <n v="1.4424279010055043"/>
    <s v="Senior Citizens"/>
    <s v="Large Tenure Period"/>
    <x v="3"/>
  </r>
  <r>
    <n v="289"/>
    <s v="Smith"/>
    <n v="732"/>
    <s v="France"/>
    <s v="Female"/>
    <n v="48"/>
    <n v="7"/>
    <n v="218144.92"/>
    <n v="4"/>
    <n v="1"/>
    <n v="1"/>
    <n v="130492.75"/>
    <x v="1"/>
    <n v="1.2470881800715956"/>
    <n v="1.1796018548386074"/>
    <s v="Adults"/>
    <s v="More Tenure Period"/>
    <x v="3"/>
  </r>
  <r>
    <n v="475"/>
    <s v="Jones"/>
    <n v="732"/>
    <s v="Spain"/>
    <s v="Male"/>
    <n v="55"/>
    <n v="10"/>
    <n v="31845.15"/>
    <n v="2"/>
    <n v="1"/>
    <n v="1"/>
    <n v="144035.23000000001"/>
    <x v="1"/>
    <n v="-1.3413972840543917"/>
    <n v="1.5105305179921338"/>
    <s v="Old person"/>
    <s v="Large Tenure Period"/>
    <x v="3"/>
  </r>
  <r>
    <n v="91"/>
    <s v="Davis"/>
    <n v="733"/>
    <s v="France"/>
    <s v="Female"/>
    <n v="46"/>
    <n v="6"/>
    <n v="15556.14"/>
    <n v="2"/>
    <n v="1"/>
    <n v="1"/>
    <n v="101797.2"/>
    <x v="0"/>
    <n v="-1.5677199768306784"/>
    <n v="0.47838760161798827"/>
    <s v="Adults"/>
    <s v="More Tenure Period"/>
    <x v="3"/>
  </r>
  <r>
    <n v="484"/>
    <s v="Williams"/>
    <n v="734"/>
    <s v="Spain"/>
    <s v="Male"/>
    <n v="62"/>
    <n v="2"/>
    <n v="239522.72"/>
    <n v="3"/>
    <n v="0"/>
    <n v="1"/>
    <n v="37534.69"/>
    <x v="0"/>
    <n v="1.5441155170081495"/>
    <n v="-1.0919530247067399"/>
    <s v="Old person"/>
    <s v="Less Tenure Period"/>
    <x v="3"/>
  </r>
  <r>
    <n v="92"/>
    <s v="Taylor"/>
    <n v="735"/>
    <s v="France"/>
    <s v="Male"/>
    <n v="53"/>
    <n v="10"/>
    <n v="247280.33"/>
    <n v="3"/>
    <n v="1"/>
    <n v="0"/>
    <n v="54977.06"/>
    <x v="0"/>
    <n v="1.6519012685491115"/>
    <n v="-0.66572531853112304"/>
    <s v="Old person"/>
    <s v="Large Tenure Period"/>
    <x v="3"/>
  </r>
  <r>
    <n v="439"/>
    <s v="Wilson"/>
    <n v="735"/>
    <s v="Spain"/>
    <s v="Female"/>
    <n v="45"/>
    <n v="10"/>
    <n v="137629.67000000001"/>
    <n v="4"/>
    <n v="0"/>
    <n v="1"/>
    <n v="63609.91"/>
    <x v="0"/>
    <n v="0.12839353935641978"/>
    <n v="-0.45477004965090906"/>
    <s v="Adults"/>
    <s v="Large Tenure Period"/>
    <x v="3"/>
  </r>
  <r>
    <n v="114"/>
    <s v="Jones"/>
    <n v="737"/>
    <s v="France"/>
    <s v="Female"/>
    <n v="59"/>
    <n v="1"/>
    <n v="80693.34"/>
    <n v="4"/>
    <n v="0"/>
    <n v="1"/>
    <n v="65451.93"/>
    <x v="0"/>
    <n v="-0.66269097237260921"/>
    <n v="-0.4097578202732724"/>
    <s v="Old person"/>
    <s v="Less Tenure Period"/>
    <x v="3"/>
  </r>
  <r>
    <n v="120"/>
    <s v="Williams"/>
    <n v="738"/>
    <s v="Spain"/>
    <s v="Female"/>
    <n v="60"/>
    <n v="1"/>
    <n v="242524.24"/>
    <n v="2"/>
    <n v="1"/>
    <n v="0"/>
    <n v="84784.47"/>
    <x v="0"/>
    <n v="1.5858192232998074"/>
    <n v="6.265872511295463E-2"/>
    <s v="Old person"/>
    <s v="Less Tenure Period"/>
    <x v="3"/>
  </r>
  <r>
    <n v="394"/>
    <s v="Jones"/>
    <n v="738"/>
    <s v="Germany"/>
    <s v="Female"/>
    <n v="37"/>
    <n v="7"/>
    <n v="206465.41"/>
    <n v="2"/>
    <n v="1"/>
    <n v="1"/>
    <n v="81839.69"/>
    <x v="0"/>
    <n v="1.0848107823962569"/>
    <n v="-9.3009239824282369E-3"/>
    <s v="Adults"/>
    <s v="More Tenure Period"/>
    <x v="3"/>
  </r>
  <r>
    <n v="348"/>
    <s v="Moore"/>
    <n v="739"/>
    <s v="Spain"/>
    <s v="Female"/>
    <n v="53"/>
    <n v="1"/>
    <n v="221804.74"/>
    <n v="2"/>
    <n v="0"/>
    <n v="1"/>
    <n v="140925.68"/>
    <x v="0"/>
    <n v="1.2979384353956764"/>
    <n v="1.4345444929428774"/>
    <s v="Old person"/>
    <s v="Less Tenure Period"/>
    <x v="3"/>
  </r>
  <r>
    <n v="442"/>
    <s v="Jones"/>
    <n v="739"/>
    <s v="Spain"/>
    <s v="Male"/>
    <n v="25"/>
    <n v="1"/>
    <n v="7336.57"/>
    <n v="3"/>
    <n v="1"/>
    <n v="0"/>
    <n v="102957.36"/>
    <x v="1"/>
    <n v="-1.6819242910193972"/>
    <n v="0.50673766732561321"/>
    <s v="Youngsters"/>
    <s v="Less Tenure Period"/>
    <x v="3"/>
  </r>
  <r>
    <n v="299"/>
    <s v="Brown"/>
    <n v="739"/>
    <s v="Germany"/>
    <s v="Female"/>
    <n v="44"/>
    <n v="4"/>
    <n v="8330.89"/>
    <n v="1"/>
    <n v="0"/>
    <n v="1"/>
    <n v="102035.16"/>
    <x v="1"/>
    <n v="-1.6681090143462711"/>
    <n v="0.48420247339066325"/>
    <s v="Adults"/>
    <s v="More Tenure Period"/>
    <x v="3"/>
  </r>
  <r>
    <n v="93"/>
    <s v="Jones"/>
    <n v="739"/>
    <s v="Spain"/>
    <s v="Male"/>
    <n v="71"/>
    <n v="5"/>
    <n v="173851.84"/>
    <n v="2"/>
    <n v="1"/>
    <n v="1"/>
    <n v="121172.65"/>
    <x v="1"/>
    <n v="0.6316714581863806"/>
    <n v="0.951852710408844"/>
    <s v="Senior Citizens"/>
    <s v="More Tenure Period"/>
    <x v="3"/>
  </r>
  <r>
    <n v="326"/>
    <s v="Davis"/>
    <n v="739"/>
    <s v="France"/>
    <s v="Male"/>
    <n v="84"/>
    <n v="7"/>
    <n v="191888.81"/>
    <n v="2"/>
    <n v="1"/>
    <n v="0"/>
    <n v="94143.76"/>
    <x v="1"/>
    <n v="0.88228064928670513"/>
    <n v="0.29136552975775853"/>
    <s v="Senior Citizens"/>
    <s v="More Tenure Period"/>
    <x v="3"/>
  </r>
  <r>
    <n v="277"/>
    <s v="Taylor"/>
    <n v="739"/>
    <s v="France"/>
    <s v="Male"/>
    <n v="63"/>
    <n v="9"/>
    <n v="239749.84"/>
    <n v="1"/>
    <n v="0"/>
    <n v="0"/>
    <n v="35871.660000000003"/>
    <x v="0"/>
    <n v="1.5472711667366075"/>
    <n v="-1.1325913933574014"/>
    <s v="Old person"/>
    <s v="Large Tenure Period"/>
    <x v="3"/>
  </r>
  <r>
    <n v="56"/>
    <s v="Moore"/>
    <n v="740"/>
    <s v="France"/>
    <s v="Male"/>
    <n v="86"/>
    <n v="0"/>
    <n v="153882.97"/>
    <n v="2"/>
    <n v="0"/>
    <n v="1"/>
    <n v="29656.959999999999"/>
    <x v="1"/>
    <n v="0.35422007040409031"/>
    <n v="-1.2844559235542501"/>
    <s v="Senior Citizens"/>
    <s v="No Tenure Period"/>
    <x v="3"/>
  </r>
  <r>
    <n v="252"/>
    <s v="Johnson"/>
    <n v="740"/>
    <s v="France"/>
    <s v="Male"/>
    <n v="90"/>
    <n v="1"/>
    <n v="244519.73"/>
    <n v="4"/>
    <n v="0"/>
    <n v="1"/>
    <n v="107875.29"/>
    <x v="0"/>
    <n v="1.6135449518866372"/>
    <n v="0.62691388323160813"/>
    <s v="Senior Citizens"/>
    <s v="Less Tenure Period"/>
    <x v="3"/>
  </r>
  <r>
    <n v="59"/>
    <s v="Brown"/>
    <n v="740"/>
    <s v="Spain"/>
    <s v="Male"/>
    <n v="76"/>
    <n v="6"/>
    <n v="46184.63"/>
    <n v="4"/>
    <n v="0"/>
    <n v="1"/>
    <n v="140603.54"/>
    <x v="0"/>
    <n v="-1.1421617426303456"/>
    <n v="1.4266725699606562"/>
    <s v="Senior Citizens"/>
    <s v="More Tenure Period"/>
    <x v="3"/>
  </r>
  <r>
    <n v="8"/>
    <s v="Davis"/>
    <n v="741"/>
    <s v="France"/>
    <s v="Male"/>
    <n v="82"/>
    <n v="5"/>
    <n v="204042.02"/>
    <n v="2"/>
    <n v="1"/>
    <n v="1"/>
    <n v="92581.54"/>
    <x v="1"/>
    <n v="1.0511397274673737"/>
    <n v="0.2531905886722482"/>
    <s v="Senior Citizens"/>
    <s v="More Tenure Period"/>
    <x v="3"/>
  </r>
  <r>
    <n v="79"/>
    <s v="Brown"/>
    <n v="742"/>
    <s v="Spain"/>
    <s v="Female"/>
    <n v="84"/>
    <n v="0"/>
    <n v="129782.98"/>
    <n v="2"/>
    <n v="1"/>
    <n v="1"/>
    <n v="53475.839999999997"/>
    <x v="0"/>
    <n v="1.9370092862080111E-2"/>
    <n v="-0.70240964279812124"/>
    <s v="Senior Citizens"/>
    <s v="No Tenure Period"/>
    <x v="3"/>
  </r>
  <r>
    <n v="339"/>
    <s v="Miller"/>
    <n v="744"/>
    <s v="Spain"/>
    <s v="Female"/>
    <n v="41"/>
    <n v="7"/>
    <n v="117825.55"/>
    <n v="3"/>
    <n v="0"/>
    <n v="1"/>
    <n v="33868.199999999997"/>
    <x v="1"/>
    <n v="-0.14676877968351662"/>
    <n v="-1.1815486256724252"/>
    <s v="Adults"/>
    <s v="More Tenure Period"/>
    <x v="3"/>
  </r>
  <r>
    <n v="276"/>
    <s v="Johnson"/>
    <n v="746"/>
    <s v="France"/>
    <s v="Male"/>
    <n v="78"/>
    <n v="0"/>
    <n v="238996.86"/>
    <n v="2"/>
    <n v="1"/>
    <n v="0"/>
    <n v="105194.71"/>
    <x v="0"/>
    <n v="1.5368091152548606"/>
    <n v="0.56141031550427356"/>
    <s v="Senior Citizens"/>
    <s v="No Tenure Period"/>
    <x v="3"/>
  </r>
  <r>
    <n v="340"/>
    <s v="Miller"/>
    <n v="746"/>
    <s v="Spain"/>
    <s v="Female"/>
    <n v="24"/>
    <n v="4"/>
    <n v="73449.679999999993"/>
    <n v="4"/>
    <n v="1"/>
    <n v="0"/>
    <n v="108174.82"/>
    <x v="1"/>
    <n v="-0.76333580203112605"/>
    <n v="0.63423330053732918"/>
    <s v="Youngsters"/>
    <s v="More Tenure Period"/>
    <x v="3"/>
  </r>
  <r>
    <n v="359"/>
    <s v="Moore"/>
    <n v="746"/>
    <s v="Germany"/>
    <s v="Female"/>
    <n v="35"/>
    <n v="5"/>
    <n v="196029.87"/>
    <n v="4"/>
    <n v="1"/>
    <n v="0"/>
    <n v="77933.48"/>
    <x v="0"/>
    <n v="0.93981734735172984"/>
    <n v="-0.10475440468145365"/>
    <s v="Adults"/>
    <s v="More Tenure Period"/>
    <x v="3"/>
  </r>
  <r>
    <n v="95"/>
    <s v="Davis"/>
    <n v="746"/>
    <s v="Spain"/>
    <s v="Male"/>
    <n v="60"/>
    <n v="10"/>
    <n v="229932.49"/>
    <n v="2"/>
    <n v="1"/>
    <n v="0"/>
    <n v="81112.42"/>
    <x v="0"/>
    <n v="1.410866984534787"/>
    <n v="-2.7072741910286822E-2"/>
    <s v="Old person"/>
    <s v="Large Tenure Period"/>
    <x v="3"/>
  </r>
  <r>
    <n v="86"/>
    <s v="Wilson"/>
    <n v="750"/>
    <s v="Spain"/>
    <s v="Female"/>
    <n v="55"/>
    <n v="5"/>
    <n v="175912.59"/>
    <n v="2"/>
    <n v="1"/>
    <n v="1"/>
    <n v="15679.54"/>
    <x v="0"/>
    <n v="0.66030392198490073"/>
    <n v="-1.626012928987181"/>
    <s v="Old person"/>
    <s v="More Tenure Period"/>
    <x v="3"/>
  </r>
  <r>
    <n v="395"/>
    <s v="Johnson"/>
    <n v="750"/>
    <s v="France"/>
    <s v="Female"/>
    <n v="89"/>
    <n v="7"/>
    <n v="192173.02"/>
    <n v="4"/>
    <n v="0"/>
    <n v="1"/>
    <n v="99695.37"/>
    <x v="1"/>
    <n v="0.88622951864794608"/>
    <n v="0.42702656641055386"/>
    <s v="Senior Citizens"/>
    <s v="More Tenure Period"/>
    <x v="3"/>
  </r>
  <r>
    <n v="497"/>
    <s v="Smith"/>
    <n v="751"/>
    <s v="Spain"/>
    <s v="Female"/>
    <n v="34"/>
    <n v="1"/>
    <n v="118072.6"/>
    <n v="3"/>
    <n v="0"/>
    <n v="1"/>
    <n v="98955.37"/>
    <x v="1"/>
    <n v="-0.14333621863466331"/>
    <n v="0.40894367385811081"/>
    <s v="Adults"/>
    <s v="Less Tenure Period"/>
    <x v="4"/>
  </r>
  <r>
    <n v="135"/>
    <s v="Moore"/>
    <n v="752"/>
    <s v="Germany"/>
    <s v="Female"/>
    <n v="32"/>
    <n v="2"/>
    <n v="239097.38"/>
    <n v="1"/>
    <n v="1"/>
    <n v="1"/>
    <n v="13545.02"/>
    <x v="1"/>
    <n v="1.5382057598071002"/>
    <n v="-1.6781727881912902"/>
    <s v="Adults"/>
    <s v="Less Tenure Period"/>
    <x v="4"/>
  </r>
  <r>
    <n v="257"/>
    <s v="Davis"/>
    <n v="753"/>
    <s v="France"/>
    <s v="Male"/>
    <n v="33"/>
    <n v="6"/>
    <n v="147696.65"/>
    <n v="2"/>
    <n v="1"/>
    <n v="0"/>
    <n v="46897.41"/>
    <x v="1"/>
    <n v="0.26826612963201152"/>
    <n v="-0.86316240341132122"/>
    <s v="Adults"/>
    <s v="More Tenure Period"/>
    <x v="4"/>
  </r>
  <r>
    <n v="347"/>
    <s v="Miller"/>
    <n v="753"/>
    <s v="Germany"/>
    <s v="Female"/>
    <n v="30"/>
    <n v="7"/>
    <n v="151272.32999999999"/>
    <n v="2"/>
    <n v="0"/>
    <n v="0"/>
    <n v="12942.16"/>
    <x v="0"/>
    <n v="0.3179473273294966"/>
    <n v="-1.6929044808996225"/>
    <s v="Youngsters"/>
    <s v="More Tenure Period"/>
    <x v="4"/>
  </r>
  <r>
    <n v="72"/>
    <s v="Jones"/>
    <n v="755"/>
    <s v="Germany"/>
    <s v="Male"/>
    <n v="88"/>
    <n v="1"/>
    <n v="185926.28"/>
    <n v="1"/>
    <n v="1"/>
    <n v="0"/>
    <n v="138274.03"/>
    <x v="1"/>
    <n v="0.79943609057138776"/>
    <n v="1.3697478685689781"/>
    <s v="Senior Citizens"/>
    <s v="Less Tenure Period"/>
    <x v="4"/>
  </r>
  <r>
    <n v="237"/>
    <s v="Smith"/>
    <n v="758"/>
    <s v="France"/>
    <s v="Female"/>
    <n v="28"/>
    <n v="0"/>
    <n v="229680.01"/>
    <n v="1"/>
    <n v="1"/>
    <n v="0"/>
    <n v="33894.089999999997"/>
    <x v="0"/>
    <n v="1.4073589780032572"/>
    <n v="-1.1809159687965027"/>
    <s v="Youngsters"/>
    <s v="No Tenure Period"/>
    <x v="4"/>
  </r>
  <r>
    <n v="236"/>
    <s v="Johnson"/>
    <n v="759"/>
    <s v="Spain"/>
    <s v="Male"/>
    <n v="22"/>
    <n v="5"/>
    <n v="44104.69"/>
    <n v="4"/>
    <n v="1"/>
    <n v="1"/>
    <n v="101878.09"/>
    <x v="1"/>
    <n v="-1.1710608360444392"/>
    <n v="0.48036425726470061"/>
    <s v="Youngsters"/>
    <s v="More Tenure Period"/>
    <x v="4"/>
  </r>
  <r>
    <n v="157"/>
    <s v="Moore"/>
    <n v="759"/>
    <s v="France"/>
    <s v="Male"/>
    <n v="80"/>
    <n v="6"/>
    <n v="80712.23"/>
    <n v="4"/>
    <n v="1"/>
    <n v="0"/>
    <n v="49445.48"/>
    <x v="1"/>
    <n v="-0.66242851101574696"/>
    <n v="-0.80089689526793795"/>
    <s v="Senior Citizens"/>
    <s v="More Tenure Period"/>
    <x v="4"/>
  </r>
  <r>
    <n v="324"/>
    <s v="Williams"/>
    <n v="760"/>
    <s v="Spain"/>
    <s v="Female"/>
    <n v="34"/>
    <n v="1"/>
    <n v="104789.1"/>
    <n v="2"/>
    <n v="1"/>
    <n v="0"/>
    <n v="47420.92"/>
    <x v="1"/>
    <n v="-0.32789976727843001"/>
    <n v="-0.85036973438411934"/>
    <s v="Adults"/>
    <s v="Less Tenure Period"/>
    <x v="4"/>
  </r>
  <r>
    <n v="198"/>
    <s v="Moore"/>
    <n v="760"/>
    <s v="France"/>
    <s v="Female"/>
    <n v="21"/>
    <n v="4"/>
    <n v="17937.98"/>
    <n v="1"/>
    <n v="0"/>
    <n v="0"/>
    <n v="106372.6"/>
    <x v="0"/>
    <n v="-1.534626225733327"/>
    <n v="0.59019363754291831"/>
    <s v="Youngsters"/>
    <s v="More Tenure Period"/>
    <x v="4"/>
  </r>
  <r>
    <n v="489"/>
    <s v="Wilson"/>
    <n v="760"/>
    <s v="France"/>
    <s v="Male"/>
    <n v="54"/>
    <n v="5"/>
    <n v="200253.42"/>
    <n v="1"/>
    <n v="1"/>
    <n v="1"/>
    <n v="105135.87"/>
    <x v="0"/>
    <n v="0.99850017762043797"/>
    <n v="0.55997248118294118"/>
    <s v="Old person"/>
    <s v="More Tenure Period"/>
    <x v="4"/>
  </r>
  <r>
    <n v="225"/>
    <s v="Johnson"/>
    <n v="760"/>
    <s v="France"/>
    <s v="Male"/>
    <n v="35"/>
    <n v="9"/>
    <n v="241023.24"/>
    <n v="4"/>
    <n v="0"/>
    <n v="0"/>
    <n v="97832.3"/>
    <x v="0"/>
    <n v="1.5649640355470091"/>
    <n v="0.38149995204882414"/>
    <s v="Adults"/>
    <s v="Large Tenure Period"/>
    <x v="4"/>
  </r>
  <r>
    <n v="364"/>
    <s v="Brown"/>
    <n v="763"/>
    <s v="France"/>
    <s v="Female"/>
    <n v="59"/>
    <n v="0"/>
    <n v="99046.96"/>
    <n v="4"/>
    <n v="1"/>
    <n v="0"/>
    <n v="15699.41"/>
    <x v="0"/>
    <n v="-0.40768218420238217"/>
    <n v="-1.6255273788858067"/>
    <s v="Old person"/>
    <s v="No Tenure Period"/>
    <x v="4"/>
  </r>
  <r>
    <n v="343"/>
    <s v="Moore"/>
    <n v="763"/>
    <s v="Germany"/>
    <s v="Male"/>
    <n v="88"/>
    <n v="9"/>
    <n v="126389.5"/>
    <n v="1"/>
    <n v="1"/>
    <n v="0"/>
    <n v="145049.72"/>
    <x v="1"/>
    <n v="-2.7779582378003355E-2"/>
    <n v="1.5353209418644687"/>
    <s v="Senior Citizens"/>
    <s v="Large Tenure Period"/>
    <x v="4"/>
  </r>
  <r>
    <n v="1"/>
    <s v="Davis"/>
    <n v="764"/>
    <s v="Germany"/>
    <s v="Male"/>
    <n v="20"/>
    <n v="7"/>
    <n v="119274.87"/>
    <n v="3"/>
    <n v="1"/>
    <n v="0"/>
    <n v="107886.77"/>
    <x v="0"/>
    <n v="-0.126631643964739"/>
    <n v="0.62719441242958418"/>
    <s v="Youngsters"/>
    <s v="More Tenure Period"/>
    <x v="4"/>
  </r>
  <r>
    <n v="20"/>
    <s v="Johnson"/>
    <n v="765"/>
    <s v="Germany"/>
    <s v="Female"/>
    <n v="20"/>
    <n v="4"/>
    <n v="246840.35"/>
    <n v="2"/>
    <n v="0"/>
    <n v="0"/>
    <n v="93337.31"/>
    <x v="0"/>
    <n v="1.6457881003229451"/>
    <n v="0.27165884232678872"/>
    <s v="Youngsters"/>
    <s v="More Tenure Period"/>
    <x v="4"/>
  </r>
  <r>
    <n v="222"/>
    <s v="Williams"/>
    <n v="766"/>
    <s v="Spain"/>
    <s v="Male"/>
    <n v="56"/>
    <n v="3"/>
    <n v="70283.899999999994"/>
    <n v="3"/>
    <n v="1"/>
    <n v="0"/>
    <n v="18737.27"/>
    <x v="0"/>
    <n v="-0.80732176890924279"/>
    <n v="-1.5512931951434219"/>
    <s v="Old person"/>
    <s v="Less Tenure Period"/>
    <x v="4"/>
  </r>
  <r>
    <n v="145"/>
    <s v="Moore"/>
    <n v="767"/>
    <s v="Spain"/>
    <s v="Female"/>
    <n v="40"/>
    <n v="1"/>
    <n v="116715.57"/>
    <n v="1"/>
    <n v="0"/>
    <n v="0"/>
    <n v="22814.14"/>
    <x v="0"/>
    <n v="-0.16219105903185158"/>
    <n v="-1.4516694084403428"/>
    <s v="Adults"/>
    <s v="Less Tenure Period"/>
    <x v="4"/>
  </r>
  <r>
    <n v="393"/>
    <s v="Smith"/>
    <n v="767"/>
    <s v="France"/>
    <s v="Female"/>
    <n v="18"/>
    <n v="3"/>
    <n v="117042.43"/>
    <n v="1"/>
    <n v="0"/>
    <n v="0"/>
    <n v="97218.44"/>
    <x v="1"/>
    <n v="-0.15764960222380409"/>
    <n v="0.36649945958633395"/>
    <s v="Youngsters"/>
    <s v="Less Tenure Period"/>
    <x v="4"/>
  </r>
  <r>
    <n v="220"/>
    <s v="Davis"/>
    <n v="771"/>
    <s v="France"/>
    <s v="Female"/>
    <n v="81"/>
    <n v="3"/>
    <n v="135435.82999999999"/>
    <n v="3"/>
    <n v="0"/>
    <n v="1"/>
    <n v="72274.3"/>
    <x v="0"/>
    <n v="9.7911897051556909E-2"/>
    <n v="-0.24304405856650055"/>
    <s v="Senior Citizens"/>
    <s v="Less Tenure Period"/>
    <x v="4"/>
  </r>
  <r>
    <n v="426"/>
    <s v="Johnson"/>
    <n v="771"/>
    <s v="France"/>
    <s v="Female"/>
    <n v="35"/>
    <n v="3"/>
    <n v="231139.73"/>
    <n v="4"/>
    <n v="1"/>
    <n v="0"/>
    <n v="19540.71"/>
    <x v="1"/>
    <n v="1.427640613357364"/>
    <n v="-1.5316600610997262"/>
    <s v="Adults"/>
    <s v="Less Tenure Period"/>
    <x v="4"/>
  </r>
  <r>
    <n v="285"/>
    <s v="Jones"/>
    <n v="772"/>
    <s v="Spain"/>
    <s v="Male"/>
    <n v="50"/>
    <n v="1"/>
    <n v="135560.49"/>
    <n v="1"/>
    <n v="0"/>
    <n v="0"/>
    <n v="111365.93"/>
    <x v="1"/>
    <n v="9.9643947488108467E-2"/>
    <n v="0.71221235358195945"/>
    <s v="Adults"/>
    <s v="Less Tenure Period"/>
    <x v="4"/>
  </r>
  <r>
    <n v="128"/>
    <s v="Smith"/>
    <n v="774"/>
    <s v="Spain"/>
    <s v="Female"/>
    <n v="44"/>
    <n v="7"/>
    <n v="151801.15"/>
    <n v="1"/>
    <n v="0"/>
    <n v="0"/>
    <n v="36575.879999999997"/>
    <x v="1"/>
    <n v="0.32529485590207141"/>
    <n v="-1.1153828330962103"/>
    <s v="Adults"/>
    <s v="More Tenure Period"/>
    <x v="4"/>
  </r>
  <r>
    <n v="445"/>
    <s v="Wilson"/>
    <n v="774"/>
    <s v="Spain"/>
    <s v="Male"/>
    <n v="77"/>
    <n v="10"/>
    <n v="10982.07"/>
    <n v="4"/>
    <n v="1"/>
    <n v="0"/>
    <n v="107521.29"/>
    <x v="0"/>
    <n v="-1.631273000577808"/>
    <n v="0.61826341841597998"/>
    <s v="Senior Citizens"/>
    <s v="Large Tenure Period"/>
    <x v="4"/>
  </r>
  <r>
    <n v="6"/>
    <s v="Taylor"/>
    <n v="777"/>
    <s v="Spain"/>
    <s v="Female"/>
    <n v="34"/>
    <n v="0"/>
    <n v="127812.9"/>
    <n v="4"/>
    <n v="1"/>
    <n v="0"/>
    <n v="65189.1"/>
    <x v="0"/>
    <n v="-8.0025842118922799E-3"/>
    <n v="-0.41618042385375703"/>
    <s v="Adults"/>
    <s v="No Tenure Period"/>
    <x v="4"/>
  </r>
  <r>
    <n v="83"/>
    <s v="Moore"/>
    <n v="779"/>
    <s v="Germany"/>
    <s v="Male"/>
    <n v="82"/>
    <n v="9"/>
    <n v="241939.64"/>
    <n v="4"/>
    <n v="1"/>
    <n v="1"/>
    <n v="132532.96"/>
    <x v="1"/>
    <n v="1.5776966764908231"/>
    <n v="1.2294571226959314"/>
    <s v="Senior Citizens"/>
    <s v="Large Tenure Period"/>
    <x v="4"/>
  </r>
  <r>
    <n v="184"/>
    <s v="Moore"/>
    <n v="783"/>
    <s v="Spain"/>
    <s v="Female"/>
    <n v="24"/>
    <n v="1"/>
    <n v="69808.100000000006"/>
    <n v="3"/>
    <n v="1"/>
    <n v="0"/>
    <n v="116721.45"/>
    <x v="0"/>
    <n v="-0.8139326272255526"/>
    <n v="0.84308166807177032"/>
    <s v="Youngsters"/>
    <s v="Less Tenure Period"/>
    <x v="4"/>
  </r>
  <r>
    <n v="428"/>
    <s v="Smith"/>
    <n v="787"/>
    <s v="France"/>
    <s v="Female"/>
    <n v="77"/>
    <n v="4"/>
    <n v="82614.73"/>
    <n v="1"/>
    <n v="1"/>
    <n v="0"/>
    <n v="90275.78"/>
    <x v="0"/>
    <n v="-0.63599480368750017"/>
    <n v="0.19684625038613865"/>
    <s v="Senior Citizens"/>
    <s v="More Tenure Period"/>
    <x v="4"/>
  </r>
  <r>
    <n v="140"/>
    <s v="Williams"/>
    <n v="787"/>
    <s v="Spain"/>
    <s v="Female"/>
    <n v="38"/>
    <n v="9"/>
    <n v="216858.41"/>
    <n v="1"/>
    <n v="0"/>
    <n v="1"/>
    <n v="13005.86"/>
    <x v="0"/>
    <n v="1.2292131583555046"/>
    <n v="-1.6913478859596354"/>
    <s v="Adults"/>
    <s v="Large Tenure Period"/>
    <x v="4"/>
  </r>
  <r>
    <n v="98"/>
    <s v="Williams"/>
    <n v="788"/>
    <s v="Germany"/>
    <s v="Male"/>
    <n v="46"/>
    <n v="0"/>
    <n v="126692.44"/>
    <n v="1"/>
    <n v="1"/>
    <n v="1"/>
    <n v="27793.35"/>
    <x v="0"/>
    <n v="-2.3570474731212741E-2"/>
    <n v="-1.329995733540275"/>
    <s v="Adults"/>
    <s v="No Tenure Period"/>
    <x v="4"/>
  </r>
  <r>
    <n v="132"/>
    <s v="Miller"/>
    <n v="789"/>
    <s v="Spain"/>
    <s v="Male"/>
    <n v="61"/>
    <n v="4"/>
    <n v="166854.44"/>
    <n v="4"/>
    <n v="0"/>
    <n v="1"/>
    <n v="38147.910000000003"/>
    <x v="1"/>
    <n v="0.53444821316211044"/>
    <n v="-1.0769681715026735"/>
    <s v="Old person"/>
    <s v="More Tenure Period"/>
    <x v="4"/>
  </r>
  <r>
    <n v="382"/>
    <s v="Taylor"/>
    <n v="790"/>
    <s v="Spain"/>
    <s v="Male"/>
    <n v="71"/>
    <n v="4"/>
    <n v="7503.74"/>
    <n v="3"/>
    <n v="1"/>
    <n v="1"/>
    <n v="111705.43"/>
    <x v="1"/>
    <n v="-1.6796015983234376"/>
    <n v="0.72050849144892481"/>
    <s v="Senior Citizens"/>
    <s v="More Tenure Period"/>
    <x v="4"/>
  </r>
  <r>
    <n v="255"/>
    <s v="Davis"/>
    <n v="791"/>
    <s v="France"/>
    <s v="Male"/>
    <n v="75"/>
    <n v="8"/>
    <n v="101615.64"/>
    <n v="2"/>
    <n v="1"/>
    <n v="0"/>
    <n v="108820.32"/>
    <x v="1"/>
    <n v="-0.37199244157955919"/>
    <n v="0.65000695883814263"/>
    <s v="Senior Citizens"/>
    <s v="Large Tenure Period"/>
    <x v="4"/>
  </r>
  <r>
    <n v="386"/>
    <s v="Smith"/>
    <n v="791"/>
    <s v="Germany"/>
    <s v="Male"/>
    <n v="38"/>
    <n v="8"/>
    <n v="13669.44"/>
    <n v="2"/>
    <n v="1"/>
    <n v="1"/>
    <n v="64850.98"/>
    <x v="0"/>
    <n v="-1.5939341558667903"/>
    <n v="-0.42444283956974621"/>
    <s v="Adults"/>
    <s v="Large Tenure Period"/>
    <x v="4"/>
  </r>
  <r>
    <n v="123"/>
    <s v="Brown"/>
    <n v="797"/>
    <s v="Spain"/>
    <s v="Male"/>
    <n v="85"/>
    <n v="2"/>
    <n v="244614.91"/>
    <n v="2"/>
    <n v="1"/>
    <n v="1"/>
    <n v="101378.44"/>
    <x v="0"/>
    <n v="1.6148674014338131"/>
    <n v="0.46815463934060858"/>
    <s v="Senior Citizens"/>
    <s v="Less Tenure Period"/>
    <x v="4"/>
  </r>
  <r>
    <n v="328"/>
    <s v="Williams"/>
    <n v="797"/>
    <s v="Spain"/>
    <s v="Female"/>
    <n v="49"/>
    <n v="8"/>
    <n v="230551.53"/>
    <n v="2"/>
    <n v="1"/>
    <n v="1"/>
    <n v="127716.72"/>
    <x v="1"/>
    <n v="1.4194680474438424"/>
    <n v="1.1117658383354201"/>
    <s v="Adults"/>
    <s v="Large Tenure Period"/>
    <x v="4"/>
  </r>
  <r>
    <n v="488"/>
    <s v="Taylor"/>
    <n v="797"/>
    <s v="Spain"/>
    <s v="Female"/>
    <n v="32"/>
    <n v="8"/>
    <n v="236925.82"/>
    <n v="1"/>
    <n v="0"/>
    <n v="1"/>
    <n v="46753.37"/>
    <x v="1"/>
    <n v="1.5080336801825391"/>
    <n v="-0.86668221401031298"/>
    <s v="Adults"/>
    <s v="Large Tenure Period"/>
    <x v="4"/>
  </r>
  <r>
    <n v="42"/>
    <s v="Taylor"/>
    <n v="798"/>
    <s v="Germany"/>
    <s v="Male"/>
    <n v="69"/>
    <n v="8"/>
    <n v="34108.089999999997"/>
    <n v="3"/>
    <n v="0"/>
    <n v="0"/>
    <n v="81519.78"/>
    <x v="0"/>
    <n v="-1.3099555528263325"/>
    <n v="-1.7118353923579764E-2"/>
    <s v="Old person"/>
    <s v="Large Tenure Period"/>
    <x v="4"/>
  </r>
  <r>
    <n v="202"/>
    <s v="Wilson"/>
    <n v="800"/>
    <s v="Germany"/>
    <s v="Male"/>
    <n v="29"/>
    <n v="0"/>
    <n v="88974.52"/>
    <n v="4"/>
    <n v="1"/>
    <n v="1"/>
    <n v="115636.53"/>
    <x v="0"/>
    <n v="-0.54763063678652202"/>
    <n v="0.81657019268258579"/>
    <s v="Youngsters"/>
    <s v="No Tenure Period"/>
    <x v="4"/>
  </r>
  <r>
    <n v="455"/>
    <s v="Smith"/>
    <n v="801"/>
    <s v="Spain"/>
    <s v="Female"/>
    <n v="59"/>
    <n v="8"/>
    <n v="88835.65"/>
    <n v="2"/>
    <n v="1"/>
    <n v="0"/>
    <n v="141964.46"/>
    <x v="0"/>
    <n v="-0.54956012374403784"/>
    <n v="1.4599284755450759"/>
    <s v="Old person"/>
    <s v="Large Tenure Period"/>
    <x v="4"/>
  </r>
  <r>
    <n v="108"/>
    <s v="Smith"/>
    <n v="801"/>
    <s v="Spain"/>
    <s v="Female"/>
    <n v="59"/>
    <n v="10"/>
    <n v="77661.960000000006"/>
    <n v="2"/>
    <n v="0"/>
    <n v="0"/>
    <n v="74188.759999999995"/>
    <x v="0"/>
    <n v="-0.70480955934801026"/>
    <n v="-0.19626166062602754"/>
    <s v="Old person"/>
    <s v="Large Tenure Period"/>
    <x v="4"/>
  </r>
  <r>
    <n v="256"/>
    <s v="Davis"/>
    <n v="804"/>
    <s v="Germany"/>
    <s v="Female"/>
    <n v="68"/>
    <n v="10"/>
    <n v="240635.59"/>
    <n v="1"/>
    <n v="0"/>
    <n v="0"/>
    <n v="122764.08"/>
    <x v="0"/>
    <n v="1.559577950582071"/>
    <n v="0.99074143702335027"/>
    <s v="Old person"/>
    <s v="Large Tenure Period"/>
    <x v="4"/>
  </r>
  <r>
    <n v="298"/>
    <s v="Smith"/>
    <n v="806"/>
    <s v="France"/>
    <s v="Female"/>
    <n v="79"/>
    <n v="1"/>
    <n v="239514.85"/>
    <n v="1"/>
    <n v="0"/>
    <n v="0"/>
    <n v="107683.81"/>
    <x v="1"/>
    <n v="1.5440061696879535"/>
    <n v="0.62223481260195723"/>
    <s v="Senior Citizens"/>
    <s v="Less Tenure Period"/>
    <x v="4"/>
  </r>
  <r>
    <n v="32"/>
    <s v="Jones"/>
    <n v="806"/>
    <s v="Spain"/>
    <s v="Female"/>
    <n v="60"/>
    <n v="10"/>
    <n v="98142.26"/>
    <n v="4"/>
    <n v="0"/>
    <n v="1"/>
    <n v="88655.49"/>
    <x v="1"/>
    <n v="-0.42025226305645058"/>
    <n v="0.15725229096208745"/>
    <s v="Old person"/>
    <s v="Large Tenure Period"/>
    <x v="4"/>
  </r>
  <r>
    <n v="375"/>
    <s v="Jones"/>
    <n v="807"/>
    <s v="Spain"/>
    <s v="Male"/>
    <n v="61"/>
    <n v="10"/>
    <n v="33943.949999999997"/>
    <n v="2"/>
    <n v="1"/>
    <n v="1"/>
    <n v="70802.91"/>
    <x v="0"/>
    <n v="-1.3122361461093068"/>
    <n v="-0.27899944677290489"/>
    <s v="Old person"/>
    <s v="Large Tenure Period"/>
    <x v="4"/>
  </r>
  <r>
    <n v="355"/>
    <s v="Brown"/>
    <n v="810"/>
    <s v="Germany"/>
    <s v="Male"/>
    <n v="19"/>
    <n v="2"/>
    <n v="136582.23000000001"/>
    <n v="2"/>
    <n v="1"/>
    <n v="0"/>
    <n v="146255.76999999999"/>
    <x v="1"/>
    <n v="0.11384020300745848"/>
    <n v="1.5647923912737576"/>
    <s v="Youngsters"/>
    <s v="Less Tenure Period"/>
    <x v="4"/>
  </r>
  <r>
    <n v="137"/>
    <s v="Moore"/>
    <n v="812"/>
    <s v="Spain"/>
    <s v="Male"/>
    <n v="81"/>
    <n v="8"/>
    <n v="153059.5"/>
    <n v="4"/>
    <n v="0"/>
    <n v="1"/>
    <n v="114484.04"/>
    <x v="1"/>
    <n v="0.34277861706711715"/>
    <n v="0.78840755371263282"/>
    <s v="Senior Citizens"/>
    <s v="Large Tenure Period"/>
    <x v="4"/>
  </r>
  <r>
    <n v="46"/>
    <s v="Jones"/>
    <n v="813"/>
    <s v="France"/>
    <s v="Female"/>
    <n v="61"/>
    <n v="9"/>
    <n v="92243.96"/>
    <n v="2"/>
    <n v="0"/>
    <n v="1"/>
    <n v="64920.41"/>
    <x v="1"/>
    <n v="-0.50220439758165303"/>
    <n v="-0.42274622439418386"/>
    <s v="Old person"/>
    <s v="Large Tenure Period"/>
    <x v="4"/>
  </r>
  <r>
    <n v="494"/>
    <s v="Miller"/>
    <n v="813"/>
    <s v="Germany"/>
    <s v="Male"/>
    <n v="55"/>
    <n v="10"/>
    <n v="201976.42"/>
    <n v="3"/>
    <n v="0"/>
    <n v="1"/>
    <n v="131084.15"/>
    <x v="0"/>
    <n v="1.0224398768196858"/>
    <n v="1.1940535070757894"/>
    <s v="Old person"/>
    <s v="Large Tenure Period"/>
    <x v="4"/>
  </r>
  <r>
    <n v="443"/>
    <s v="Miller"/>
    <n v="814"/>
    <s v="Spain"/>
    <s v="Male"/>
    <n v="43"/>
    <n v="9"/>
    <n v="144405.5"/>
    <n v="1"/>
    <n v="0"/>
    <n v="1"/>
    <n v="30241.09"/>
    <x v="1"/>
    <n v="0.22253824743839301"/>
    <n v="-1.2701819235182252"/>
    <s v="Adults"/>
    <s v="Large Tenure Period"/>
    <x v="4"/>
  </r>
  <r>
    <n v="498"/>
    <s v="Wilson"/>
    <n v="814"/>
    <s v="Spain"/>
    <s v="Female"/>
    <n v="34"/>
    <n v="9"/>
    <n v="161580.20000000001"/>
    <n v="3"/>
    <n v="0"/>
    <n v="0"/>
    <n v="148752.49"/>
    <x v="0"/>
    <n v="0.46116689040840109"/>
    <n v="1.6258030932920491"/>
    <s v="Adults"/>
    <s v="Large Tenure Period"/>
    <x v="4"/>
  </r>
  <r>
    <n v="179"/>
    <s v="Miller"/>
    <n v="816"/>
    <s v="Germany"/>
    <s v="Female"/>
    <n v="51"/>
    <n v="9"/>
    <n v="55692.78"/>
    <n v="2"/>
    <n v="0"/>
    <n v="0"/>
    <n v="138662.49"/>
    <x v="1"/>
    <n v="-1.010053645740427"/>
    <n v="1.379240409705359"/>
    <s v="Old person"/>
    <s v="Large Tenure Period"/>
    <x v="4"/>
  </r>
  <r>
    <n v="85"/>
    <s v="Jones"/>
    <n v="820"/>
    <s v="Spain"/>
    <s v="Female"/>
    <n v="20"/>
    <n v="10"/>
    <n v="20249.55"/>
    <n v="3"/>
    <n v="0"/>
    <n v="0"/>
    <n v="121737.08"/>
    <x v="0"/>
    <n v="-1.5025088197681464"/>
    <n v="0.9656453145215137"/>
    <s v="Youngsters"/>
    <s v="Large Tenure Period"/>
    <x v="4"/>
  </r>
  <r>
    <n v="413"/>
    <s v="Johnson"/>
    <n v="821"/>
    <s v="Spain"/>
    <s v="Female"/>
    <n v="86"/>
    <n v="1"/>
    <n v="89639.64"/>
    <n v="3"/>
    <n v="1"/>
    <n v="0"/>
    <n v="125590.02"/>
    <x v="1"/>
    <n v="-0.53838932933939276"/>
    <n v="1.0597970713201761"/>
    <s v="Senior Citizens"/>
    <s v="Less Tenure Period"/>
    <x v="4"/>
  </r>
  <r>
    <n v="112"/>
    <s v="Taylor"/>
    <n v="825"/>
    <s v="France"/>
    <s v="Male"/>
    <n v="41"/>
    <n v="5"/>
    <n v="159554.78"/>
    <n v="3"/>
    <n v="0"/>
    <n v="1"/>
    <n v="75419.12"/>
    <x v="0"/>
    <n v="0.43302530854412885"/>
    <n v="-0.16619616376004931"/>
    <s v="Adults"/>
    <s v="More Tenure Period"/>
    <x v="4"/>
  </r>
  <r>
    <n v="62"/>
    <s v="Johnson"/>
    <n v="826"/>
    <s v="Spain"/>
    <s v="Male"/>
    <n v="72"/>
    <n v="1"/>
    <n v="60209.09"/>
    <n v="1"/>
    <n v="0"/>
    <n v="0"/>
    <n v="10127.81"/>
    <x v="1"/>
    <n v="-0.94730315073720284"/>
    <n v="-1.761676898000931"/>
    <s v="Senior Citizens"/>
    <s v="Less Tenure Period"/>
    <x v="4"/>
  </r>
  <r>
    <n v="469"/>
    <s v="Taylor"/>
    <n v="828"/>
    <s v="Germany"/>
    <s v="Male"/>
    <n v="77"/>
    <n v="10"/>
    <n v="184078.17"/>
    <n v="3"/>
    <n v="1"/>
    <n v="1"/>
    <n v="24061.040000000001"/>
    <x v="1"/>
    <n v="0.77375808854752137"/>
    <n v="-1.4211997344894762"/>
    <s v="Senior Citizens"/>
    <s v="Large Tenure Period"/>
    <x v="4"/>
  </r>
  <r>
    <n v="266"/>
    <s v="Williams"/>
    <n v="834"/>
    <s v="Spain"/>
    <s v="Female"/>
    <n v="63"/>
    <n v="4"/>
    <n v="85953.51"/>
    <n v="2"/>
    <n v="1"/>
    <n v="1"/>
    <n v="91754.31"/>
    <x v="0"/>
    <n v="-0.5896051409524653"/>
    <n v="0.23297611406933277"/>
    <s v="Old person"/>
    <s v="More Tenure Period"/>
    <x v="4"/>
  </r>
  <r>
    <n v="352"/>
    <s v="Miller"/>
    <n v="834"/>
    <s v="France"/>
    <s v="Male"/>
    <n v="76"/>
    <n v="8"/>
    <n v="77216.62"/>
    <n v="4"/>
    <n v="0"/>
    <n v="0"/>
    <n v="104636.55"/>
    <x v="1"/>
    <n v="-0.7109972004631544"/>
    <n v="0.54777092725147392"/>
    <s v="Senior Citizens"/>
    <s v="Large Tenure Period"/>
    <x v="4"/>
  </r>
  <r>
    <n v="329"/>
    <s v="Wilson"/>
    <n v="835"/>
    <s v="Spain"/>
    <s v="Male"/>
    <n v="28"/>
    <n v="4"/>
    <n v="182346.37"/>
    <n v="4"/>
    <n v="1"/>
    <n v="0"/>
    <n v="23783.4"/>
    <x v="0"/>
    <n v="0.74969612042607159"/>
    <n v="-1.4279842402844225"/>
    <s v="Youngsters"/>
    <s v="More Tenure Period"/>
    <x v="4"/>
  </r>
  <r>
    <n v="360"/>
    <s v="Williams"/>
    <n v="836"/>
    <s v="France"/>
    <s v="Female"/>
    <n v="23"/>
    <n v="3"/>
    <n v="149033.25"/>
    <n v="2"/>
    <n v="0"/>
    <n v="0"/>
    <n v="26370.52"/>
    <x v="1"/>
    <n v="0.28683711161095232"/>
    <n v="-1.3647644930137786"/>
    <s v="Youngsters"/>
    <s v="Less Tenure Period"/>
    <x v="4"/>
  </r>
  <r>
    <n v="345"/>
    <s v="Smith"/>
    <n v="837"/>
    <s v="France"/>
    <s v="Female"/>
    <n v="78"/>
    <n v="1"/>
    <n v="68129.600000000006"/>
    <n v="2"/>
    <n v="0"/>
    <n v="0"/>
    <n v="17554.759999999998"/>
    <x v="1"/>
    <n v="-0.83725403471594018"/>
    <n v="-1.5801894130788132"/>
    <s v="Senior Citizens"/>
    <s v="Less Tenure Period"/>
    <x v="4"/>
  </r>
  <r>
    <n v="415"/>
    <s v="Smith"/>
    <n v="837"/>
    <s v="France"/>
    <s v="Male"/>
    <n v="31"/>
    <n v="5"/>
    <n v="150640.24"/>
    <n v="4"/>
    <n v="0"/>
    <n v="0"/>
    <n v="52816.7"/>
    <x v="1"/>
    <n v="0.30916494516649451"/>
    <n v="-0.71851661279409063"/>
    <s v="Adults"/>
    <s v="More Tenure Period"/>
    <x v="4"/>
  </r>
  <r>
    <n v="162"/>
    <s v="Miller"/>
    <n v="839"/>
    <s v="Germany"/>
    <s v="Female"/>
    <n v="76"/>
    <n v="7"/>
    <n v="51347.49"/>
    <n v="4"/>
    <n v="0"/>
    <n v="1"/>
    <n v="21151.48"/>
    <x v="0"/>
    <n v="-1.0704279553942286"/>
    <n v="-1.4922987356447281"/>
    <s v="Senior Citizens"/>
    <s v="More Tenure Period"/>
    <x v="4"/>
  </r>
  <r>
    <n v="190"/>
    <s v="Miller"/>
    <n v="840"/>
    <s v="Germany"/>
    <s v="Male"/>
    <n v="42"/>
    <n v="2"/>
    <n v="46465.66"/>
    <n v="3"/>
    <n v="1"/>
    <n v="1"/>
    <n v="108093.18"/>
    <x v="1"/>
    <n v="-1.1382570568114454"/>
    <n v="0.6322383176346511"/>
    <s v="Adults"/>
    <s v="Less Tenure Period"/>
    <x v="4"/>
  </r>
  <r>
    <n v="468"/>
    <s v="Johnson"/>
    <n v="840"/>
    <s v="France"/>
    <s v="Male"/>
    <n v="54"/>
    <n v="5"/>
    <n v="110774.55"/>
    <n v="2"/>
    <n v="0"/>
    <n v="0"/>
    <n v="23399.15"/>
    <x v="1"/>
    <n v="-0.24473675359756028"/>
    <n v="-1.437373904423985"/>
    <s v="Old person"/>
    <s v="More Tenure Period"/>
    <x v="4"/>
  </r>
  <r>
    <n v="388"/>
    <s v="Moore"/>
    <n v="842"/>
    <s v="Spain"/>
    <s v="Female"/>
    <n v="79"/>
    <n v="8"/>
    <n v="99607.93"/>
    <n v="1"/>
    <n v="1"/>
    <n v="1"/>
    <n v="134066.89000000001"/>
    <x v="0"/>
    <n v="-0.39988795723790055"/>
    <n v="1.2669407596864306"/>
    <s v="Senior Citizens"/>
    <s v="Large Tenure Period"/>
    <x v="4"/>
  </r>
  <r>
    <n v="176"/>
    <s v="Williams"/>
    <n v="843"/>
    <s v="France"/>
    <s v="Male"/>
    <n v="34"/>
    <n v="6"/>
    <n v="104696.85"/>
    <n v="2"/>
    <n v="0"/>
    <n v="0"/>
    <n v="106102.67"/>
    <x v="1"/>
    <n v="-0.32918150683219127"/>
    <n v="0.5835975359392952"/>
    <s v="Adults"/>
    <s v="More Tenure Period"/>
    <x v="4"/>
  </r>
  <r>
    <n v="88"/>
    <s v="Davis"/>
    <n v="844"/>
    <s v="Germany"/>
    <s v="Female"/>
    <n v="21"/>
    <n v="6"/>
    <n v="92743.31"/>
    <n v="4"/>
    <n v="0"/>
    <n v="0"/>
    <n v="54061.89"/>
    <x v="0"/>
    <n v="-0.4952663309564968"/>
    <n v="-0.68808872498682483"/>
    <s v="Youngsters"/>
    <s v="More Tenure Period"/>
    <x v="4"/>
  </r>
  <r>
    <n v="185"/>
    <s v="Jones"/>
    <n v="844"/>
    <s v="France"/>
    <s v="Female"/>
    <n v="78"/>
    <n v="10"/>
    <n v="138185.18"/>
    <n v="1"/>
    <n v="0"/>
    <n v="0"/>
    <n v="143728.42000000001"/>
    <x v="0"/>
    <n v="0.13611190401235346"/>
    <n v="1.5030332041218433"/>
    <s v="Senior Citizens"/>
    <s v="Large Tenure Period"/>
    <x v="4"/>
  </r>
  <r>
    <n v="410"/>
    <s v="Johnson"/>
    <n v="845"/>
    <s v="Germany"/>
    <s v="Female"/>
    <n v="57"/>
    <n v="3"/>
    <n v="236890.08"/>
    <n v="4"/>
    <n v="0"/>
    <n v="0"/>
    <n v="67984.02"/>
    <x v="1"/>
    <n v="1.5075371016280519"/>
    <n v="-0.34788280486365664"/>
    <s v="Old person"/>
    <s v="Less Tenure Period"/>
    <x v="4"/>
  </r>
  <r>
    <n v="335"/>
    <s v="Jones"/>
    <n v="846"/>
    <s v="Germany"/>
    <s v="Female"/>
    <n v="23"/>
    <n v="3"/>
    <n v="117828.86"/>
    <n v="1"/>
    <n v="0"/>
    <n v="0"/>
    <n v="67005.429999999993"/>
    <x v="1"/>
    <n v="-0.14672278989573401"/>
    <n v="-0.37179596408378562"/>
    <s v="Youngsters"/>
    <s v="Less Tenure Period"/>
    <x v="4"/>
  </r>
  <r>
    <n v="143"/>
    <s v="Moore"/>
    <n v="846"/>
    <s v="France"/>
    <s v="Male"/>
    <n v="50"/>
    <n v="5"/>
    <n v="164636.07"/>
    <n v="4"/>
    <n v="1"/>
    <n v="0"/>
    <n v="70775.05"/>
    <x v="0"/>
    <n v="0.50362574623661105"/>
    <n v="-0.27968024324116314"/>
    <s v="Adults"/>
    <s v="More Tenure Period"/>
    <x v="4"/>
  </r>
  <r>
    <n v="196"/>
    <s v="Miller"/>
    <n v="848"/>
    <s v="Spain"/>
    <s v="Female"/>
    <n v="44"/>
    <n v="3"/>
    <n v="249802"/>
    <n v="1"/>
    <n v="1"/>
    <n v="0"/>
    <n v="139671.38"/>
    <x v="1"/>
    <n v="1.6869378450318555"/>
    <n v="1.4038939900664866"/>
    <s v="Adults"/>
    <s v="Less Tenure Period"/>
    <x v="4"/>
  </r>
  <r>
    <n v="159"/>
    <s v="Taylor"/>
    <n v="848"/>
    <s v="France"/>
    <s v="Male"/>
    <n v="29"/>
    <n v="10"/>
    <n v="208033.65"/>
    <n v="4"/>
    <n v="1"/>
    <n v="1"/>
    <n v="43662.79"/>
    <x v="1"/>
    <n v="1.1066002158682409"/>
    <n v="-0.94220468166535298"/>
    <s v="Youngsters"/>
    <s v="Large Tenure Period"/>
    <x v="4"/>
  </r>
  <r>
    <n v="33"/>
    <s v="Moore"/>
    <n v="849"/>
    <s v="France"/>
    <s v="Female"/>
    <n v="77"/>
    <n v="2"/>
    <n v="55839.55"/>
    <n v="1"/>
    <n v="1"/>
    <n v="1"/>
    <n v="45305.66"/>
    <x v="1"/>
    <n v="-1.0080143946368441"/>
    <n v="-0.90205894965503919"/>
    <s v="Senior Citizens"/>
    <s v="Less Tenure Period"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x v="0"/>
    <x v="0"/>
  </r>
  <r>
    <x v="1"/>
    <x v="1"/>
  </r>
  <r>
    <x v="1"/>
    <x v="1"/>
  </r>
  <r>
    <x v="1"/>
    <x v="1"/>
  </r>
  <r>
    <x v="0"/>
    <x v="2"/>
  </r>
  <r>
    <x v="2"/>
    <x v="0"/>
  </r>
  <r>
    <x v="3"/>
    <x v="1"/>
  </r>
  <r>
    <x v="3"/>
    <x v="3"/>
  </r>
  <r>
    <x v="2"/>
    <x v="4"/>
  </r>
  <r>
    <x v="1"/>
    <x v="2"/>
  </r>
  <r>
    <x v="0"/>
    <x v="1"/>
  </r>
  <r>
    <x v="0"/>
    <x v="2"/>
  </r>
  <r>
    <x v="2"/>
    <x v="1"/>
  </r>
  <r>
    <x v="2"/>
    <x v="2"/>
  </r>
  <r>
    <x v="3"/>
    <x v="2"/>
  </r>
  <r>
    <x v="2"/>
    <x v="4"/>
  </r>
  <r>
    <x v="0"/>
    <x v="4"/>
  </r>
  <r>
    <x v="2"/>
    <x v="4"/>
  </r>
  <r>
    <x v="3"/>
    <x v="1"/>
  </r>
  <r>
    <x v="0"/>
    <x v="0"/>
  </r>
  <r>
    <x v="0"/>
    <x v="4"/>
  </r>
  <r>
    <x v="3"/>
    <x v="4"/>
  </r>
  <r>
    <x v="1"/>
    <x v="1"/>
  </r>
  <r>
    <x v="1"/>
    <x v="1"/>
  </r>
  <r>
    <x v="3"/>
    <x v="1"/>
  </r>
  <r>
    <x v="2"/>
    <x v="1"/>
  </r>
  <r>
    <x v="0"/>
    <x v="2"/>
  </r>
  <r>
    <x v="2"/>
    <x v="4"/>
  </r>
  <r>
    <x v="1"/>
    <x v="4"/>
  </r>
  <r>
    <x v="0"/>
    <x v="2"/>
  </r>
  <r>
    <x v="2"/>
    <x v="1"/>
  </r>
  <r>
    <x v="1"/>
    <x v="0"/>
  </r>
  <r>
    <x v="3"/>
    <x v="0"/>
  </r>
  <r>
    <x v="3"/>
    <x v="1"/>
  </r>
  <r>
    <x v="3"/>
    <x v="1"/>
  </r>
  <r>
    <x v="1"/>
    <x v="1"/>
  </r>
  <r>
    <x v="2"/>
    <x v="4"/>
  </r>
  <r>
    <x v="2"/>
    <x v="1"/>
  </r>
  <r>
    <x v="3"/>
    <x v="4"/>
  </r>
  <r>
    <x v="3"/>
    <x v="1"/>
  </r>
  <r>
    <x v="1"/>
    <x v="2"/>
  </r>
  <r>
    <x v="1"/>
    <x v="0"/>
  </r>
  <r>
    <x v="3"/>
    <x v="4"/>
  </r>
  <r>
    <x v="1"/>
    <x v="2"/>
  </r>
  <r>
    <x v="2"/>
    <x v="2"/>
  </r>
  <r>
    <x v="1"/>
    <x v="0"/>
  </r>
  <r>
    <x v="2"/>
    <x v="1"/>
  </r>
  <r>
    <x v="2"/>
    <x v="4"/>
  </r>
  <r>
    <x v="2"/>
    <x v="4"/>
  </r>
  <r>
    <x v="3"/>
    <x v="1"/>
  </r>
  <r>
    <x v="3"/>
    <x v="1"/>
  </r>
  <r>
    <x v="0"/>
    <x v="4"/>
  </r>
  <r>
    <x v="1"/>
    <x v="2"/>
  </r>
  <r>
    <x v="1"/>
    <x v="1"/>
  </r>
  <r>
    <x v="2"/>
    <x v="1"/>
  </r>
  <r>
    <x v="3"/>
    <x v="3"/>
  </r>
  <r>
    <x v="1"/>
    <x v="2"/>
  </r>
  <r>
    <x v="0"/>
    <x v="1"/>
  </r>
  <r>
    <x v="3"/>
    <x v="3"/>
  </r>
  <r>
    <x v="0"/>
    <x v="2"/>
  </r>
  <r>
    <x v="1"/>
    <x v="1"/>
  </r>
  <r>
    <x v="3"/>
    <x v="0"/>
  </r>
  <r>
    <x v="1"/>
    <x v="1"/>
  </r>
  <r>
    <x v="2"/>
    <x v="3"/>
  </r>
  <r>
    <x v="2"/>
    <x v="3"/>
  </r>
  <r>
    <x v="1"/>
    <x v="4"/>
  </r>
  <r>
    <x v="1"/>
    <x v="1"/>
  </r>
  <r>
    <x v="3"/>
    <x v="2"/>
  </r>
  <r>
    <x v="1"/>
    <x v="4"/>
  </r>
  <r>
    <x v="1"/>
    <x v="2"/>
  </r>
  <r>
    <x v="3"/>
    <x v="0"/>
  </r>
  <r>
    <x v="0"/>
    <x v="1"/>
  </r>
  <r>
    <x v="1"/>
    <x v="1"/>
  </r>
  <r>
    <x v="0"/>
    <x v="1"/>
  </r>
  <r>
    <x v="2"/>
    <x v="4"/>
  </r>
  <r>
    <x v="3"/>
    <x v="4"/>
  </r>
  <r>
    <x v="0"/>
    <x v="4"/>
  </r>
  <r>
    <x v="3"/>
    <x v="3"/>
  </r>
  <r>
    <x v="0"/>
    <x v="2"/>
  </r>
  <r>
    <x v="1"/>
    <x v="2"/>
  </r>
  <r>
    <x v="2"/>
    <x v="1"/>
  </r>
  <r>
    <x v="3"/>
    <x v="0"/>
  </r>
  <r>
    <x v="2"/>
    <x v="4"/>
  </r>
  <r>
    <x v="0"/>
    <x v="0"/>
  </r>
  <r>
    <x v="1"/>
    <x v="3"/>
  </r>
  <r>
    <x v="3"/>
    <x v="1"/>
  </r>
  <r>
    <x v="0"/>
    <x v="0"/>
  </r>
  <r>
    <x v="1"/>
    <x v="1"/>
  </r>
  <r>
    <x v="3"/>
    <x v="1"/>
  </r>
  <r>
    <x v="2"/>
    <x v="3"/>
  </r>
  <r>
    <x v="1"/>
    <x v="3"/>
  </r>
  <r>
    <x v="3"/>
    <x v="3"/>
  </r>
  <r>
    <x v="2"/>
    <x v="4"/>
  </r>
  <r>
    <x v="1"/>
    <x v="3"/>
  </r>
  <r>
    <x v="1"/>
    <x v="2"/>
  </r>
  <r>
    <x v="3"/>
    <x v="1"/>
  </r>
  <r>
    <x v="2"/>
    <x v="0"/>
  </r>
  <r>
    <x v="1"/>
    <x v="1"/>
  </r>
  <r>
    <x v="3"/>
    <x v="2"/>
  </r>
  <r>
    <x v="0"/>
    <x v="1"/>
  </r>
  <r>
    <x v="1"/>
    <x v="4"/>
  </r>
  <r>
    <x v="2"/>
    <x v="2"/>
  </r>
  <r>
    <x v="2"/>
    <x v="1"/>
  </r>
  <r>
    <x v="3"/>
    <x v="1"/>
  </r>
  <r>
    <x v="2"/>
    <x v="4"/>
  </r>
  <r>
    <x v="3"/>
    <x v="1"/>
  </r>
  <r>
    <x v="1"/>
    <x v="0"/>
  </r>
  <r>
    <x v="1"/>
    <x v="1"/>
  </r>
  <r>
    <x v="2"/>
    <x v="4"/>
  </r>
  <r>
    <x v="1"/>
    <x v="2"/>
  </r>
  <r>
    <x v="2"/>
    <x v="0"/>
  </r>
  <r>
    <x v="3"/>
    <x v="2"/>
  </r>
  <r>
    <x v="1"/>
    <x v="3"/>
  </r>
  <r>
    <x v="3"/>
    <x v="1"/>
  </r>
  <r>
    <x v="1"/>
    <x v="4"/>
  </r>
  <r>
    <x v="2"/>
    <x v="2"/>
  </r>
  <r>
    <x v="1"/>
    <x v="4"/>
  </r>
  <r>
    <x v="3"/>
    <x v="4"/>
  </r>
  <r>
    <x v="1"/>
    <x v="3"/>
  </r>
  <r>
    <x v="0"/>
    <x v="1"/>
  </r>
  <r>
    <x v="0"/>
    <x v="4"/>
  </r>
  <r>
    <x v="3"/>
    <x v="0"/>
  </r>
  <r>
    <x v="2"/>
    <x v="2"/>
  </r>
  <r>
    <x v="2"/>
    <x v="1"/>
  </r>
  <r>
    <x v="2"/>
    <x v="1"/>
  </r>
  <r>
    <x v="3"/>
    <x v="2"/>
  </r>
  <r>
    <x v="2"/>
    <x v="0"/>
  </r>
  <r>
    <x v="0"/>
    <x v="1"/>
  </r>
  <r>
    <x v="0"/>
    <x v="1"/>
  </r>
  <r>
    <x v="3"/>
    <x v="4"/>
  </r>
  <r>
    <x v="1"/>
    <x v="0"/>
  </r>
  <r>
    <x v="3"/>
    <x v="1"/>
  </r>
  <r>
    <x v="2"/>
    <x v="1"/>
  </r>
  <r>
    <x v="2"/>
    <x v="0"/>
  </r>
  <r>
    <x v="2"/>
    <x v="3"/>
  </r>
  <r>
    <x v="3"/>
    <x v="0"/>
  </r>
  <r>
    <x v="1"/>
    <x v="4"/>
  </r>
  <r>
    <x v="2"/>
    <x v="1"/>
  </r>
  <r>
    <x v="2"/>
    <x v="0"/>
  </r>
  <r>
    <x v="2"/>
    <x v="4"/>
  </r>
  <r>
    <x v="1"/>
    <x v="1"/>
  </r>
  <r>
    <x v="2"/>
    <x v="0"/>
  </r>
  <r>
    <x v="3"/>
    <x v="1"/>
  </r>
  <r>
    <x v="2"/>
    <x v="0"/>
  </r>
  <r>
    <x v="2"/>
    <x v="2"/>
  </r>
  <r>
    <x v="3"/>
    <x v="1"/>
  </r>
  <r>
    <x v="3"/>
    <x v="1"/>
  </r>
  <r>
    <x v="1"/>
    <x v="1"/>
  </r>
  <r>
    <x v="1"/>
    <x v="2"/>
  </r>
  <r>
    <x v="2"/>
    <x v="3"/>
  </r>
  <r>
    <x v="2"/>
    <x v="2"/>
  </r>
  <r>
    <x v="1"/>
    <x v="2"/>
  </r>
  <r>
    <x v="0"/>
    <x v="1"/>
  </r>
  <r>
    <x v="0"/>
    <x v="1"/>
  </r>
  <r>
    <x v="0"/>
    <x v="1"/>
  </r>
  <r>
    <x v="3"/>
    <x v="0"/>
  </r>
  <r>
    <x v="2"/>
    <x v="1"/>
  </r>
  <r>
    <x v="0"/>
    <x v="0"/>
  </r>
  <r>
    <x v="2"/>
    <x v="3"/>
  </r>
  <r>
    <x v="3"/>
    <x v="1"/>
  </r>
  <r>
    <x v="3"/>
    <x v="0"/>
  </r>
  <r>
    <x v="1"/>
    <x v="1"/>
  </r>
  <r>
    <x v="3"/>
    <x v="1"/>
  </r>
  <r>
    <x v="2"/>
    <x v="2"/>
  </r>
  <r>
    <x v="3"/>
    <x v="3"/>
  </r>
  <r>
    <x v="2"/>
    <x v="1"/>
  </r>
  <r>
    <x v="1"/>
    <x v="1"/>
  </r>
  <r>
    <x v="0"/>
    <x v="2"/>
  </r>
  <r>
    <x v="1"/>
    <x v="2"/>
  </r>
  <r>
    <x v="1"/>
    <x v="1"/>
  </r>
  <r>
    <x v="3"/>
    <x v="1"/>
  </r>
  <r>
    <x v="0"/>
    <x v="1"/>
  </r>
  <r>
    <x v="3"/>
    <x v="2"/>
  </r>
  <r>
    <x v="1"/>
    <x v="1"/>
  </r>
  <r>
    <x v="2"/>
    <x v="0"/>
  </r>
  <r>
    <x v="1"/>
    <x v="1"/>
  </r>
  <r>
    <x v="1"/>
    <x v="1"/>
  </r>
  <r>
    <x v="1"/>
    <x v="0"/>
  </r>
  <r>
    <x v="3"/>
    <x v="4"/>
  </r>
  <r>
    <x v="3"/>
    <x v="1"/>
  </r>
  <r>
    <x v="3"/>
    <x v="1"/>
  </r>
  <r>
    <x v="2"/>
    <x v="2"/>
  </r>
  <r>
    <x v="0"/>
    <x v="0"/>
  </r>
  <r>
    <x v="3"/>
    <x v="0"/>
  </r>
  <r>
    <x v="3"/>
    <x v="2"/>
  </r>
  <r>
    <x v="3"/>
    <x v="1"/>
  </r>
  <r>
    <x v="2"/>
    <x v="1"/>
  </r>
  <r>
    <x v="2"/>
    <x v="1"/>
  </r>
  <r>
    <x v="2"/>
    <x v="0"/>
  </r>
  <r>
    <x v="0"/>
    <x v="2"/>
  </r>
  <r>
    <x v="2"/>
    <x v="3"/>
  </r>
  <r>
    <x v="0"/>
    <x v="1"/>
  </r>
  <r>
    <x v="2"/>
    <x v="4"/>
  </r>
  <r>
    <x v="2"/>
    <x v="1"/>
  </r>
  <r>
    <x v="2"/>
    <x v="0"/>
  </r>
  <r>
    <x v="3"/>
    <x v="1"/>
  </r>
  <r>
    <x v="0"/>
    <x v="0"/>
  </r>
  <r>
    <x v="3"/>
    <x v="2"/>
  </r>
  <r>
    <x v="1"/>
    <x v="4"/>
  </r>
  <r>
    <x v="0"/>
    <x v="2"/>
  </r>
  <r>
    <x v="0"/>
    <x v="0"/>
  </r>
  <r>
    <x v="0"/>
    <x v="1"/>
  </r>
  <r>
    <x v="3"/>
    <x v="2"/>
  </r>
  <r>
    <x v="0"/>
    <x v="2"/>
  </r>
  <r>
    <x v="2"/>
    <x v="3"/>
  </r>
  <r>
    <x v="0"/>
    <x v="3"/>
  </r>
  <r>
    <x v="2"/>
    <x v="4"/>
  </r>
  <r>
    <x v="0"/>
    <x v="2"/>
  </r>
  <r>
    <x v="0"/>
    <x v="3"/>
  </r>
  <r>
    <x v="1"/>
    <x v="3"/>
  </r>
  <r>
    <x v="1"/>
    <x v="1"/>
  </r>
  <r>
    <x v="3"/>
    <x v="1"/>
  </r>
  <r>
    <x v="0"/>
    <x v="1"/>
  </r>
  <r>
    <x v="2"/>
    <x v="1"/>
  </r>
  <r>
    <x v="2"/>
    <x v="1"/>
  </r>
  <r>
    <x v="1"/>
    <x v="1"/>
  </r>
  <r>
    <x v="3"/>
    <x v="1"/>
  </r>
  <r>
    <x v="2"/>
    <x v="4"/>
  </r>
  <r>
    <x v="3"/>
    <x v="0"/>
  </r>
  <r>
    <x v="2"/>
    <x v="1"/>
  </r>
  <r>
    <x v="1"/>
    <x v="0"/>
  </r>
  <r>
    <x v="0"/>
    <x v="3"/>
  </r>
  <r>
    <x v="2"/>
    <x v="2"/>
  </r>
  <r>
    <x v="2"/>
    <x v="0"/>
  </r>
  <r>
    <x v="3"/>
    <x v="1"/>
  </r>
  <r>
    <x v="2"/>
    <x v="4"/>
  </r>
  <r>
    <x v="1"/>
    <x v="2"/>
  </r>
  <r>
    <x v="3"/>
    <x v="2"/>
  </r>
  <r>
    <x v="0"/>
    <x v="4"/>
  </r>
  <r>
    <x v="0"/>
    <x v="2"/>
  </r>
  <r>
    <x v="1"/>
    <x v="4"/>
  </r>
  <r>
    <x v="3"/>
    <x v="1"/>
  </r>
  <r>
    <x v="1"/>
    <x v="1"/>
  </r>
  <r>
    <x v="1"/>
    <x v="2"/>
  </r>
  <r>
    <x v="0"/>
    <x v="0"/>
  </r>
  <r>
    <x v="0"/>
    <x v="0"/>
  </r>
  <r>
    <x v="0"/>
    <x v="1"/>
  </r>
  <r>
    <x v="1"/>
    <x v="4"/>
  </r>
  <r>
    <x v="3"/>
    <x v="1"/>
  </r>
  <r>
    <x v="0"/>
    <x v="2"/>
  </r>
  <r>
    <x v="3"/>
    <x v="1"/>
  </r>
  <r>
    <x v="2"/>
    <x v="1"/>
  </r>
  <r>
    <x v="0"/>
    <x v="4"/>
  </r>
  <r>
    <x v="3"/>
    <x v="1"/>
  </r>
  <r>
    <x v="2"/>
    <x v="4"/>
  </r>
  <r>
    <x v="2"/>
    <x v="2"/>
  </r>
  <r>
    <x v="2"/>
    <x v="2"/>
  </r>
  <r>
    <x v="3"/>
    <x v="1"/>
  </r>
  <r>
    <x v="0"/>
    <x v="1"/>
  </r>
  <r>
    <x v="1"/>
    <x v="4"/>
  </r>
  <r>
    <x v="3"/>
    <x v="3"/>
  </r>
  <r>
    <x v="0"/>
    <x v="4"/>
  </r>
  <r>
    <x v="0"/>
    <x v="3"/>
  </r>
  <r>
    <x v="3"/>
    <x v="0"/>
  </r>
  <r>
    <x v="1"/>
    <x v="0"/>
  </r>
  <r>
    <x v="2"/>
    <x v="0"/>
  </r>
  <r>
    <x v="3"/>
    <x v="1"/>
  </r>
  <r>
    <x v="0"/>
    <x v="1"/>
  </r>
  <r>
    <x v="3"/>
    <x v="4"/>
  </r>
  <r>
    <x v="1"/>
    <x v="3"/>
  </r>
  <r>
    <x v="2"/>
    <x v="1"/>
  </r>
  <r>
    <x v="3"/>
    <x v="1"/>
  </r>
  <r>
    <x v="3"/>
    <x v="1"/>
  </r>
  <r>
    <x v="3"/>
    <x v="1"/>
  </r>
  <r>
    <x v="1"/>
    <x v="0"/>
  </r>
  <r>
    <x v="0"/>
    <x v="3"/>
  </r>
  <r>
    <x v="0"/>
    <x v="1"/>
  </r>
  <r>
    <x v="2"/>
    <x v="4"/>
  </r>
  <r>
    <x v="3"/>
    <x v="4"/>
  </r>
  <r>
    <x v="3"/>
    <x v="1"/>
  </r>
  <r>
    <x v="3"/>
    <x v="2"/>
  </r>
  <r>
    <x v="2"/>
    <x v="1"/>
  </r>
  <r>
    <x v="1"/>
    <x v="1"/>
  </r>
  <r>
    <x v="1"/>
    <x v="1"/>
  </r>
  <r>
    <x v="3"/>
    <x v="3"/>
  </r>
  <r>
    <x v="1"/>
    <x v="3"/>
  </r>
  <r>
    <x v="2"/>
    <x v="1"/>
  </r>
  <r>
    <x v="2"/>
    <x v="2"/>
  </r>
  <r>
    <x v="2"/>
    <x v="2"/>
  </r>
  <r>
    <x v="2"/>
    <x v="1"/>
  </r>
  <r>
    <x v="3"/>
    <x v="3"/>
  </r>
  <r>
    <x v="1"/>
    <x v="2"/>
  </r>
  <r>
    <x v="0"/>
    <x v="1"/>
  </r>
  <r>
    <x v="2"/>
    <x v="0"/>
  </r>
  <r>
    <x v="1"/>
    <x v="2"/>
  </r>
  <r>
    <x v="1"/>
    <x v="3"/>
  </r>
  <r>
    <x v="3"/>
    <x v="2"/>
  </r>
  <r>
    <x v="2"/>
    <x v="3"/>
  </r>
  <r>
    <x v="2"/>
    <x v="3"/>
  </r>
  <r>
    <x v="1"/>
    <x v="4"/>
  </r>
  <r>
    <x v="3"/>
    <x v="2"/>
  </r>
  <r>
    <x v="3"/>
    <x v="2"/>
  </r>
  <r>
    <x v="0"/>
    <x v="2"/>
  </r>
  <r>
    <x v="1"/>
    <x v="1"/>
  </r>
  <r>
    <x v="2"/>
    <x v="1"/>
  </r>
  <r>
    <x v="3"/>
    <x v="1"/>
  </r>
  <r>
    <x v="3"/>
    <x v="0"/>
  </r>
  <r>
    <x v="2"/>
    <x v="3"/>
  </r>
  <r>
    <x v="3"/>
    <x v="1"/>
  </r>
  <r>
    <x v="1"/>
    <x v="4"/>
  </r>
  <r>
    <x v="2"/>
    <x v="4"/>
  </r>
  <r>
    <x v="3"/>
    <x v="4"/>
  </r>
  <r>
    <x v="3"/>
    <x v="2"/>
  </r>
  <r>
    <x v="1"/>
    <x v="1"/>
  </r>
  <r>
    <x v="3"/>
    <x v="1"/>
  </r>
  <r>
    <x v="1"/>
    <x v="2"/>
  </r>
  <r>
    <x v="1"/>
    <x v="1"/>
  </r>
  <r>
    <x v="3"/>
    <x v="1"/>
  </r>
  <r>
    <x v="3"/>
    <x v="1"/>
  </r>
  <r>
    <x v="3"/>
    <x v="1"/>
  </r>
  <r>
    <x v="3"/>
    <x v="2"/>
  </r>
  <r>
    <x v="3"/>
    <x v="2"/>
  </r>
  <r>
    <x v="1"/>
    <x v="1"/>
  </r>
  <r>
    <x v="0"/>
    <x v="4"/>
  </r>
  <r>
    <x v="3"/>
    <x v="1"/>
  </r>
  <r>
    <x v="1"/>
    <x v="4"/>
  </r>
  <r>
    <x v="1"/>
    <x v="1"/>
  </r>
  <r>
    <x v="1"/>
    <x v="4"/>
  </r>
  <r>
    <x v="0"/>
    <x v="1"/>
  </r>
  <r>
    <x v="3"/>
    <x v="1"/>
  </r>
  <r>
    <x v="3"/>
    <x v="1"/>
  </r>
  <r>
    <x v="3"/>
    <x v="1"/>
  </r>
  <r>
    <x v="2"/>
    <x v="0"/>
  </r>
  <r>
    <x v="3"/>
    <x v="1"/>
  </r>
  <r>
    <x v="3"/>
    <x v="3"/>
  </r>
  <r>
    <x v="0"/>
    <x v="1"/>
  </r>
  <r>
    <x v="2"/>
    <x v="0"/>
  </r>
  <r>
    <x v="0"/>
    <x v="0"/>
  </r>
  <r>
    <x v="2"/>
    <x v="1"/>
  </r>
  <r>
    <x v="2"/>
    <x v="1"/>
  </r>
  <r>
    <x v="1"/>
    <x v="1"/>
  </r>
  <r>
    <x v="3"/>
    <x v="1"/>
  </r>
  <r>
    <x v="2"/>
    <x v="3"/>
  </r>
  <r>
    <x v="0"/>
    <x v="0"/>
  </r>
  <r>
    <x v="2"/>
    <x v="4"/>
  </r>
  <r>
    <x v="1"/>
    <x v="2"/>
  </r>
  <r>
    <x v="2"/>
    <x v="1"/>
  </r>
  <r>
    <x v="2"/>
    <x v="3"/>
  </r>
  <r>
    <x v="0"/>
    <x v="3"/>
  </r>
  <r>
    <x v="3"/>
    <x v="1"/>
  </r>
  <r>
    <x v="3"/>
    <x v="2"/>
  </r>
  <r>
    <x v="3"/>
    <x v="0"/>
  </r>
  <r>
    <x v="1"/>
    <x v="2"/>
  </r>
  <r>
    <x v="3"/>
    <x v="0"/>
  </r>
  <r>
    <x v="1"/>
    <x v="1"/>
  </r>
  <r>
    <x v="0"/>
    <x v="0"/>
  </r>
  <r>
    <x v="1"/>
    <x v="3"/>
  </r>
  <r>
    <x v="3"/>
    <x v="2"/>
  </r>
  <r>
    <x v="3"/>
    <x v="1"/>
  </r>
  <r>
    <x v="3"/>
    <x v="1"/>
  </r>
  <r>
    <x v="3"/>
    <x v="0"/>
  </r>
  <r>
    <x v="2"/>
    <x v="2"/>
  </r>
  <r>
    <x v="0"/>
    <x v="2"/>
  </r>
  <r>
    <x v="0"/>
    <x v="0"/>
  </r>
  <r>
    <x v="2"/>
    <x v="1"/>
  </r>
  <r>
    <x v="2"/>
    <x v="4"/>
  </r>
  <r>
    <x v="3"/>
    <x v="1"/>
  </r>
  <r>
    <x v="2"/>
    <x v="3"/>
  </r>
  <r>
    <x v="0"/>
    <x v="0"/>
  </r>
  <r>
    <x v="2"/>
    <x v="1"/>
  </r>
  <r>
    <x v="3"/>
    <x v="4"/>
  </r>
  <r>
    <x v="2"/>
    <x v="1"/>
  </r>
  <r>
    <x v="1"/>
    <x v="0"/>
  </r>
  <r>
    <x v="2"/>
    <x v="1"/>
  </r>
  <r>
    <x v="1"/>
    <x v="4"/>
  </r>
  <r>
    <x v="1"/>
    <x v="4"/>
  </r>
  <r>
    <x v="3"/>
    <x v="2"/>
  </r>
  <r>
    <x v="3"/>
    <x v="2"/>
  </r>
  <r>
    <x v="2"/>
    <x v="1"/>
  </r>
  <r>
    <x v="0"/>
    <x v="1"/>
  </r>
  <r>
    <x v="2"/>
    <x v="2"/>
  </r>
  <r>
    <x v="2"/>
    <x v="1"/>
  </r>
  <r>
    <x v="3"/>
    <x v="3"/>
  </r>
  <r>
    <x v="1"/>
    <x v="0"/>
  </r>
  <r>
    <x v="1"/>
    <x v="1"/>
  </r>
  <r>
    <x v="3"/>
    <x v="1"/>
  </r>
  <r>
    <x v="3"/>
    <x v="4"/>
  </r>
  <r>
    <x v="2"/>
    <x v="2"/>
  </r>
  <r>
    <x v="0"/>
    <x v="2"/>
  </r>
  <r>
    <x v="0"/>
    <x v="2"/>
  </r>
  <r>
    <x v="3"/>
    <x v="0"/>
  </r>
  <r>
    <x v="2"/>
    <x v="1"/>
  </r>
  <r>
    <x v="1"/>
    <x v="1"/>
  </r>
  <r>
    <x v="1"/>
    <x v="3"/>
  </r>
  <r>
    <x v="2"/>
    <x v="0"/>
  </r>
  <r>
    <x v="3"/>
    <x v="1"/>
  </r>
  <r>
    <x v="3"/>
    <x v="0"/>
  </r>
  <r>
    <x v="3"/>
    <x v="4"/>
  </r>
  <r>
    <x v="2"/>
    <x v="1"/>
  </r>
  <r>
    <x v="3"/>
    <x v="4"/>
  </r>
  <r>
    <x v="0"/>
    <x v="4"/>
  </r>
  <r>
    <x v="0"/>
    <x v="0"/>
  </r>
  <r>
    <x v="2"/>
    <x v="3"/>
  </r>
  <r>
    <x v="3"/>
    <x v="3"/>
  </r>
  <r>
    <x v="1"/>
    <x v="4"/>
  </r>
  <r>
    <x v="1"/>
    <x v="2"/>
  </r>
  <r>
    <x v="3"/>
    <x v="2"/>
  </r>
  <r>
    <x v="2"/>
    <x v="2"/>
  </r>
  <r>
    <x v="1"/>
    <x v="2"/>
  </r>
  <r>
    <x v="3"/>
    <x v="3"/>
  </r>
  <r>
    <x v="0"/>
    <x v="1"/>
  </r>
  <r>
    <x v="3"/>
    <x v="2"/>
  </r>
  <r>
    <x v="3"/>
    <x v="3"/>
  </r>
  <r>
    <x v="2"/>
    <x v="1"/>
  </r>
  <r>
    <x v="3"/>
    <x v="4"/>
  </r>
  <r>
    <x v="2"/>
    <x v="1"/>
  </r>
  <r>
    <x v="2"/>
    <x v="1"/>
  </r>
  <r>
    <x v="2"/>
    <x v="1"/>
  </r>
  <r>
    <x v="1"/>
    <x v="0"/>
  </r>
  <r>
    <x v="1"/>
    <x v="1"/>
  </r>
  <r>
    <x v="1"/>
    <x v="1"/>
  </r>
  <r>
    <x v="3"/>
    <x v="0"/>
  </r>
  <r>
    <x v="1"/>
    <x v="2"/>
  </r>
  <r>
    <x v="2"/>
    <x v="0"/>
  </r>
  <r>
    <x v="1"/>
    <x v="2"/>
  </r>
  <r>
    <x v="0"/>
    <x v="1"/>
  </r>
  <r>
    <x v="3"/>
    <x v="2"/>
  </r>
  <r>
    <x v="1"/>
    <x v="1"/>
  </r>
  <r>
    <x v="1"/>
    <x v="2"/>
  </r>
  <r>
    <x v="1"/>
    <x v="1"/>
  </r>
  <r>
    <x v="3"/>
    <x v="1"/>
  </r>
  <r>
    <x v="2"/>
    <x v="3"/>
  </r>
  <r>
    <x v="0"/>
    <x v="2"/>
  </r>
  <r>
    <x v="0"/>
    <x v="1"/>
  </r>
  <r>
    <x v="2"/>
    <x v="0"/>
  </r>
  <r>
    <x v="2"/>
    <x v="1"/>
  </r>
  <r>
    <x v="3"/>
    <x v="0"/>
  </r>
  <r>
    <x v="3"/>
    <x v="1"/>
  </r>
  <r>
    <x v="3"/>
    <x v="1"/>
  </r>
  <r>
    <x v="2"/>
    <x v="2"/>
  </r>
  <r>
    <x v="0"/>
    <x v="3"/>
  </r>
  <r>
    <x v="0"/>
    <x v="2"/>
  </r>
  <r>
    <x v="2"/>
    <x v="3"/>
  </r>
  <r>
    <x v="0"/>
    <x v="4"/>
  </r>
  <r>
    <x v="3"/>
    <x v="4"/>
  </r>
  <r>
    <x v="3"/>
    <x v="3"/>
  </r>
  <r>
    <x v="2"/>
    <x v="1"/>
  </r>
  <r>
    <x v="2"/>
    <x v="3"/>
  </r>
  <r>
    <x v="0"/>
    <x v="2"/>
  </r>
  <r>
    <x v="0"/>
    <x v="1"/>
  </r>
  <r>
    <x v="0"/>
    <x v="3"/>
  </r>
  <r>
    <x v="2"/>
    <x v="0"/>
  </r>
  <r>
    <x v="3"/>
    <x v="4"/>
  </r>
  <r>
    <x v="3"/>
    <x v="0"/>
  </r>
  <r>
    <x v="1"/>
    <x v="1"/>
  </r>
  <r>
    <x v="1"/>
    <x v="1"/>
  </r>
  <r>
    <x v="3"/>
    <x v="2"/>
  </r>
  <r>
    <x v="1"/>
    <x v="1"/>
  </r>
  <r>
    <x v="1"/>
    <x v="2"/>
  </r>
  <r>
    <x v="1"/>
    <x v="1"/>
  </r>
  <r>
    <x v="3"/>
    <x v="3"/>
  </r>
  <r>
    <x v="2"/>
    <x v="1"/>
  </r>
  <r>
    <x v="2"/>
    <x v="1"/>
  </r>
  <r>
    <x v="1"/>
    <x v="0"/>
  </r>
  <r>
    <x v="3"/>
    <x v="4"/>
  </r>
  <r>
    <x v="0"/>
    <x v="2"/>
  </r>
  <r>
    <x v="0"/>
    <x v="4"/>
  </r>
  <r>
    <x v="0"/>
    <x v="4"/>
  </r>
  <r>
    <x v="2"/>
    <x v="1"/>
  </r>
  <r>
    <x v="0"/>
    <x v="1"/>
  </r>
  <r>
    <x v="1"/>
    <x v="1"/>
  </r>
  <r>
    <x v="3"/>
    <x v="4"/>
  </r>
  <r>
    <x v="2"/>
    <x v="4"/>
  </r>
  <r>
    <x v="3"/>
    <x v="4"/>
  </r>
  <r>
    <x v="2"/>
    <x v="2"/>
  </r>
  <r>
    <x v="2"/>
    <x v="1"/>
  </r>
  <r>
    <x v="1"/>
    <x v="0"/>
  </r>
  <r>
    <x v="3"/>
    <x v="0"/>
  </r>
  <r>
    <x v="1"/>
    <x v="1"/>
  </r>
  <r>
    <x v="3"/>
    <x v="4"/>
  </r>
  <r>
    <x v="0"/>
    <x v="1"/>
  </r>
  <r>
    <x v="2"/>
    <x v="4"/>
  </r>
  <r>
    <x v="1"/>
    <x v="1"/>
  </r>
  <r>
    <x v="1"/>
    <x v="3"/>
  </r>
  <r>
    <x v="0"/>
    <x v="4"/>
  </r>
  <r>
    <x v="0"/>
    <x v="2"/>
  </r>
  <r>
    <x v="3"/>
    <x v="3"/>
  </r>
  <r>
    <x v="0"/>
    <x v="1"/>
  </r>
  <r>
    <x v="2"/>
    <x v="1"/>
  </r>
  <r>
    <x v="2"/>
    <x v="1"/>
  </r>
  <r>
    <x v="2"/>
    <x v="2"/>
  </r>
  <r>
    <x v="1"/>
    <x v="4"/>
  </r>
  <r>
    <x v="1"/>
    <x v="3"/>
  </r>
  <r>
    <x v="1"/>
    <x v="1"/>
  </r>
  <r>
    <x v="2"/>
    <x v="2"/>
  </r>
  <r>
    <x v="1"/>
    <x v="3"/>
  </r>
  <r>
    <x v="2"/>
    <x v="0"/>
  </r>
  <r>
    <x v="1"/>
    <x v="0"/>
  </r>
  <r>
    <x v="0"/>
    <x v="4"/>
  </r>
  <r>
    <x v="1"/>
    <x v="2"/>
  </r>
  <r>
    <x v="0"/>
    <x v="1"/>
  </r>
  <r>
    <x v="1"/>
    <x v="4"/>
  </r>
  <r>
    <x v="1"/>
    <x v="0"/>
  </r>
  <r>
    <x v="1"/>
    <x v="1"/>
  </r>
  <r>
    <x v="3"/>
    <x v="2"/>
  </r>
  <r>
    <x v="2"/>
    <x v="0"/>
  </r>
  <r>
    <x v="2"/>
    <x v="0"/>
  </r>
  <r>
    <x v="0"/>
    <x v="3"/>
  </r>
  <r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3B83D4-3F71-4630-A957-2DE2A485778A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:E26" firstHeaderRow="1" firstDataRow="1" firstDataCol="1"/>
  <pivotFields count="2">
    <pivotField axis="axisRow" showAll="0">
      <items count="5">
        <item x="2"/>
        <item x="1"/>
        <item x="3"/>
        <item x="0"/>
        <item t="default"/>
      </items>
    </pivotField>
    <pivotField axis="axisRow" dataField="1" showAll="0">
      <items count="6">
        <item x="1"/>
        <item x="4"/>
        <item x="2"/>
        <item x="3"/>
        <item x="0"/>
        <item t="default"/>
      </items>
    </pivotField>
  </pivotFields>
  <rowFields count="2">
    <field x="0"/>
    <field x="1"/>
  </rowFields>
  <rowItems count="25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Count of CS Category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63A4F9-E2FD-406B-BB73-367C32A255B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0" firstHeaderRow="1" firstDataRow="1" firstDataCol="1"/>
  <pivotFields count="13">
    <pivotField showAll="0"/>
    <pivotField showAll="0"/>
    <pivotField numFmtId="1" showAll="0"/>
    <pivotField showAll="0"/>
    <pivotField axis="axisRow" showAll="0">
      <items count="3">
        <item x="1"/>
        <item n=" " x="0"/>
        <item t="default"/>
      </items>
    </pivotField>
    <pivotField showAll="0"/>
    <pivotField numFmtId="1" showAll="0"/>
    <pivotField numFmtId="2" showAll="0"/>
    <pivotField numFmtId="1" showAll="0"/>
    <pivotField showAll="0"/>
    <pivotField showAll="0"/>
    <pivotField numFmtId="2" showAll="0"/>
    <pivotField axis="axisRow" dataField="1" showAll="0">
      <items count="3">
        <item x="1"/>
        <item x="0"/>
        <item t="default"/>
      </items>
    </pivotField>
  </pivotFields>
  <rowFields count="2">
    <field x="4"/>
    <field x="12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Items count="1">
    <i/>
  </colItems>
  <dataFields count="1">
    <dataField name="Count of Churn" fld="12" subtotal="count" baseField="4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2" count="1" selected="0">
            <x v="0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B6A7B4-96D9-459E-A2EB-9BAE50A6715E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1:B25" firstHeaderRow="1" firstDataRow="1" firstDataCol="1"/>
  <pivotFields count="16">
    <pivotField showAll="0"/>
    <pivotField showAll="0"/>
    <pivotField numFmtId="1" showAll="0"/>
    <pivotField showAll="0"/>
    <pivotField showAll="0"/>
    <pivotField showAll="0"/>
    <pivotField numFmtId="1" showAll="0"/>
    <pivotField numFmtId="2" showAll="0"/>
    <pivotField numFmtId="1" showAll="0"/>
    <pivotField showAll="0"/>
    <pivotField showAll="0"/>
    <pivotField numFmtId="2" showAll="0"/>
    <pivotField axis="axisRow" dataField="1" showAll="0">
      <items count="3">
        <item x="1"/>
        <item x="0"/>
        <item t="default"/>
      </items>
    </pivotField>
    <pivotField numFmtId="2" showAll="0"/>
    <pivotField numFmtId="2" showAll="0"/>
    <pivotField axis="axisRow" showAll="0">
      <items count="5">
        <item h="1" sd="0" x="2"/>
        <item h="1" sd="0" x="1"/>
        <item x="0"/>
        <item h="1" x="3"/>
        <item t="default"/>
      </items>
    </pivotField>
  </pivotFields>
  <rowFields count="2">
    <field x="15"/>
    <field x="12"/>
  </rowFields>
  <rowItems count="4">
    <i>
      <x v="2"/>
    </i>
    <i r="1">
      <x/>
    </i>
    <i r="1">
      <x v="1"/>
    </i>
    <i t="grand">
      <x/>
    </i>
  </rowItems>
  <colItems count="1">
    <i/>
  </colItems>
  <dataFields count="1">
    <dataField name="Count of Churn" fld="12" subtotal="count" baseField="15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5" count="1" selected="0">
            <x v="2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B8EAA3-8E29-437C-86A7-F6EB1E0F2AE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3:B17" firstHeaderRow="1" firstDataRow="1" firstDataCol="1"/>
  <pivotFields count="13">
    <pivotField showAll="0"/>
    <pivotField showAll="0"/>
    <pivotField numFmtId="1" showAll="0"/>
    <pivotField axis="axisRow" showAll="0">
      <items count="4">
        <item x="1"/>
        <item h="1" sd="0" x="2"/>
        <item h="1" sd="0" x="0"/>
        <item t="default"/>
      </items>
    </pivotField>
    <pivotField showAll="0">
      <items count="3">
        <item x="1"/>
        <item x="0"/>
        <item t="default"/>
      </items>
    </pivotField>
    <pivotField showAll="0"/>
    <pivotField numFmtId="1" showAll="0"/>
    <pivotField numFmtId="2" showAll="0"/>
    <pivotField numFmtId="1" showAll="0"/>
    <pivotField showAll="0"/>
    <pivotField showAll="0"/>
    <pivotField numFmtId="2" showAll="0"/>
    <pivotField axis="axisRow" dataField="1" showAll="0">
      <items count="3">
        <item x="1"/>
        <item x="0"/>
        <item t="default"/>
      </items>
    </pivotField>
  </pivotFields>
  <rowFields count="2">
    <field x="3"/>
    <field x="12"/>
  </rowFields>
  <rowItems count="4">
    <i>
      <x/>
    </i>
    <i r="1">
      <x/>
    </i>
    <i r="1">
      <x v="1"/>
    </i>
    <i t="grand">
      <x/>
    </i>
  </rowItems>
  <colItems count="1">
    <i/>
  </colItems>
  <dataFields count="1">
    <dataField name="Count of Churn" fld="12" subtotal="count" baseField="3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2" count="1" selected="0">
            <x v="0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51861A-2CA7-4DF1-906D-614749158BF5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as Cr. Card">
  <location ref="A11:B18" firstHeaderRow="1" firstDataRow="1" firstDataCol="1"/>
  <pivotFields count="16">
    <pivotField showAll="0"/>
    <pivotField showAll="0"/>
    <pivotField numFmtId="1" showAll="0"/>
    <pivotField showAll="0"/>
    <pivotField showAll="0"/>
    <pivotField showAll="0"/>
    <pivotField numFmtId="1" showAll="0"/>
    <pivotField numFmtId="2" showAll="0"/>
    <pivotField numFmtId="1" showAll="0"/>
    <pivotField axis="axisRow" showAll="0">
      <items count="3">
        <item x="0"/>
        <item x="1"/>
        <item t="default"/>
      </items>
    </pivotField>
    <pivotField showAll="0"/>
    <pivotField numFmtId="2" showAll="0"/>
    <pivotField axis="axisRow" dataField="1" showAll="0">
      <items count="3">
        <item x="1"/>
        <item x="0"/>
        <item t="default"/>
      </items>
    </pivotField>
    <pivotField numFmtId="2" showAll="0"/>
    <pivotField numFmtId="2" showAll="0"/>
    <pivotField showAll="0"/>
  </pivotFields>
  <rowFields count="2">
    <field x="9"/>
    <field x="12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Items count="1">
    <i/>
  </colItems>
  <dataFields count="1">
    <dataField name="Count of Churn" fld="12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D18B08-4440-420A-B15F-F0B67A5336BA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 Is Active Member">
  <location ref="A1:B4" firstHeaderRow="1" firstDataRow="1" firstDataCol="1"/>
  <pivotFields count="16">
    <pivotField showAll="0"/>
    <pivotField showAll="0"/>
    <pivotField numFmtId="1" showAll="0"/>
    <pivotField showAll="0"/>
    <pivotField showAll="0"/>
    <pivotField showAll="0"/>
    <pivotField numFmtId="1" showAll="0"/>
    <pivotField numFmtId="2" showAll="0"/>
    <pivotField numFmtId="1" showAll="0"/>
    <pivotField showAll="0"/>
    <pivotField axis="axisRow" showAll="0" sortType="ascending">
      <items count="3">
        <item sd="0" x="0"/>
        <item sd="0" x="1"/>
        <item t="default"/>
      </items>
    </pivotField>
    <pivotField numFmtId="2" showAll="0"/>
    <pivotField axis="axisRow" dataField="1" showAll="0">
      <items count="3">
        <item x="1"/>
        <item x="0"/>
        <item t="default"/>
      </items>
    </pivotField>
    <pivotField numFmtId="2" showAll="0"/>
    <pivotField numFmtId="2" showAll="0"/>
    <pivotField showAll="0"/>
  </pivotFields>
  <rowFields count="2">
    <field x="10"/>
    <field x="12"/>
  </rowFields>
  <rowItems count="3">
    <i>
      <x/>
    </i>
    <i>
      <x v="1"/>
    </i>
    <i t="grand">
      <x/>
    </i>
  </rowItems>
  <colItems count="1">
    <i/>
  </colItems>
  <dataFields count="1">
    <dataField name="Count of Churn" fld="12" subtotal="count" baseField="1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3C7DD1-0BC6-48E5-AA5E-3F0249FFF802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o. Of Products">
  <location ref="A21:B34" firstHeaderRow="1" firstDataRow="1" firstDataCol="1"/>
  <pivotFields count="16">
    <pivotField showAll="0"/>
    <pivotField showAll="0"/>
    <pivotField numFmtId="1" showAll="0"/>
    <pivotField showAll="0"/>
    <pivotField showAll="0"/>
    <pivotField showAll="0"/>
    <pivotField numFmtId="1" showAll="0"/>
    <pivotField numFmtId="2" showAll="0"/>
    <pivotField axis="axisRow" numFmtId="1" showAll="0">
      <items count="5">
        <item x="1"/>
        <item x="3"/>
        <item x="2"/>
        <item x="0"/>
        <item t="default"/>
      </items>
    </pivotField>
    <pivotField showAll="0"/>
    <pivotField showAll="0"/>
    <pivotField numFmtId="2" showAll="0"/>
    <pivotField axis="axisRow" dataField="1" showAll="0">
      <items count="3">
        <item x="1"/>
        <item x="0"/>
        <item t="default"/>
      </items>
    </pivotField>
    <pivotField numFmtId="2" showAll="0"/>
    <pivotField numFmtId="2" showAll="0"/>
    <pivotField showAll="0"/>
  </pivotFields>
  <rowFields count="2">
    <field x="8"/>
    <field x="12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Items count="1">
    <i/>
  </colItems>
  <dataFields count="1">
    <dataField name="Count of Churn" fld="12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379D36-DF59-4DA5-838C-37205A8B294D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Tenure Period">
  <location ref="A1:B5" firstHeaderRow="1" firstDataRow="1" firstDataCol="1"/>
  <pivotFields count="17">
    <pivotField showAll="0"/>
    <pivotField showAll="0"/>
    <pivotField numFmtId="1" showAll="0"/>
    <pivotField showAll="0"/>
    <pivotField showAll="0"/>
    <pivotField showAll="0"/>
    <pivotField numFmtId="1" showAll="0"/>
    <pivotField numFmtId="2" showAll="0"/>
    <pivotField numFmtId="1" showAll="0"/>
    <pivotField showAll="0"/>
    <pivotField showAll="0"/>
    <pivotField numFmtId="2" showAll="0"/>
    <pivotField axis="axisRow" dataField="1" showAll="0">
      <items count="3">
        <item x="1"/>
        <item x="0"/>
        <item t="default"/>
      </items>
    </pivotField>
    <pivotField numFmtId="2" showAll="0"/>
    <pivotField numFmtId="2" showAll="0"/>
    <pivotField showAll="0"/>
    <pivotField axis="axisRow" showAll="0">
      <items count="5">
        <item x="3"/>
        <item h="1" sd="0" x="1"/>
        <item h="1" x="2"/>
        <item h="1" sd="0" x="0"/>
        <item t="default"/>
      </items>
    </pivotField>
  </pivotFields>
  <rowFields count="2">
    <field x="16"/>
    <field x="12"/>
  </rowFields>
  <rowItems count="4">
    <i>
      <x/>
    </i>
    <i r="1">
      <x/>
    </i>
    <i r="1">
      <x v="1"/>
    </i>
    <i t="grand">
      <x/>
    </i>
  </rowItems>
  <colItems count="1">
    <i/>
  </colItems>
  <dataFields count="1">
    <dataField name="Count of Churn" fld="12" subtotal="count" baseField="16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6" count="1" selected="0">
            <x v="0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57041D-EB5B-41EC-80C0-D6C74477BACA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9:D26" firstHeaderRow="1" firstDataRow="2" firstDataCol="1"/>
  <pivotFields count="18">
    <pivotField showAll="0"/>
    <pivotField showAll="0"/>
    <pivotField numFmtId="1" showAll="0"/>
    <pivotField showAll="0"/>
    <pivotField showAll="0"/>
    <pivotField showAll="0"/>
    <pivotField numFmtId="1" showAll="0"/>
    <pivotField numFmtId="2" showAll="0"/>
    <pivotField numFmtId="1" showAll="0"/>
    <pivotField showAll="0"/>
    <pivotField showAll="0"/>
    <pivotField numFmtId="2" showAll="0"/>
    <pivotField axis="axisCol" dataField="1" showAll="0">
      <items count="3">
        <item x="0"/>
        <item x="1"/>
        <item t="default"/>
      </items>
    </pivotField>
    <pivotField numFmtId="2" showAll="0"/>
    <pivotField numFmtId="2"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Churn" fld="12" subtotal="count" baseField="17" baseItem="0" numFmtId="1"/>
  </dataFields>
  <formats count="1">
    <format dxfId="2">
      <pivotArea outline="0" collapsedLevelsAreSubtotals="1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99D3A9-603F-4817-AF34-F532D163C59E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Tenure">
  <location ref="D1:G14" firstHeaderRow="1" firstDataRow="2" firstDataCol="1"/>
  <pivotFields count="17">
    <pivotField showAll="0"/>
    <pivotField showAll="0"/>
    <pivotField numFmtId="1" showAll="0"/>
    <pivotField showAll="0"/>
    <pivotField showAll="0"/>
    <pivotField showAll="0"/>
    <pivotField axis="axisRow" numFmtId="1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umFmtId="2" showAll="0"/>
    <pivotField numFmtId="1" showAll="0"/>
    <pivotField showAll="0"/>
    <pivotField showAll="0"/>
    <pivotField numFmtId="2" showAll="0"/>
    <pivotField axis="axisCol" dataField="1" showAll="0">
      <items count="3">
        <item x="1"/>
        <item x="0"/>
        <item t="default"/>
      </items>
    </pivotField>
    <pivotField numFmtId="2" showAll="0"/>
    <pivotField numFmtId="2" showAll="0"/>
    <pivotField showAll="0"/>
    <pivotField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Churn" fld="12" subtotal="count" baseField="6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01"/>
  <sheetViews>
    <sheetView tabSelected="1" topLeftCell="L1" zoomScale="104" zoomScaleNormal="104" workbookViewId="0">
      <selection activeCell="E19" sqref="E19"/>
    </sheetView>
  </sheetViews>
  <sheetFormatPr defaultColWidth="8.77734375" defaultRowHeight="14.4" x14ac:dyDescent="0.3"/>
  <cols>
    <col min="1" max="1" width="10.77734375" customWidth="1"/>
    <col min="2" max="2" width="8.77734375" customWidth="1"/>
    <col min="3" max="3" width="10.6640625" bestFit="1" customWidth="1"/>
    <col min="4" max="4" width="10.5546875" customWidth="1"/>
    <col min="5" max="5" width="7.44140625" customWidth="1"/>
    <col min="6" max="6" width="5.33203125" customWidth="1"/>
    <col min="7" max="7" width="8.33203125" customWidth="1"/>
    <col min="8" max="8" width="9.77734375" customWidth="1"/>
    <col min="9" max="9" width="13.88671875" customWidth="1"/>
    <col min="10" max="10" width="9.6640625" bestFit="1" customWidth="1"/>
    <col min="11" max="11" width="14.88671875" bestFit="1" customWidth="1"/>
    <col min="12" max="12" width="14.5546875" bestFit="1" customWidth="1"/>
    <col min="13" max="13" width="6.109375" bestFit="1" customWidth="1"/>
    <col min="14" max="14" width="16.21875" bestFit="1" customWidth="1"/>
    <col min="15" max="15" width="14.77734375" bestFit="1" customWidth="1"/>
    <col min="16" max="16" width="12.77734375" bestFit="1" customWidth="1"/>
    <col min="17" max="17" width="17.44140625" bestFit="1" customWidth="1"/>
    <col min="18" max="18" width="11.109375" bestFit="1" customWidth="1"/>
    <col min="19" max="19" width="15.21875" bestFit="1" customWidth="1"/>
    <col min="20" max="20" width="18.44140625" bestFit="1" customWidth="1"/>
    <col min="21" max="21" width="11.109375" customWidth="1"/>
    <col min="22" max="22" width="12.88671875" customWidth="1"/>
    <col min="23" max="23" width="23.44140625" bestFit="1" customWidth="1"/>
    <col min="24" max="24" width="12.6640625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27</v>
      </c>
      <c r="N1" s="2" t="s">
        <v>28</v>
      </c>
      <c r="O1" s="2" t="s">
        <v>29</v>
      </c>
      <c r="P1" s="2" t="s">
        <v>38</v>
      </c>
      <c r="Q1" s="2" t="s">
        <v>46</v>
      </c>
      <c r="R1" s="2" t="s">
        <v>54</v>
      </c>
      <c r="S1" s="2" t="s">
        <v>61</v>
      </c>
      <c r="T1" s="2" t="s">
        <v>62</v>
      </c>
      <c r="U1" s="2"/>
      <c r="V1" s="2"/>
    </row>
    <row r="2" spans="1:25" x14ac:dyDescent="0.3">
      <c r="A2">
        <v>1</v>
      </c>
      <c r="B2" t="s">
        <v>12</v>
      </c>
      <c r="C2" s="5">
        <v>764</v>
      </c>
      <c r="D2" t="s">
        <v>22</v>
      </c>
      <c r="E2" t="s">
        <v>25</v>
      </c>
      <c r="F2">
        <v>20</v>
      </c>
      <c r="G2" s="5">
        <v>7</v>
      </c>
      <c r="H2" s="4">
        <v>119274.87</v>
      </c>
      <c r="I2" s="5">
        <v>3</v>
      </c>
      <c r="J2">
        <v>1</v>
      </c>
      <c r="K2">
        <v>0</v>
      </c>
      <c r="L2" s="4">
        <v>107886.77</v>
      </c>
      <c r="M2">
        <v>0</v>
      </c>
      <c r="N2" s="4">
        <f t="shared" ref="N2:N65" si="0">(H2-$X$4)/$X$7</f>
        <v>-0.12663164396474105</v>
      </c>
      <c r="O2" s="4">
        <f t="shared" ref="O2:O65" si="1">(L2-$Y$5)/$Y$8</f>
        <v>0.62719441242958196</v>
      </c>
      <c r="P2" t="str" cm="1">
        <f t="array" ref="P2">_xlfn.IFS(AND(F2&gt;15,F2&lt;=30), "Youngsters", AND(F2&gt;30,F2&lt;=50), "Adults", AND(F2&gt;50,F2&lt;=70),"Old person", AND(F2&gt;70, F2&lt;92), "Senior Citizens")</f>
        <v>Youngsters</v>
      </c>
      <c r="Q2" t="str" cm="1">
        <f t="array" ref="Q2">_xlfn.IFS(G2=0,"No Tenure Period",AND(G2&gt;0,G2&lt;=3),"Less Tenure Period",AND(G2&gt;3,G2&lt;=7),"More Tenure Period",AND(G2&gt;7,G2&lt;=10),"Large Tenure Period")</f>
        <v>More Tenure Period</v>
      </c>
      <c r="R2" t="str" cm="1">
        <f t="array" ref="R2">_xlfn.IFS(AND(C2&gt;300,C2&lt;=525),"1 Star",AND(C2&gt;525,C2&lt;=600),"2 Star",AND(C2&gt;600,C2&lt;=700),"3 Star",AND(C2&gt;700,C2&lt;=750),"4 Star",AND(C2&gt;750,C2&lt;=900),"5 Star")</f>
        <v>5 Star</v>
      </c>
      <c r="S2" cm="1">
        <f t="array" ref="S2">_xlfn.IFS(E2="Male",1,E2="Female",2)</f>
        <v>1</v>
      </c>
      <c r="T2" cm="1">
        <f t="array" ref="T2">_xlfn.IFS(D2="France",1,D2="Germany",2,D2="Spain",3)</f>
        <v>2</v>
      </c>
    </row>
    <row r="3" spans="1:25" x14ac:dyDescent="0.3">
      <c r="A3">
        <v>2</v>
      </c>
      <c r="B3" t="s">
        <v>13</v>
      </c>
      <c r="C3" s="5">
        <v>365</v>
      </c>
      <c r="D3" t="s">
        <v>23</v>
      </c>
      <c r="E3" t="s">
        <v>26</v>
      </c>
      <c r="F3">
        <v>64</v>
      </c>
      <c r="G3" s="5">
        <v>3</v>
      </c>
      <c r="H3" s="4">
        <v>203737.4</v>
      </c>
      <c r="I3" s="5">
        <v>3</v>
      </c>
      <c r="J3">
        <v>1</v>
      </c>
      <c r="K3">
        <v>1</v>
      </c>
      <c r="L3" s="4">
        <v>52848.11</v>
      </c>
      <c r="M3">
        <v>0</v>
      </c>
      <c r="N3" s="4">
        <f t="shared" si="0"/>
        <v>1.0469072775718031</v>
      </c>
      <c r="O3" s="4">
        <f t="shared" si="1"/>
        <v>-0.71774906731425836</v>
      </c>
      <c r="P3" t="str" cm="1">
        <f t="array" ref="P3">_xlfn.IFS(AND(F3&gt;15,F3&lt;=30), "Youngsters", AND(F3&gt;30,F3&lt;=50), "Adults", AND(F3&gt;50,F3&lt;=70),"Old person", AND(F3&gt;70, F3&lt;92), "Senior Citizens")</f>
        <v>Old person</v>
      </c>
      <c r="Q3" t="str" cm="1">
        <f t="array" ref="Q3">_xlfn.IFS(G3=0,"No Tenure Period",AND(G3&gt;0,G3&lt;=3),"Less Tenure Period",AND(G3&gt;3,G3&lt;=7),"More Tenure Period",AND(G3&gt;7,G3&lt;=10),"Large Tenure Period")</f>
        <v>Less Tenure Period</v>
      </c>
      <c r="R3" t="str" cm="1">
        <f t="array" ref="R3">_xlfn.IFS(AND(C3&gt;300,C3&lt;=525),"1 Star",AND(C3&gt;525,C3&lt;=600),"2 Star",AND(C3&gt;600,C3&lt;=700),"3 Star",AND(C3&gt;700,C3&lt;=750),"4 Star",AND(C3&gt;750,C3&lt;=900),"5 Star")</f>
        <v>1 Star</v>
      </c>
      <c r="S3" cm="1">
        <f t="array" ref="S3">_xlfn.IFS(E3="Male",1,E3="Female",2)</f>
        <v>2</v>
      </c>
      <c r="T3" cm="1">
        <f t="array" ref="T3">_xlfn.IFS(D3="France",1,D3="Germany",2,D3="Spain",3)</f>
        <v>3</v>
      </c>
    </row>
    <row r="4" spans="1:25" x14ac:dyDescent="0.3">
      <c r="A4">
        <v>3</v>
      </c>
      <c r="B4" t="s">
        <v>14</v>
      </c>
      <c r="C4" s="5">
        <v>519</v>
      </c>
      <c r="D4" t="s">
        <v>22</v>
      </c>
      <c r="E4" t="s">
        <v>25</v>
      </c>
      <c r="F4">
        <v>69</v>
      </c>
      <c r="G4" s="5">
        <v>6</v>
      </c>
      <c r="H4" s="4">
        <v>146780.5</v>
      </c>
      <c r="I4" s="5">
        <v>3</v>
      </c>
      <c r="J4">
        <v>0</v>
      </c>
      <c r="K4">
        <v>0</v>
      </c>
      <c r="L4" s="4">
        <v>94395.02</v>
      </c>
      <c r="M4">
        <v>0</v>
      </c>
      <c r="N4" s="4">
        <f t="shared" si="0"/>
        <v>0.25553696223712408</v>
      </c>
      <c r="O4" s="4">
        <f t="shared" si="1"/>
        <v>0.29750540486955135</v>
      </c>
      <c r="P4" t="str" cm="1">
        <f t="array" ref="P4">_xlfn.IFS(AND(F4&gt;15,F4&lt;=30), "Youngsters", AND(F4&gt;30,F4&lt;=50), "Adults", AND(F4&gt;50,F4&lt;=70),"Old person", AND(F4&gt;70, F4&lt;92), "Senior Citizens")</f>
        <v>Old person</v>
      </c>
      <c r="Q4" t="str" cm="1">
        <f t="array" ref="Q4">_xlfn.IFS(G4=0,"No Tenure Period",AND(G4&gt;0,G4&lt;=3),"Less Tenure Period",AND(G4&gt;3,G4&lt;=7),"More Tenure Period",AND(G4&gt;7,G4&lt;=10),"Large Tenure Period")</f>
        <v>More Tenure Period</v>
      </c>
      <c r="R4" t="str" cm="1">
        <f t="array" ref="R4">_xlfn.IFS(AND(C4&gt;300,C4&lt;=525),"1 Star",AND(C4&gt;525,C4&lt;=600),"2 Star",AND(C4&gt;600,C4&lt;=700),"3 Star",AND(C4&gt;700,C4&lt;=750),"4 Star",AND(C4&gt;750,C4&lt;=900),"5 Star")</f>
        <v>1 Star</v>
      </c>
      <c r="S4" cm="1">
        <f t="array" ref="S4">_xlfn.IFS(E4="Male",1,E4="Female",2)</f>
        <v>1</v>
      </c>
      <c r="T4" cm="1">
        <f t="array" ref="T4">_xlfn.IFS(D4="France",1,D4="Germany",2,D4="Spain",3)</f>
        <v>2</v>
      </c>
      <c r="W4" t="s">
        <v>30</v>
      </c>
      <c r="X4" s="4">
        <f>AVERAGE(H2:H500)</f>
        <v>128388.86599198397</v>
      </c>
    </row>
    <row r="5" spans="1:25" x14ac:dyDescent="0.3">
      <c r="A5">
        <v>4</v>
      </c>
      <c r="B5" t="s">
        <v>14</v>
      </c>
      <c r="C5" s="5">
        <v>516</v>
      </c>
      <c r="D5" t="s">
        <v>22</v>
      </c>
      <c r="E5" t="s">
        <v>26</v>
      </c>
      <c r="F5">
        <v>59</v>
      </c>
      <c r="G5" s="5">
        <v>0</v>
      </c>
      <c r="H5" s="4">
        <v>23572.03</v>
      </c>
      <c r="I5" s="5">
        <v>1</v>
      </c>
      <c r="J5">
        <v>1</v>
      </c>
      <c r="K5">
        <v>0</v>
      </c>
      <c r="L5" s="4">
        <v>146739.54999999999</v>
      </c>
      <c r="M5">
        <v>0</v>
      </c>
      <c r="N5" s="4">
        <f t="shared" si="0"/>
        <v>-1.4563456324231077</v>
      </c>
      <c r="O5" s="4">
        <f t="shared" si="1"/>
        <v>1.5766142044616165</v>
      </c>
      <c r="P5" t="str" cm="1">
        <f t="array" ref="P5">_xlfn.IFS(AND(F5&gt;15,F5&lt;=30), "Youngsters", AND(F5&gt;30,F5&lt;=50), "Adults", AND(F5&gt;50,F5&lt;=70),"Old person", AND(F5&gt;70, F5&lt;92), "Senior Citizens")</f>
        <v>Old person</v>
      </c>
      <c r="Q5" t="str" cm="1">
        <f t="array" ref="Q5">_xlfn.IFS(G5=0,"No Tenure Period",AND(G5&gt;0,G5&lt;=3),"Less Tenure Period",AND(G5&gt;3,G5&lt;=7),"More Tenure Period",AND(G5&gt;7,G5&lt;=10),"Large Tenure Period")</f>
        <v>No Tenure Period</v>
      </c>
      <c r="R5" t="str" cm="1">
        <f t="array" ref="R5">_xlfn.IFS(AND(C5&gt;300,C5&lt;=525),"1 Star",AND(C5&gt;525,C5&lt;=600),"2 Star",AND(C5&gt;600,C5&lt;=700),"3 Star",AND(C5&gt;700,C5&lt;=750),"4 Star",AND(C5&gt;750,C5&lt;=900),"5 Star")</f>
        <v>1 Star</v>
      </c>
      <c r="S5" cm="1">
        <f t="array" ref="S5">_xlfn.IFS(E5="Male",1,E5="Female",2)</f>
        <v>2</v>
      </c>
      <c r="T5" cm="1">
        <f t="array" ref="T5">_xlfn.IFS(D5="France",1,D5="Germany",2,D5="Spain",3)</f>
        <v>2</v>
      </c>
      <c r="W5" t="s">
        <v>31</v>
      </c>
      <c r="X5" s="4">
        <f>AVERAGE(L5:L500)</f>
        <v>82203.233971774127</v>
      </c>
      <c r="Y5" s="4">
        <f>AVERAGE(L2:L500)</f>
        <v>82220.308517034005</v>
      </c>
    </row>
    <row r="6" spans="1:25" x14ac:dyDescent="0.3">
      <c r="A6">
        <v>5</v>
      </c>
      <c r="B6" t="s">
        <v>15</v>
      </c>
      <c r="C6" s="5">
        <v>659</v>
      </c>
      <c r="D6" t="s">
        <v>23</v>
      </c>
      <c r="E6" t="s">
        <v>26</v>
      </c>
      <c r="F6">
        <v>21</v>
      </c>
      <c r="G6" s="5">
        <v>2</v>
      </c>
      <c r="H6" s="4">
        <v>7463.43</v>
      </c>
      <c r="I6" s="5">
        <v>1</v>
      </c>
      <c r="J6">
        <v>1</v>
      </c>
      <c r="K6">
        <v>1</v>
      </c>
      <c r="L6" s="4">
        <v>16036.55</v>
      </c>
      <c r="M6">
        <v>0</v>
      </c>
      <c r="N6" s="4">
        <f t="shared" si="0"/>
        <v>-1.6801616733523053</v>
      </c>
      <c r="O6" s="4">
        <f t="shared" si="1"/>
        <v>-1.6172889107842694</v>
      </c>
      <c r="P6" t="str" cm="1">
        <f t="array" ref="P6">_xlfn.IFS(AND(F6&gt;15,F6&lt;=30), "Youngsters", AND(F6&gt;30,F6&lt;=50), "Adults", AND(F6&gt;50,F6&lt;=70),"Old person", AND(F6&gt;70, F6&lt;92), "Senior Citizens")</f>
        <v>Youngsters</v>
      </c>
      <c r="Q6" t="str" cm="1">
        <f t="array" ref="Q6">_xlfn.IFS(G6=0,"No Tenure Period",AND(G6&gt;0,G6&lt;=3),"Less Tenure Period",AND(G6&gt;3,G6&lt;=7),"More Tenure Period",AND(G6&gt;7,G6&lt;=10),"Large Tenure Period")</f>
        <v>Less Tenure Period</v>
      </c>
      <c r="R6" t="str" cm="1">
        <f t="array" ref="R6">_xlfn.IFS(AND(C6&gt;300,C6&lt;=525),"1 Star",AND(C6&gt;525,C6&lt;=600),"2 Star",AND(C6&gt;600,C6&lt;=700),"3 Star",AND(C6&gt;700,C6&lt;=750),"4 Star",AND(C6&gt;750,C6&lt;=900),"5 Star")</f>
        <v>3 Star</v>
      </c>
      <c r="S6" cm="1">
        <f t="array" ref="S6">_xlfn.IFS(E6="Male",1,E6="Female",2)</f>
        <v>2</v>
      </c>
      <c r="T6" cm="1">
        <f t="array" ref="T6">_xlfn.IFS(D6="France",1,D6="Germany",2,D6="Spain",3)</f>
        <v>3</v>
      </c>
    </row>
    <row r="7" spans="1:25" x14ac:dyDescent="0.3">
      <c r="A7">
        <v>6</v>
      </c>
      <c r="B7" t="s">
        <v>16</v>
      </c>
      <c r="C7" s="5">
        <v>777</v>
      </c>
      <c r="D7" t="s">
        <v>23</v>
      </c>
      <c r="E7" t="s">
        <v>26</v>
      </c>
      <c r="F7">
        <v>34</v>
      </c>
      <c r="G7" s="5">
        <v>0</v>
      </c>
      <c r="H7" s="4">
        <v>127812.9</v>
      </c>
      <c r="I7" s="5">
        <v>4</v>
      </c>
      <c r="J7">
        <v>1</v>
      </c>
      <c r="K7">
        <v>0</v>
      </c>
      <c r="L7" s="4">
        <v>65189.1</v>
      </c>
      <c r="M7">
        <v>0</v>
      </c>
      <c r="N7" s="4">
        <f t="shared" si="0"/>
        <v>-8.0025842118937353E-3</v>
      </c>
      <c r="O7" s="4">
        <f t="shared" si="1"/>
        <v>-0.41618042385375381</v>
      </c>
      <c r="P7" t="str" cm="1">
        <f t="array" ref="P7">_xlfn.IFS(AND(F7&gt;15,F7&lt;=30), "Youngsters", AND(F7&gt;30,F7&lt;=50), "Adults", AND(F7&gt;50,F7&lt;=70),"Old person", AND(F7&gt;70, F7&lt;92), "Senior Citizens")</f>
        <v>Adults</v>
      </c>
      <c r="Q7" t="str" cm="1">
        <f t="array" ref="Q7">_xlfn.IFS(G7=0,"No Tenure Period",AND(G7&gt;0,G7&lt;=3),"Less Tenure Period",AND(G7&gt;3,G7&lt;=7),"More Tenure Period",AND(G7&gt;7,G7&lt;=10),"Large Tenure Period")</f>
        <v>No Tenure Period</v>
      </c>
      <c r="R7" t="str" cm="1">
        <f t="array" ref="R7">_xlfn.IFS(AND(C7&gt;300,C7&lt;=525),"1 Star",AND(C7&gt;525,C7&lt;=600),"2 Star",AND(C7&gt;600,C7&lt;=700),"3 Star",AND(C7&gt;700,C7&lt;=750),"4 Star",AND(C7&gt;750,C7&lt;=900),"5 Star")</f>
        <v>5 Star</v>
      </c>
      <c r="S7" cm="1">
        <f t="array" ref="S7">_xlfn.IFS(E7="Male",1,E7="Female",2)</f>
        <v>2</v>
      </c>
      <c r="T7" cm="1">
        <f t="array" ref="T7">_xlfn.IFS(D7="France",1,D7="Germany",2,D7="Spain",3)</f>
        <v>3</v>
      </c>
      <c r="W7" t="s">
        <v>32</v>
      </c>
      <c r="X7">
        <f>_xlfn.STDEV.S(H2:H500)</f>
        <v>71972.499974190097</v>
      </c>
    </row>
    <row r="8" spans="1:25" x14ac:dyDescent="0.3">
      <c r="A8">
        <v>7</v>
      </c>
      <c r="B8" t="s">
        <v>14</v>
      </c>
      <c r="C8" s="5">
        <v>432</v>
      </c>
      <c r="D8" t="s">
        <v>22</v>
      </c>
      <c r="E8" t="s">
        <v>26</v>
      </c>
      <c r="F8">
        <v>81</v>
      </c>
      <c r="G8" s="5">
        <v>10</v>
      </c>
      <c r="H8" s="4">
        <v>136164.96</v>
      </c>
      <c r="I8" s="5">
        <v>4</v>
      </c>
      <c r="J8">
        <v>0</v>
      </c>
      <c r="K8">
        <v>0</v>
      </c>
      <c r="L8" s="4">
        <v>135962.88</v>
      </c>
      <c r="M8">
        <v>0</v>
      </c>
      <c r="N8" s="4">
        <f t="shared" si="0"/>
        <v>0.10804257196574511</v>
      </c>
      <c r="O8" s="4">
        <f t="shared" si="1"/>
        <v>1.3132718184033254</v>
      </c>
      <c r="P8" t="str" cm="1">
        <f t="array" ref="P8">_xlfn.IFS(AND(F8&gt;15,F8&lt;=30), "Youngsters", AND(F8&gt;30,F8&lt;=50), "Adults", AND(F8&gt;50,F8&lt;=70),"Old person", AND(F8&gt;70, F8&lt;92), "Senior Citizens")</f>
        <v>Senior Citizens</v>
      </c>
      <c r="Q8" t="str" cm="1">
        <f t="array" ref="Q8">_xlfn.IFS(G8=0,"No Tenure Period",AND(G8&gt;0,G8&lt;=3),"Less Tenure Period",AND(G8&gt;3,G8&lt;=7),"More Tenure Period",AND(G8&gt;7,G8&lt;=10),"Large Tenure Period")</f>
        <v>Large Tenure Period</v>
      </c>
      <c r="R8" t="str" cm="1">
        <f t="array" ref="R8">_xlfn.IFS(AND(C8&gt;300,C8&lt;=525),"1 Star",AND(C8&gt;525,C8&lt;=600),"2 Star",AND(C8&gt;600,C8&lt;=700),"3 Star",AND(C8&gt;700,C8&lt;=750),"4 Star",AND(C8&gt;750,C8&lt;=900),"5 Star")</f>
        <v>1 Star</v>
      </c>
      <c r="S8" cm="1">
        <f t="array" ref="S8">_xlfn.IFS(E8="Male",1,E8="Female",2)</f>
        <v>2</v>
      </c>
      <c r="T8" cm="1">
        <f t="array" ref="T8">_xlfn.IFS(D8="France",1,D8="Germany",2,D8="Spain",3)</f>
        <v>2</v>
      </c>
      <c r="W8" t="s">
        <v>33</v>
      </c>
      <c r="X8">
        <f>_xlfn.STDEV.S(L5:L500)</f>
        <v>41005.363467114235</v>
      </c>
      <c r="Y8">
        <f>_xlfn.STDEV.S(L2:L500)</f>
        <v>40922.656475112795</v>
      </c>
    </row>
    <row r="9" spans="1:25" x14ac:dyDescent="0.3">
      <c r="A9">
        <v>8</v>
      </c>
      <c r="B9" t="s">
        <v>12</v>
      </c>
      <c r="C9" s="5">
        <v>741</v>
      </c>
      <c r="D9" t="s">
        <v>24</v>
      </c>
      <c r="E9" t="s">
        <v>25</v>
      </c>
      <c r="F9">
        <v>82</v>
      </c>
      <c r="G9" s="5">
        <v>5</v>
      </c>
      <c r="H9" s="4">
        <v>204042.02</v>
      </c>
      <c r="I9" s="5">
        <v>2</v>
      </c>
      <c r="J9">
        <v>1</v>
      </c>
      <c r="K9">
        <v>1</v>
      </c>
      <c r="L9" s="4">
        <v>92581.54</v>
      </c>
      <c r="M9">
        <v>1</v>
      </c>
      <c r="N9" s="4">
        <f t="shared" si="0"/>
        <v>1.0511397274673775</v>
      </c>
      <c r="O9" s="4">
        <f t="shared" si="1"/>
        <v>0.25319058867224797</v>
      </c>
      <c r="P9" t="str" cm="1">
        <f t="array" ref="P9">_xlfn.IFS(AND(F9&gt;15,F9&lt;=30), "Youngsters", AND(F9&gt;30,F9&lt;=50), "Adults", AND(F9&gt;50,F9&lt;=70),"Old person", AND(F9&gt;70, F9&lt;92), "Senior Citizens")</f>
        <v>Senior Citizens</v>
      </c>
      <c r="Q9" t="str" cm="1">
        <f t="array" ref="Q9">_xlfn.IFS(G9=0,"No Tenure Period",AND(G9&gt;0,G9&lt;=3),"Less Tenure Period",AND(G9&gt;3,G9&lt;=7),"More Tenure Period",AND(G9&gt;7,G9&lt;=10),"Large Tenure Period")</f>
        <v>More Tenure Period</v>
      </c>
      <c r="R9" t="str" cm="1">
        <f t="array" ref="R9">_xlfn.IFS(AND(C9&gt;300,C9&lt;=525),"1 Star",AND(C9&gt;525,C9&lt;=600),"2 Star",AND(C9&gt;600,C9&lt;=700),"3 Star",AND(C9&gt;700,C9&lt;=750),"4 Star",AND(C9&gt;750,C9&lt;=900),"5 Star")</f>
        <v>4 Star</v>
      </c>
      <c r="S9" cm="1">
        <f t="array" ref="S9">_xlfn.IFS(E9="Male",1,E9="Female",2)</f>
        <v>1</v>
      </c>
      <c r="T9" cm="1">
        <f t="array" ref="T9">_xlfn.IFS(D9="France",1,D9="Germany",2,D9="Spain",3)</f>
        <v>1</v>
      </c>
    </row>
    <row r="10" spans="1:25" x14ac:dyDescent="0.3">
      <c r="A10">
        <v>9</v>
      </c>
      <c r="B10" t="s">
        <v>17</v>
      </c>
      <c r="C10" s="5">
        <v>570</v>
      </c>
      <c r="D10" t="s">
        <v>22</v>
      </c>
      <c r="E10" t="s">
        <v>26</v>
      </c>
      <c r="F10">
        <v>31</v>
      </c>
      <c r="G10" s="5">
        <v>1</v>
      </c>
      <c r="H10" s="4">
        <v>182609.21</v>
      </c>
      <c r="I10" s="5">
        <v>2</v>
      </c>
      <c r="J10">
        <v>0</v>
      </c>
      <c r="K10">
        <v>1</v>
      </c>
      <c r="L10" s="4">
        <v>141848.51</v>
      </c>
      <c r="M10">
        <v>1</v>
      </c>
      <c r="N10" s="4">
        <f t="shared" si="0"/>
        <v>0.75334807082510491</v>
      </c>
      <c r="O10" s="4">
        <f t="shared" si="1"/>
        <v>1.4570950817728323</v>
      </c>
      <c r="P10" t="str" cm="1">
        <f t="array" ref="P10">_xlfn.IFS(AND(F10&gt;15,F10&lt;=30), "Youngsters", AND(F10&gt;30,F10&lt;=50), "Adults", AND(F10&gt;50,F10&lt;=70),"Old person", AND(F10&gt;70, F10&lt;92), "Senior Citizens")</f>
        <v>Adults</v>
      </c>
      <c r="Q10" t="str" cm="1">
        <f t="array" ref="Q10">_xlfn.IFS(G10=0,"No Tenure Period",AND(G10&gt;0,G10&lt;=3),"Less Tenure Period",AND(G10&gt;3,G10&lt;=7),"More Tenure Period",AND(G10&gt;7,G10&lt;=10),"Large Tenure Period")</f>
        <v>Less Tenure Period</v>
      </c>
      <c r="R10" t="str" cm="1">
        <f t="array" ref="R10">_xlfn.IFS(AND(C10&gt;300,C10&lt;=525),"1 Star",AND(C10&gt;525,C10&lt;=600),"2 Star",AND(C10&gt;600,C10&lt;=700),"3 Star",AND(C10&gt;700,C10&lt;=750),"4 Star",AND(C10&gt;750,C10&lt;=900),"5 Star")</f>
        <v>2 Star</v>
      </c>
      <c r="S10" cm="1">
        <f t="array" ref="S10">_xlfn.IFS(E10="Male",1,E10="Female",2)</f>
        <v>2</v>
      </c>
      <c r="T10" cm="1">
        <f t="array" ref="T10">_xlfn.IFS(D10="France",1,D10="Germany",2,D10="Spain",3)</f>
        <v>2</v>
      </c>
      <c r="W10" t="s">
        <v>52</v>
      </c>
      <c r="X10">
        <f>COUNTIF(M2:M500,"1")</f>
        <v>272</v>
      </c>
    </row>
    <row r="11" spans="1:25" x14ac:dyDescent="0.3">
      <c r="A11">
        <v>10</v>
      </c>
      <c r="B11" t="s">
        <v>18</v>
      </c>
      <c r="C11" s="5">
        <v>671</v>
      </c>
      <c r="D11" t="s">
        <v>24</v>
      </c>
      <c r="E11" t="s">
        <v>26</v>
      </c>
      <c r="F11">
        <v>56</v>
      </c>
      <c r="G11" s="5">
        <v>7</v>
      </c>
      <c r="H11" s="4">
        <v>56345.73</v>
      </c>
      <c r="I11" s="5">
        <v>2</v>
      </c>
      <c r="J11">
        <v>0</v>
      </c>
      <c r="K11">
        <v>0</v>
      </c>
      <c r="L11" s="4">
        <v>143065.1</v>
      </c>
      <c r="M11">
        <v>1</v>
      </c>
      <c r="N11" s="4">
        <f t="shared" si="0"/>
        <v>-1.0009814306550306</v>
      </c>
      <c r="O11" s="4">
        <f t="shared" si="1"/>
        <v>1.4868240902192871</v>
      </c>
      <c r="P11" t="str" cm="1">
        <f t="array" ref="P11">_xlfn.IFS(AND(F11&gt;15,F11&lt;=30), "Youngsters", AND(F11&gt;30,F11&lt;=50), "Adults", AND(F11&gt;50,F11&lt;=70),"Old person", AND(F11&gt;70, F11&lt;92), "Senior Citizens")</f>
        <v>Old person</v>
      </c>
      <c r="Q11" t="str" cm="1">
        <f t="array" ref="Q11">_xlfn.IFS(G11=0,"No Tenure Period",AND(G11&gt;0,G11&lt;=3),"Less Tenure Period",AND(G11&gt;3,G11&lt;=7),"More Tenure Period",AND(G11&gt;7,G11&lt;=10),"Large Tenure Period")</f>
        <v>More Tenure Period</v>
      </c>
      <c r="R11" t="str" cm="1">
        <f t="array" ref="R11">_xlfn.IFS(AND(C11&gt;300,C11&lt;=525),"1 Star",AND(C11&gt;525,C11&lt;=600),"2 Star",AND(C11&gt;600,C11&lt;=700),"3 Star",AND(C11&gt;700,C11&lt;=750),"4 Star",AND(C11&gt;750,C11&lt;=900),"5 Star")</f>
        <v>3 Star</v>
      </c>
      <c r="S11" cm="1">
        <f t="array" ref="S11">_xlfn.IFS(E11="Male",1,E11="Female",2)</f>
        <v>2</v>
      </c>
      <c r="T11" cm="1">
        <f t="array" ref="T11">_xlfn.IFS(D11="France",1,D11="Germany",2,D11="Spain",3)</f>
        <v>1</v>
      </c>
      <c r="W11" t="s">
        <v>53</v>
      </c>
      <c r="X11">
        <f>COUNTIF(M2:M500,"0")</f>
        <v>227</v>
      </c>
    </row>
    <row r="12" spans="1:25" x14ac:dyDescent="0.3">
      <c r="A12">
        <v>11</v>
      </c>
      <c r="B12" t="s">
        <v>15</v>
      </c>
      <c r="C12" s="5">
        <v>519</v>
      </c>
      <c r="D12" t="s">
        <v>24</v>
      </c>
      <c r="E12" t="s">
        <v>26</v>
      </c>
      <c r="F12">
        <v>22</v>
      </c>
      <c r="G12" s="5">
        <v>10</v>
      </c>
      <c r="H12" s="4">
        <v>198399.26</v>
      </c>
      <c r="I12" s="5">
        <v>3</v>
      </c>
      <c r="J12">
        <v>1</v>
      </c>
      <c r="K12">
        <v>0</v>
      </c>
      <c r="L12" s="4">
        <v>125839.96</v>
      </c>
      <c r="M12">
        <v>1</v>
      </c>
      <c r="N12" s="4">
        <f t="shared" si="0"/>
        <v>0.9727381157125613</v>
      </c>
      <c r="O12" s="4">
        <f t="shared" si="1"/>
        <v>1.0659046904614657</v>
      </c>
      <c r="P12" t="str" cm="1">
        <f t="array" ref="P12">_xlfn.IFS(AND(F12&gt;15,F12&lt;=30), "Youngsters", AND(F12&gt;30,F12&lt;=50), "Adults", AND(F12&gt;50,F12&lt;=70),"Old person", AND(F12&gt;70, F12&lt;92), "Senior Citizens")</f>
        <v>Youngsters</v>
      </c>
      <c r="Q12" t="str" cm="1">
        <f t="array" ref="Q12">_xlfn.IFS(G12=0,"No Tenure Period",AND(G12&gt;0,G12&lt;=3),"Less Tenure Period",AND(G12&gt;3,G12&lt;=7),"More Tenure Period",AND(G12&gt;7,G12&lt;=10),"Large Tenure Period")</f>
        <v>Large Tenure Period</v>
      </c>
      <c r="R12" t="str" cm="1">
        <f t="array" ref="R12">_xlfn.IFS(AND(C12&gt;300,C12&lt;=525),"1 Star",AND(C12&gt;525,C12&lt;=600),"2 Star",AND(C12&gt;600,C12&lt;=700),"3 Star",AND(C12&gt;700,C12&lt;=750),"4 Star",AND(C12&gt;750,C12&lt;=900),"5 Star")</f>
        <v>1 Star</v>
      </c>
      <c r="S12" cm="1">
        <f t="array" ref="S12">_xlfn.IFS(E12="Male",1,E12="Female",2)</f>
        <v>2</v>
      </c>
      <c r="T12" cm="1">
        <f t="array" ref="T12">_xlfn.IFS(D12="France",1,D12="Germany",2,D12="Spain",3)</f>
        <v>1</v>
      </c>
    </row>
    <row r="13" spans="1:25" ht="15" thickBot="1" x14ac:dyDescent="0.35">
      <c r="A13">
        <v>12</v>
      </c>
      <c r="B13" t="s">
        <v>19</v>
      </c>
      <c r="C13" s="5">
        <v>672</v>
      </c>
      <c r="D13" t="s">
        <v>22</v>
      </c>
      <c r="E13" t="s">
        <v>25</v>
      </c>
      <c r="F13">
        <v>21</v>
      </c>
      <c r="G13" s="5">
        <v>3</v>
      </c>
      <c r="H13" s="4">
        <v>157278.91</v>
      </c>
      <c r="I13" s="5">
        <v>3</v>
      </c>
      <c r="J13">
        <v>0</v>
      </c>
      <c r="K13">
        <v>0</v>
      </c>
      <c r="L13" s="4">
        <v>58708.71</v>
      </c>
      <c r="M13">
        <v>1</v>
      </c>
      <c r="N13" s="4">
        <f t="shared" si="0"/>
        <v>0.40140392536560809</v>
      </c>
      <c r="O13" s="4">
        <f t="shared" si="1"/>
        <v>-0.57453744556716735</v>
      </c>
      <c r="P13" t="str" cm="1">
        <f t="array" ref="P13">_xlfn.IFS(AND(F13&gt;15,F13&lt;=30), "Youngsters", AND(F13&gt;30,F13&lt;=50), "Adults", AND(F13&gt;50,F13&lt;=70),"Old person", AND(F13&gt;70, F13&lt;92), "Senior Citizens")</f>
        <v>Youngsters</v>
      </c>
      <c r="Q13" t="str" cm="1">
        <f t="array" ref="Q13">_xlfn.IFS(G13=0,"No Tenure Period",AND(G13&gt;0,G13&lt;=3),"Less Tenure Period",AND(G13&gt;3,G13&lt;=7),"More Tenure Period",AND(G13&gt;7,G13&lt;=10),"Large Tenure Period")</f>
        <v>Less Tenure Period</v>
      </c>
      <c r="R13" t="str" cm="1">
        <f t="array" ref="R13">_xlfn.IFS(AND(C13&gt;300,C13&lt;=525),"1 Star",AND(C13&gt;525,C13&lt;=600),"2 Star",AND(C13&gt;600,C13&lt;=700),"3 Star",AND(C13&gt;700,C13&lt;=750),"4 Star",AND(C13&gt;750,C13&lt;=900),"5 Star")</f>
        <v>3 Star</v>
      </c>
      <c r="S13" cm="1">
        <f t="array" ref="S13">_xlfn.IFS(E13="Male",1,E13="Female",2)</f>
        <v>1</v>
      </c>
      <c r="T13" cm="1">
        <f t="array" ref="T13">_xlfn.IFS(D13="France",1,D13="Germany",2,D13="Spain",3)</f>
        <v>2</v>
      </c>
    </row>
    <row r="14" spans="1:25" x14ac:dyDescent="0.3">
      <c r="A14">
        <v>13</v>
      </c>
      <c r="B14" t="s">
        <v>20</v>
      </c>
      <c r="C14" s="5">
        <v>464</v>
      </c>
      <c r="D14" t="s">
        <v>23</v>
      </c>
      <c r="E14" t="s">
        <v>26</v>
      </c>
      <c r="F14">
        <v>37</v>
      </c>
      <c r="G14" s="5">
        <v>2</v>
      </c>
      <c r="H14" s="4">
        <v>58317.75</v>
      </c>
      <c r="I14" s="5">
        <v>3</v>
      </c>
      <c r="J14">
        <v>0</v>
      </c>
      <c r="K14">
        <v>0</v>
      </c>
      <c r="L14" s="4">
        <v>13740.96</v>
      </c>
      <c r="M14">
        <v>0</v>
      </c>
      <c r="N14" s="4">
        <f t="shared" si="0"/>
        <v>-0.97358179884139107</v>
      </c>
      <c r="O14" s="4">
        <f t="shared" si="1"/>
        <v>-1.673384731479489</v>
      </c>
      <c r="P14" t="str" cm="1">
        <f t="array" ref="P14">_xlfn.IFS(AND(F14&gt;15,F14&lt;=30), "Youngsters", AND(F14&gt;30,F14&lt;=50), "Adults", AND(F14&gt;50,F14&lt;=70),"Old person", AND(F14&gt;70, F14&lt;92), "Senior Citizens")</f>
        <v>Adults</v>
      </c>
      <c r="Q14" t="str" cm="1">
        <f t="array" ref="Q14">_xlfn.IFS(G14=0,"No Tenure Period",AND(G14&gt;0,G14&lt;=3),"Less Tenure Period",AND(G14&gt;3,G14&lt;=7),"More Tenure Period",AND(G14&gt;7,G14&lt;=10),"Large Tenure Period")</f>
        <v>Less Tenure Period</v>
      </c>
      <c r="R14" t="str" cm="1">
        <f t="array" ref="R14">_xlfn.IFS(AND(C14&gt;300,C14&lt;=525),"1 Star",AND(C14&gt;525,C14&lt;=600),"2 Star",AND(C14&gt;600,C14&lt;=700),"3 Star",AND(C14&gt;700,C14&lt;=750),"4 Star",AND(C14&gt;750,C14&lt;=900),"5 Star")</f>
        <v>1 Star</v>
      </c>
      <c r="S14" cm="1">
        <f t="array" ref="S14">_xlfn.IFS(E14="Male",1,E14="Female",2)</f>
        <v>2</v>
      </c>
      <c r="T14" cm="1">
        <f t="array" ref="T14">_xlfn.IFS(D14="France",1,D14="Germany",2,D14="Spain",3)</f>
        <v>3</v>
      </c>
      <c r="W14" s="25" t="s">
        <v>27</v>
      </c>
      <c r="X14" s="15"/>
    </row>
    <row r="15" spans="1:25" x14ac:dyDescent="0.3">
      <c r="A15">
        <v>14</v>
      </c>
      <c r="B15" t="s">
        <v>20</v>
      </c>
      <c r="C15" s="5">
        <v>698</v>
      </c>
      <c r="D15" t="s">
        <v>22</v>
      </c>
      <c r="E15" t="s">
        <v>25</v>
      </c>
      <c r="F15">
        <v>34</v>
      </c>
      <c r="G15" s="5">
        <v>3</v>
      </c>
      <c r="H15" s="4">
        <v>128968.35</v>
      </c>
      <c r="I15" s="5">
        <v>1</v>
      </c>
      <c r="J15">
        <v>0</v>
      </c>
      <c r="K15">
        <v>0</v>
      </c>
      <c r="L15" s="4">
        <v>143532.82</v>
      </c>
      <c r="M15">
        <v>1</v>
      </c>
      <c r="N15" s="4">
        <f t="shared" si="0"/>
        <v>8.0514642151355478E-3</v>
      </c>
      <c r="O15" s="4">
        <f t="shared" si="1"/>
        <v>1.4982534557660825</v>
      </c>
      <c r="P15" t="str" cm="1">
        <f t="array" ref="P15">_xlfn.IFS(AND(F15&gt;15,F15&lt;=30), "Youngsters", AND(F15&gt;30,F15&lt;=50), "Adults", AND(F15&gt;50,F15&lt;=70),"Old person", AND(F15&gt;70, F15&lt;92), "Senior Citizens")</f>
        <v>Adults</v>
      </c>
      <c r="Q15" t="str" cm="1">
        <f t="array" ref="Q15">_xlfn.IFS(G15=0,"No Tenure Period",AND(G15&gt;0,G15&lt;=3),"Less Tenure Period",AND(G15&gt;3,G15&lt;=7),"More Tenure Period",AND(G15&gt;7,G15&lt;=10),"Large Tenure Period")</f>
        <v>Less Tenure Period</v>
      </c>
      <c r="R15" t="str" cm="1">
        <f t="array" ref="R15">_xlfn.IFS(AND(C15&gt;300,C15&lt;=525),"1 Star",AND(C15&gt;525,C15&lt;=600),"2 Star",AND(C15&gt;600,C15&lt;=700),"3 Star",AND(C15&gt;700,C15&lt;=750),"4 Star",AND(C15&gt;750,C15&lt;=900),"5 Star")</f>
        <v>3 Star</v>
      </c>
      <c r="S15" cm="1">
        <f t="array" ref="S15">_xlfn.IFS(E15="Male",1,E15="Female",2)</f>
        <v>1</v>
      </c>
      <c r="T15" cm="1">
        <f t="array" ref="T15">_xlfn.IFS(D15="France",1,D15="Germany",2,D15="Spain",3)</f>
        <v>2</v>
      </c>
    </row>
    <row r="16" spans="1:25" x14ac:dyDescent="0.3">
      <c r="A16">
        <v>15</v>
      </c>
      <c r="B16" t="s">
        <v>21</v>
      </c>
      <c r="C16" s="5">
        <v>684</v>
      </c>
      <c r="D16" t="s">
        <v>22</v>
      </c>
      <c r="E16" t="s">
        <v>25</v>
      </c>
      <c r="F16">
        <v>89</v>
      </c>
      <c r="G16" s="5">
        <v>2</v>
      </c>
      <c r="H16" s="4">
        <v>60006.91</v>
      </c>
      <c r="I16" s="5">
        <v>2</v>
      </c>
      <c r="J16">
        <v>1</v>
      </c>
      <c r="K16">
        <v>0</v>
      </c>
      <c r="L16" s="4">
        <v>38571.279999999999</v>
      </c>
      <c r="M16">
        <v>0</v>
      </c>
      <c r="N16" s="4">
        <f t="shared" si="0"/>
        <v>-0.95011227922479102</v>
      </c>
      <c r="O16" s="4">
        <f t="shared" si="1"/>
        <v>-1.0666225576919539</v>
      </c>
      <c r="P16" t="str" cm="1">
        <f t="array" ref="P16">_xlfn.IFS(AND(F16&gt;15,F16&lt;=30), "Youngsters", AND(F16&gt;30,F16&lt;=50), "Adults", AND(F16&gt;50,F16&lt;=70),"Old person", AND(F16&gt;70, F16&lt;92), "Senior Citizens")</f>
        <v>Senior Citizens</v>
      </c>
      <c r="Q16" t="str" cm="1">
        <f t="array" ref="Q16">_xlfn.IFS(G16=0,"No Tenure Period",AND(G16&gt;0,G16&lt;=3),"Less Tenure Period",AND(G16&gt;3,G16&lt;=7),"More Tenure Period",AND(G16&gt;7,G16&lt;=10),"Large Tenure Period")</f>
        <v>Less Tenure Period</v>
      </c>
      <c r="R16" t="str" cm="1">
        <f t="array" ref="R16">_xlfn.IFS(AND(C16&gt;300,C16&lt;=525),"1 Star",AND(C16&gt;525,C16&lt;=600),"2 Star",AND(C16&gt;600,C16&lt;=700),"3 Star",AND(C16&gt;700,C16&lt;=750),"4 Star",AND(C16&gt;750,C16&lt;=900),"5 Star")</f>
        <v>3 Star</v>
      </c>
      <c r="S16" cm="1">
        <f t="array" ref="S16">_xlfn.IFS(E16="Male",1,E16="Female",2)</f>
        <v>1</v>
      </c>
      <c r="T16" cm="1">
        <f t="array" ref="T16">_xlfn.IFS(D16="France",1,D16="Germany",2,D16="Spain",3)</f>
        <v>2</v>
      </c>
      <c r="W16" t="s">
        <v>87</v>
      </c>
      <c r="X16" s="4">
        <v>0.54509018036072143</v>
      </c>
    </row>
    <row r="17" spans="1:24" x14ac:dyDescent="0.3">
      <c r="A17">
        <v>16</v>
      </c>
      <c r="B17" t="s">
        <v>19</v>
      </c>
      <c r="C17" s="5">
        <v>579</v>
      </c>
      <c r="D17" t="s">
        <v>24</v>
      </c>
      <c r="E17" t="s">
        <v>26</v>
      </c>
      <c r="F17">
        <v>42</v>
      </c>
      <c r="G17" s="5">
        <v>3</v>
      </c>
      <c r="H17" s="4">
        <v>180430.72</v>
      </c>
      <c r="I17" s="5">
        <v>4</v>
      </c>
      <c r="J17">
        <v>0</v>
      </c>
      <c r="K17">
        <v>1</v>
      </c>
      <c r="L17" s="4">
        <v>43961.45</v>
      </c>
      <c r="M17">
        <v>1</v>
      </c>
      <c r="N17" s="4">
        <f t="shared" si="0"/>
        <v>0.72307970442430991</v>
      </c>
      <c r="O17" s="4">
        <f t="shared" si="1"/>
        <v>-0.93490652397654628</v>
      </c>
      <c r="P17" t="str" cm="1">
        <f t="array" ref="P17">_xlfn.IFS(AND(F17&gt;15,F17&lt;=30), "Youngsters", AND(F17&gt;30,F17&lt;=50), "Adults", AND(F17&gt;50,F17&lt;=70),"Old person", AND(F17&gt;70, F17&lt;92), "Senior Citizens")</f>
        <v>Adults</v>
      </c>
      <c r="Q17" t="str" cm="1">
        <f t="array" ref="Q17">_xlfn.IFS(G17=0,"No Tenure Period",AND(G17&gt;0,G17&lt;=3),"Less Tenure Period",AND(G17&gt;3,G17&lt;=7),"More Tenure Period",AND(G17&gt;7,G17&lt;=10),"Large Tenure Period")</f>
        <v>Less Tenure Period</v>
      </c>
      <c r="R17" t="str" cm="1">
        <f t="array" ref="R17">_xlfn.IFS(AND(C17&gt;300,C17&lt;=525),"1 Star",AND(C17&gt;525,C17&lt;=600),"2 Star",AND(C17&gt;600,C17&lt;=700),"3 Star",AND(C17&gt;700,C17&lt;=750),"4 Star",AND(C17&gt;750,C17&lt;=900),"5 Star")</f>
        <v>2 Star</v>
      </c>
      <c r="S17" cm="1">
        <f t="array" ref="S17">_xlfn.IFS(E17="Male",1,E17="Female",2)</f>
        <v>2</v>
      </c>
      <c r="T17" cm="1">
        <f t="array" ref="T17">_xlfn.IFS(D17="France",1,D17="Germany",2,D17="Spain",3)</f>
        <v>1</v>
      </c>
      <c r="W17" t="s">
        <v>68</v>
      </c>
      <c r="X17" s="4">
        <v>2.2314243278283151E-2</v>
      </c>
    </row>
    <row r="18" spans="1:24" x14ac:dyDescent="0.3">
      <c r="A18">
        <v>17</v>
      </c>
      <c r="B18" t="s">
        <v>15</v>
      </c>
      <c r="C18" s="5">
        <v>569</v>
      </c>
      <c r="D18" t="s">
        <v>22</v>
      </c>
      <c r="E18" t="s">
        <v>25</v>
      </c>
      <c r="F18">
        <v>29</v>
      </c>
      <c r="G18" s="5">
        <v>7</v>
      </c>
      <c r="H18" s="4">
        <v>75466.39</v>
      </c>
      <c r="I18" s="5">
        <v>1</v>
      </c>
      <c r="J18">
        <v>0</v>
      </c>
      <c r="K18">
        <v>0</v>
      </c>
      <c r="L18" s="4">
        <v>103226.64</v>
      </c>
      <c r="M18">
        <v>1</v>
      </c>
      <c r="N18" s="4">
        <f t="shared" si="0"/>
        <v>-0.73531523861144721</v>
      </c>
      <c r="O18" s="4">
        <f t="shared" si="1"/>
        <v>0.51331788530739786</v>
      </c>
      <c r="P18" t="str" cm="1">
        <f t="array" ref="P18">_xlfn.IFS(AND(F18&gt;15,F18&lt;=30), "Youngsters", AND(F18&gt;30,F18&lt;=50), "Adults", AND(F18&gt;50,F18&lt;=70),"Old person", AND(F18&gt;70, F18&lt;92), "Senior Citizens")</f>
        <v>Youngsters</v>
      </c>
      <c r="Q18" t="str" cm="1">
        <f t="array" ref="Q18">_xlfn.IFS(G18=0,"No Tenure Period",AND(G18&gt;0,G18&lt;=3),"Less Tenure Period",AND(G18&gt;3,G18&lt;=7),"More Tenure Period",AND(G18&gt;7,G18&lt;=10),"Large Tenure Period")</f>
        <v>More Tenure Period</v>
      </c>
      <c r="R18" t="str" cm="1">
        <f t="array" ref="R18">_xlfn.IFS(AND(C18&gt;300,C18&lt;=525),"1 Star",AND(C18&gt;525,C18&lt;=600),"2 Star",AND(C18&gt;600,C18&lt;=700),"3 Star",AND(C18&gt;700,C18&lt;=750),"4 Star",AND(C18&gt;750,C18&lt;=900),"5 Star")</f>
        <v>2 Star</v>
      </c>
      <c r="S18" cm="1">
        <f t="array" ref="S18">_xlfn.IFS(E18="Male",1,E18="Female",2)</f>
        <v>1</v>
      </c>
      <c r="T18" cm="1">
        <f t="array" ref="T18">_xlfn.IFS(D18="France",1,D18="Germany",2,D18="Spain",3)</f>
        <v>2</v>
      </c>
      <c r="W18" t="s">
        <v>88</v>
      </c>
      <c r="X18" s="4">
        <v>1</v>
      </c>
    </row>
    <row r="19" spans="1:24" x14ac:dyDescent="0.3">
      <c r="A19">
        <v>18</v>
      </c>
      <c r="B19" t="s">
        <v>15</v>
      </c>
      <c r="C19" s="5">
        <v>596</v>
      </c>
      <c r="D19" t="s">
        <v>23</v>
      </c>
      <c r="E19" t="s">
        <v>25</v>
      </c>
      <c r="F19">
        <v>40</v>
      </c>
      <c r="G19" s="5">
        <v>7</v>
      </c>
      <c r="H19" s="4">
        <v>124186.11</v>
      </c>
      <c r="I19" s="5">
        <v>3</v>
      </c>
      <c r="J19">
        <v>1</v>
      </c>
      <c r="K19">
        <v>1</v>
      </c>
      <c r="L19" s="4">
        <v>108305.55</v>
      </c>
      <c r="M19">
        <v>0</v>
      </c>
      <c r="N19" s="4">
        <f t="shared" si="0"/>
        <v>-5.8393914251847728E-2</v>
      </c>
      <c r="O19" s="4">
        <f t="shared" si="1"/>
        <v>0.63742786343378743</v>
      </c>
      <c r="P19" t="str" cm="1">
        <f t="array" ref="P19">_xlfn.IFS(AND(F19&gt;15,F19&lt;=30), "Youngsters", AND(F19&gt;30,F19&lt;=50), "Adults", AND(F19&gt;50,F19&lt;=70),"Old person", AND(F19&gt;70, F19&lt;92), "Senior Citizens")</f>
        <v>Adults</v>
      </c>
      <c r="Q19" t="str" cm="1">
        <f t="array" ref="Q19">_xlfn.IFS(G19=0,"No Tenure Period",AND(G19&gt;0,G19&lt;=3),"Less Tenure Period",AND(G19&gt;3,G19&lt;=7),"More Tenure Period",AND(G19&gt;7,G19&lt;=10),"Large Tenure Period")</f>
        <v>More Tenure Period</v>
      </c>
      <c r="R19" t="str" cm="1">
        <f t="array" ref="R19">_xlfn.IFS(AND(C19&gt;300,C19&lt;=525),"1 Star",AND(C19&gt;525,C19&lt;=600),"2 Star",AND(C19&gt;600,C19&lt;=700),"3 Star",AND(C19&gt;700,C19&lt;=750),"4 Star",AND(C19&gt;750,C19&lt;=900),"5 Star")</f>
        <v>2 Star</v>
      </c>
      <c r="S19" cm="1">
        <f t="array" ref="S19">_xlfn.IFS(E19="Male",1,E19="Female",2)</f>
        <v>1</v>
      </c>
      <c r="T19" cm="1">
        <f t="array" ref="T19">_xlfn.IFS(D19="France",1,D19="Germany",2,D19="Spain",3)</f>
        <v>3</v>
      </c>
      <c r="W19" t="s">
        <v>89</v>
      </c>
      <c r="X19" s="4">
        <v>1</v>
      </c>
    </row>
    <row r="20" spans="1:24" x14ac:dyDescent="0.3">
      <c r="A20">
        <v>19</v>
      </c>
      <c r="B20" t="s">
        <v>20</v>
      </c>
      <c r="C20" s="5">
        <v>450</v>
      </c>
      <c r="D20" t="s">
        <v>22</v>
      </c>
      <c r="E20" t="s">
        <v>26</v>
      </c>
      <c r="F20">
        <v>78</v>
      </c>
      <c r="G20" s="5">
        <v>1</v>
      </c>
      <c r="H20" s="4">
        <v>224549.07</v>
      </c>
      <c r="I20" s="5">
        <v>4</v>
      </c>
      <c r="J20">
        <v>0</v>
      </c>
      <c r="K20">
        <v>1</v>
      </c>
      <c r="L20" s="4">
        <v>144262.57</v>
      </c>
      <c r="M20">
        <v>1</v>
      </c>
      <c r="N20" s="4">
        <f t="shared" si="0"/>
        <v>1.3360686934940407</v>
      </c>
      <c r="O20" s="4">
        <f t="shared" si="1"/>
        <v>1.5160858758203331</v>
      </c>
      <c r="P20" t="str" cm="1">
        <f t="array" ref="P20">_xlfn.IFS(AND(F20&gt;15,F20&lt;=30), "Youngsters", AND(F20&gt;30,F20&lt;=50), "Adults", AND(F20&gt;50,F20&lt;=70),"Old person", AND(F20&gt;70, F20&lt;92), "Senior Citizens")</f>
        <v>Senior Citizens</v>
      </c>
      <c r="Q20" t="str" cm="1">
        <f t="array" ref="Q20">_xlfn.IFS(G20=0,"No Tenure Period",AND(G20&gt;0,G20&lt;=3),"Less Tenure Period",AND(G20&gt;3,G20&lt;=7),"More Tenure Period",AND(G20&gt;7,G20&lt;=10),"Large Tenure Period")</f>
        <v>Less Tenure Period</v>
      </c>
      <c r="R20" t="str" cm="1">
        <f t="array" ref="R20">_xlfn.IFS(AND(C20&gt;300,C20&lt;=525),"1 Star",AND(C20&gt;525,C20&lt;=600),"2 Star",AND(C20&gt;600,C20&lt;=700),"3 Star",AND(C20&gt;700,C20&lt;=750),"4 Star",AND(C20&gt;750,C20&lt;=900),"5 Star")</f>
        <v>1 Star</v>
      </c>
      <c r="S20" cm="1">
        <f t="array" ref="S20">_xlfn.IFS(E20="Male",1,E20="Female",2)</f>
        <v>2</v>
      </c>
      <c r="T20" cm="1">
        <f t="array" ref="T20">_xlfn.IFS(D20="France",1,D20="Germany",2,D20="Spain",3)</f>
        <v>2</v>
      </c>
      <c r="W20" t="s">
        <v>90</v>
      </c>
      <c r="X20" s="4">
        <v>0.49846243698810444</v>
      </c>
    </row>
    <row r="21" spans="1:24" x14ac:dyDescent="0.3">
      <c r="A21">
        <v>20</v>
      </c>
      <c r="B21" t="s">
        <v>21</v>
      </c>
      <c r="C21" s="5">
        <v>765</v>
      </c>
      <c r="D21" t="s">
        <v>22</v>
      </c>
      <c r="E21" t="s">
        <v>26</v>
      </c>
      <c r="F21">
        <v>20</v>
      </c>
      <c r="G21" s="5">
        <v>4</v>
      </c>
      <c r="H21" s="4">
        <v>246840.35</v>
      </c>
      <c r="I21" s="5">
        <v>2</v>
      </c>
      <c r="J21">
        <v>0</v>
      </c>
      <c r="K21">
        <v>0</v>
      </c>
      <c r="L21" s="4">
        <v>93337.31</v>
      </c>
      <c r="M21">
        <v>0</v>
      </c>
      <c r="N21" s="4">
        <f t="shared" si="0"/>
        <v>1.645788100322952</v>
      </c>
      <c r="O21" s="4">
        <f t="shared" si="1"/>
        <v>0.27165884232678839</v>
      </c>
      <c r="P21" t="str" cm="1">
        <f t="array" ref="P21">_xlfn.IFS(AND(F21&gt;15,F21&lt;=30), "Youngsters", AND(F21&gt;30,F21&lt;=50), "Adults", AND(F21&gt;50,F21&lt;=70),"Old person", AND(F21&gt;70, F21&lt;92), "Senior Citizens")</f>
        <v>Youngsters</v>
      </c>
      <c r="Q21" t="str" cm="1">
        <f t="array" ref="Q21">_xlfn.IFS(G21=0,"No Tenure Period",AND(G21&gt;0,G21&lt;=3),"Less Tenure Period",AND(G21&gt;3,G21&lt;=7),"More Tenure Period",AND(G21&gt;7,G21&lt;=10),"Large Tenure Period")</f>
        <v>More Tenure Period</v>
      </c>
      <c r="R21" t="str" cm="1">
        <f t="array" ref="R21">_xlfn.IFS(AND(C21&gt;300,C21&lt;=525),"1 Star",AND(C21&gt;525,C21&lt;=600),"2 Star",AND(C21&gt;600,C21&lt;=700),"3 Star",AND(C21&gt;700,C21&lt;=750),"4 Star",AND(C21&gt;750,C21&lt;=900),"5 Star")</f>
        <v>5 Star</v>
      </c>
      <c r="S21" cm="1">
        <f t="array" ref="S21">_xlfn.IFS(E21="Male",1,E21="Female",2)</f>
        <v>2</v>
      </c>
      <c r="T21" cm="1">
        <f t="array" ref="T21">_xlfn.IFS(D21="France",1,D21="Germany",2,D21="Spain",3)</f>
        <v>2</v>
      </c>
      <c r="W21" t="s">
        <v>91</v>
      </c>
      <c r="X21" s="4">
        <v>0.24846480108812</v>
      </c>
    </row>
    <row r="22" spans="1:24" x14ac:dyDescent="0.3">
      <c r="A22">
        <v>21</v>
      </c>
      <c r="B22" t="s">
        <v>12</v>
      </c>
      <c r="C22" s="5">
        <v>571</v>
      </c>
      <c r="D22" t="s">
        <v>24</v>
      </c>
      <c r="E22" t="s">
        <v>25</v>
      </c>
      <c r="F22">
        <v>26</v>
      </c>
      <c r="G22" s="5">
        <v>6</v>
      </c>
      <c r="H22" s="4">
        <v>239474.66</v>
      </c>
      <c r="I22" s="5">
        <v>1</v>
      </c>
      <c r="J22">
        <v>0</v>
      </c>
      <c r="K22">
        <v>1</v>
      </c>
      <c r="L22" s="4">
        <v>71646.19</v>
      </c>
      <c r="M22">
        <v>1</v>
      </c>
      <c r="N22" s="4">
        <f t="shared" si="0"/>
        <v>1.5434477619625866</v>
      </c>
      <c r="O22" s="4">
        <f t="shared" si="1"/>
        <v>-0.25839276889232926</v>
      </c>
      <c r="P22" t="str" cm="1">
        <f t="array" ref="P22">_xlfn.IFS(AND(F22&gt;15,F22&lt;=30), "Youngsters", AND(F22&gt;30,F22&lt;=50), "Adults", AND(F22&gt;50,F22&lt;=70),"Old person", AND(F22&gt;70, F22&lt;92), "Senior Citizens")</f>
        <v>Youngsters</v>
      </c>
      <c r="Q22" t="str" cm="1">
        <f t="array" ref="Q22">_xlfn.IFS(G22=0,"No Tenure Period",AND(G22&gt;0,G22&lt;=3),"Less Tenure Period",AND(G22&gt;3,G22&lt;=7),"More Tenure Period",AND(G22&gt;7,G22&lt;=10),"Large Tenure Period")</f>
        <v>More Tenure Period</v>
      </c>
      <c r="R22" t="str" cm="1">
        <f t="array" ref="R22">_xlfn.IFS(AND(C22&gt;300,C22&lt;=525),"1 Star",AND(C22&gt;525,C22&lt;=600),"2 Star",AND(C22&gt;600,C22&lt;=700),"3 Star",AND(C22&gt;700,C22&lt;=750),"4 Star",AND(C22&gt;750,C22&lt;=900),"5 Star")</f>
        <v>2 Star</v>
      </c>
      <c r="S22" cm="1">
        <f t="array" ref="S22">_xlfn.IFS(E22="Male",1,E22="Female",2)</f>
        <v>1</v>
      </c>
      <c r="T22" cm="1">
        <f t="array" ref="T22">_xlfn.IFS(D22="France",1,D22="Germany",2,D22="Spain",3)</f>
        <v>1</v>
      </c>
      <c r="W22" t="s">
        <v>92</v>
      </c>
      <c r="X22" s="4">
        <v>-1.9749367960220987</v>
      </c>
    </row>
    <row r="23" spans="1:24" x14ac:dyDescent="0.3">
      <c r="A23">
        <v>22</v>
      </c>
      <c r="B23" t="s">
        <v>16</v>
      </c>
      <c r="C23" s="5">
        <v>528</v>
      </c>
      <c r="D23" t="s">
        <v>23</v>
      </c>
      <c r="E23" t="s">
        <v>26</v>
      </c>
      <c r="F23">
        <v>90</v>
      </c>
      <c r="G23" s="5">
        <v>10</v>
      </c>
      <c r="H23" s="4">
        <v>192616.6</v>
      </c>
      <c r="I23" s="5">
        <v>4</v>
      </c>
      <c r="J23">
        <v>1</v>
      </c>
      <c r="K23">
        <v>0</v>
      </c>
      <c r="L23" s="4">
        <v>27413.39</v>
      </c>
      <c r="M23">
        <v>0</v>
      </c>
      <c r="N23" s="4">
        <f t="shared" si="0"/>
        <v>0.89239270597865306</v>
      </c>
      <c r="O23" s="4">
        <f t="shared" si="1"/>
        <v>-1.3392805657757081</v>
      </c>
      <c r="P23" t="str" cm="1">
        <f t="array" ref="P23">_xlfn.IFS(AND(F23&gt;15,F23&lt;=30), "Youngsters", AND(F23&gt;30,F23&lt;=50), "Adults", AND(F23&gt;50,F23&lt;=70),"Old person", AND(F23&gt;70, F23&lt;92), "Senior Citizens")</f>
        <v>Senior Citizens</v>
      </c>
      <c r="Q23" t="str" cm="1">
        <f t="array" ref="Q23">_xlfn.IFS(G23=0,"No Tenure Period",AND(G23&gt;0,G23&lt;=3),"Less Tenure Period",AND(G23&gt;3,G23&lt;=7),"More Tenure Period",AND(G23&gt;7,G23&lt;=10),"Large Tenure Period")</f>
        <v>Large Tenure Period</v>
      </c>
      <c r="R23" t="str" cm="1">
        <f t="array" ref="R23">_xlfn.IFS(AND(C23&gt;300,C23&lt;=525),"1 Star",AND(C23&gt;525,C23&lt;=600),"2 Star",AND(C23&gt;600,C23&lt;=700),"3 Star",AND(C23&gt;700,C23&lt;=750),"4 Star",AND(C23&gt;750,C23&lt;=900),"5 Star")</f>
        <v>2 Star</v>
      </c>
      <c r="S23" cm="1">
        <f t="array" ref="S23">_xlfn.IFS(E23="Male",1,E23="Female",2)</f>
        <v>2</v>
      </c>
      <c r="T23" cm="1">
        <f t="array" ref="T23">_xlfn.IFS(D23="France",1,D23="Germany",2,D23="Spain",3)</f>
        <v>3</v>
      </c>
      <c r="W23" s="2" t="s">
        <v>93</v>
      </c>
      <c r="X23" s="19">
        <v>-0.18164510069091572</v>
      </c>
    </row>
    <row r="24" spans="1:24" x14ac:dyDescent="0.3">
      <c r="A24">
        <v>23</v>
      </c>
      <c r="B24" t="s">
        <v>20</v>
      </c>
      <c r="C24" s="5">
        <v>524</v>
      </c>
      <c r="D24" t="s">
        <v>23</v>
      </c>
      <c r="E24" t="s">
        <v>25</v>
      </c>
      <c r="F24">
        <v>56</v>
      </c>
      <c r="G24" s="5">
        <v>7</v>
      </c>
      <c r="H24" s="4">
        <v>34050.82</v>
      </c>
      <c r="I24" s="5">
        <v>4</v>
      </c>
      <c r="J24">
        <v>0</v>
      </c>
      <c r="K24">
        <v>1</v>
      </c>
      <c r="L24" s="4">
        <v>130037.45</v>
      </c>
      <c r="M24">
        <v>1</v>
      </c>
      <c r="N24" s="4">
        <f t="shared" si="0"/>
        <v>-1.3107512734143503</v>
      </c>
      <c r="O24" s="4">
        <f t="shared" si="1"/>
        <v>1.1684759886505924</v>
      </c>
      <c r="P24" t="str" cm="1">
        <f t="array" ref="P24">_xlfn.IFS(AND(F24&gt;15,F24&lt;=30), "Youngsters", AND(F24&gt;30,F24&lt;=50), "Adults", AND(F24&gt;50,F24&lt;=70),"Old person", AND(F24&gt;70, F24&lt;92), "Senior Citizens")</f>
        <v>Old person</v>
      </c>
      <c r="Q24" t="str" cm="1">
        <f t="array" ref="Q24">_xlfn.IFS(G24=0,"No Tenure Period",AND(G24&gt;0,G24&lt;=3),"Less Tenure Period",AND(G24&gt;3,G24&lt;=7),"More Tenure Period",AND(G24&gt;7,G24&lt;=10),"Large Tenure Period")</f>
        <v>More Tenure Period</v>
      </c>
      <c r="R24" t="str" cm="1">
        <f t="array" ref="R24">_xlfn.IFS(AND(C24&gt;300,C24&lt;=525),"1 Star",AND(C24&gt;525,C24&lt;=600),"2 Star",AND(C24&gt;600,C24&lt;=700),"3 Star",AND(C24&gt;700,C24&lt;=750),"4 Star",AND(C24&gt;750,C24&lt;=900),"5 Star")</f>
        <v>1 Star</v>
      </c>
      <c r="S24" cm="1">
        <f t="array" ref="S24">_xlfn.IFS(E24="Male",1,E24="Female",2)</f>
        <v>1</v>
      </c>
      <c r="T24" cm="1">
        <f t="array" ref="T24">_xlfn.IFS(D24="France",1,D24="Germany",2,D24="Spain",3)</f>
        <v>3</v>
      </c>
      <c r="W24" t="s">
        <v>94</v>
      </c>
      <c r="X24" s="4">
        <v>1</v>
      </c>
    </row>
    <row r="25" spans="1:24" x14ac:dyDescent="0.3">
      <c r="A25">
        <v>24</v>
      </c>
      <c r="B25" t="s">
        <v>16</v>
      </c>
      <c r="C25" s="5">
        <v>443</v>
      </c>
      <c r="D25" t="s">
        <v>24</v>
      </c>
      <c r="E25" t="s">
        <v>26</v>
      </c>
      <c r="F25">
        <v>70</v>
      </c>
      <c r="G25" s="5">
        <v>0</v>
      </c>
      <c r="H25" s="4">
        <v>116986.77</v>
      </c>
      <c r="I25" s="5">
        <v>2</v>
      </c>
      <c r="J25">
        <v>0</v>
      </c>
      <c r="K25">
        <v>0</v>
      </c>
      <c r="L25" s="4">
        <v>16197.08</v>
      </c>
      <c r="M25">
        <v>0</v>
      </c>
      <c r="N25" s="4">
        <f t="shared" si="0"/>
        <v>-0.15842295315673136</v>
      </c>
      <c r="O25" s="4">
        <f t="shared" si="1"/>
        <v>-1.6133661449174537</v>
      </c>
      <c r="P25" t="str" cm="1">
        <f t="array" ref="P25">_xlfn.IFS(AND(F25&gt;15,F25&lt;=30), "Youngsters", AND(F25&gt;30,F25&lt;=50), "Adults", AND(F25&gt;50,F25&lt;=70),"Old person", AND(F25&gt;70, F25&lt;92), "Senior Citizens")</f>
        <v>Old person</v>
      </c>
      <c r="Q25" t="str" cm="1">
        <f t="array" ref="Q25">_xlfn.IFS(G25=0,"No Tenure Period",AND(G25&gt;0,G25&lt;=3),"Less Tenure Period",AND(G25&gt;3,G25&lt;=7),"More Tenure Period",AND(G25&gt;7,G25&lt;=10),"Large Tenure Period")</f>
        <v>No Tenure Period</v>
      </c>
      <c r="R25" t="str" cm="1">
        <f t="array" ref="R25">_xlfn.IFS(AND(C25&gt;300,C25&lt;=525),"1 Star",AND(C25&gt;525,C25&lt;=600),"2 Star",AND(C25&gt;600,C25&lt;=700),"3 Star",AND(C25&gt;700,C25&lt;=750),"4 Star",AND(C25&gt;750,C25&lt;=900),"5 Star")</f>
        <v>1 Star</v>
      </c>
      <c r="S25" cm="1">
        <f t="array" ref="S25">_xlfn.IFS(E25="Male",1,E25="Female",2)</f>
        <v>2</v>
      </c>
      <c r="T25" cm="1">
        <f t="array" ref="T25">_xlfn.IFS(D25="France",1,D25="Germany",2,D25="Spain",3)</f>
        <v>1</v>
      </c>
      <c r="W25" t="s">
        <v>95</v>
      </c>
      <c r="X25" s="5">
        <v>0</v>
      </c>
    </row>
    <row r="26" spans="1:24" x14ac:dyDescent="0.3">
      <c r="A26">
        <v>25</v>
      </c>
      <c r="B26" t="s">
        <v>18</v>
      </c>
      <c r="C26" s="5">
        <v>464</v>
      </c>
      <c r="D26" t="s">
        <v>23</v>
      </c>
      <c r="E26" t="s">
        <v>26</v>
      </c>
      <c r="F26">
        <v>81</v>
      </c>
      <c r="G26" s="5">
        <v>0</v>
      </c>
      <c r="H26" s="4">
        <v>242071.38</v>
      </c>
      <c r="I26" s="5">
        <v>2</v>
      </c>
      <c r="J26">
        <v>0</v>
      </c>
      <c r="K26">
        <v>0</v>
      </c>
      <c r="L26" s="4">
        <v>129312.08</v>
      </c>
      <c r="M26">
        <v>0</v>
      </c>
      <c r="N26" s="4">
        <f t="shared" si="0"/>
        <v>1.5795270978329705</v>
      </c>
      <c r="O26" s="4">
        <f t="shared" si="1"/>
        <v>1.1507505997711795</v>
      </c>
      <c r="P26" t="str" cm="1">
        <f t="array" ref="P26">_xlfn.IFS(AND(F26&gt;15,F26&lt;=30), "Youngsters", AND(F26&gt;30,F26&lt;=50), "Adults", AND(F26&gt;50,F26&lt;=70),"Old person", AND(F26&gt;70, F26&lt;92), "Senior Citizens")</f>
        <v>Senior Citizens</v>
      </c>
      <c r="Q26" t="str" cm="1">
        <f t="array" ref="Q26">_xlfn.IFS(G26=0,"No Tenure Period",AND(G26&gt;0,G26&lt;=3),"Less Tenure Period",AND(G26&gt;3,G26&lt;=7),"More Tenure Period",AND(G26&gt;7,G26&lt;=10),"Large Tenure Period")</f>
        <v>No Tenure Period</v>
      </c>
      <c r="R26" t="str" cm="1">
        <f t="array" ref="R26">_xlfn.IFS(AND(C26&gt;300,C26&lt;=525),"1 Star",AND(C26&gt;525,C26&lt;=600),"2 Star",AND(C26&gt;600,C26&lt;=700),"3 Star",AND(C26&gt;700,C26&lt;=750),"4 Star",AND(C26&gt;750,C26&lt;=900),"5 Star")</f>
        <v>1 Star</v>
      </c>
      <c r="S26" cm="1">
        <f t="array" ref="S26">_xlfn.IFS(E26="Male",1,E26="Female",2)</f>
        <v>2</v>
      </c>
      <c r="T26" cm="1">
        <f t="array" ref="T26">_xlfn.IFS(D26="France",1,D26="Germany",2,D26="Spain",3)</f>
        <v>3</v>
      </c>
      <c r="W26" t="s">
        <v>96</v>
      </c>
      <c r="X26" s="5">
        <v>1</v>
      </c>
    </row>
    <row r="27" spans="1:24" x14ac:dyDescent="0.3">
      <c r="A27">
        <v>26</v>
      </c>
      <c r="B27" t="s">
        <v>14</v>
      </c>
      <c r="C27" s="5">
        <v>511</v>
      </c>
      <c r="D27" t="s">
        <v>23</v>
      </c>
      <c r="E27" t="s">
        <v>26</v>
      </c>
      <c r="F27">
        <v>39</v>
      </c>
      <c r="G27" s="5">
        <v>6</v>
      </c>
      <c r="H27" s="4">
        <v>88252.4</v>
      </c>
      <c r="I27" s="5">
        <v>2</v>
      </c>
      <c r="J27">
        <v>1</v>
      </c>
      <c r="K27">
        <v>1</v>
      </c>
      <c r="L27" s="4">
        <v>57083.95</v>
      </c>
      <c r="M27">
        <v>0</v>
      </c>
      <c r="N27" s="4">
        <f t="shared" si="0"/>
        <v>-0.55766391338882526</v>
      </c>
      <c r="O27" s="4">
        <f t="shared" si="1"/>
        <v>-0.61424063543677188</v>
      </c>
      <c r="P27" t="str" cm="1">
        <f t="array" ref="P27">_xlfn.IFS(AND(F27&gt;15,F27&lt;=30), "Youngsters", AND(F27&gt;30,F27&lt;=50), "Adults", AND(F27&gt;50,F27&lt;=70),"Old person", AND(F27&gt;70, F27&lt;92), "Senior Citizens")</f>
        <v>Adults</v>
      </c>
      <c r="Q27" t="str" cm="1">
        <f t="array" ref="Q27">_xlfn.IFS(G27=0,"No Tenure Period",AND(G27&gt;0,G27&lt;=3),"Less Tenure Period",AND(G27&gt;3,G27&lt;=7),"More Tenure Period",AND(G27&gt;7,G27&lt;=10),"Large Tenure Period")</f>
        <v>More Tenure Period</v>
      </c>
      <c r="R27" t="str" cm="1">
        <f t="array" ref="R27">_xlfn.IFS(AND(C27&gt;300,C27&lt;=525),"1 Star",AND(C27&gt;525,C27&lt;=600),"2 Star",AND(C27&gt;600,C27&lt;=700),"3 Star",AND(C27&gt;700,C27&lt;=750),"4 Star",AND(C27&gt;750,C27&lt;=900),"5 Star")</f>
        <v>1 Star</v>
      </c>
      <c r="S27" cm="1">
        <f t="array" ref="S27">_xlfn.IFS(E27="Male",1,E27="Female",2)</f>
        <v>2</v>
      </c>
      <c r="T27" cm="1">
        <f t="array" ref="T27">_xlfn.IFS(D27="France",1,D27="Germany",2,D27="Spain",3)</f>
        <v>3</v>
      </c>
      <c r="W27" t="s">
        <v>97</v>
      </c>
      <c r="X27" s="4">
        <v>272</v>
      </c>
    </row>
    <row r="28" spans="1:24" ht="15" thickBot="1" x14ac:dyDescent="0.35">
      <c r="A28">
        <v>27</v>
      </c>
      <c r="B28" t="s">
        <v>13</v>
      </c>
      <c r="C28" s="5">
        <v>618</v>
      </c>
      <c r="D28" t="s">
        <v>22</v>
      </c>
      <c r="E28" t="s">
        <v>25</v>
      </c>
      <c r="F28">
        <v>22</v>
      </c>
      <c r="G28" s="5">
        <v>4</v>
      </c>
      <c r="H28" s="4">
        <v>39874.14</v>
      </c>
      <c r="I28" s="5">
        <v>3</v>
      </c>
      <c r="J28">
        <v>1</v>
      </c>
      <c r="K28">
        <v>1</v>
      </c>
      <c r="L28" s="4">
        <v>137124.10999999999</v>
      </c>
      <c r="M28">
        <v>1</v>
      </c>
      <c r="N28" s="4">
        <f t="shared" si="0"/>
        <v>-1.229840925683088</v>
      </c>
      <c r="O28" s="4">
        <f t="shared" si="1"/>
        <v>1.3416480309961267</v>
      </c>
      <c r="P28" t="str" cm="1">
        <f t="array" ref="P28">_xlfn.IFS(AND(F28&gt;15,F28&lt;=30), "Youngsters", AND(F28&gt;30,F28&lt;=50), "Adults", AND(F28&gt;50,F28&lt;=70),"Old person", AND(F28&gt;70, F28&lt;92), "Senior Citizens")</f>
        <v>Youngsters</v>
      </c>
      <c r="Q28" t="str" cm="1">
        <f t="array" ref="Q28">_xlfn.IFS(G28=0,"No Tenure Period",AND(G28&gt;0,G28&lt;=3),"Less Tenure Period",AND(G28&gt;3,G28&lt;=7),"More Tenure Period",AND(G28&gt;7,G28&lt;=10),"Large Tenure Period")</f>
        <v>More Tenure Period</v>
      </c>
      <c r="R28" t="str" cm="1">
        <f t="array" ref="R28">_xlfn.IFS(AND(C28&gt;300,C28&lt;=525),"1 Star",AND(C28&gt;525,C28&lt;=600),"2 Star",AND(C28&gt;600,C28&lt;=700),"3 Star",AND(C28&gt;700,C28&lt;=750),"4 Star",AND(C28&gt;750,C28&lt;=900),"5 Star")</f>
        <v>3 Star</v>
      </c>
      <c r="S28" cm="1">
        <f t="array" ref="S28">_xlfn.IFS(E28="Male",1,E28="Female",2)</f>
        <v>1</v>
      </c>
      <c r="T28" cm="1">
        <f t="array" ref="T28">_xlfn.IFS(D28="France",1,D28="Germany",2,D28="Spain",3)</f>
        <v>2</v>
      </c>
      <c r="W28" s="13" t="s">
        <v>98</v>
      </c>
      <c r="X28" s="16">
        <v>499</v>
      </c>
    </row>
    <row r="29" spans="1:24" x14ac:dyDescent="0.3">
      <c r="A29">
        <v>28</v>
      </c>
      <c r="B29" t="s">
        <v>14</v>
      </c>
      <c r="C29" s="5">
        <v>574</v>
      </c>
      <c r="D29" t="s">
        <v>24</v>
      </c>
      <c r="E29" t="s">
        <v>25</v>
      </c>
      <c r="F29">
        <v>49</v>
      </c>
      <c r="G29" s="5">
        <v>4</v>
      </c>
      <c r="H29" s="4">
        <v>47828.14</v>
      </c>
      <c r="I29" s="5">
        <v>3</v>
      </c>
      <c r="J29">
        <v>1</v>
      </c>
      <c r="K29">
        <v>0</v>
      </c>
      <c r="L29" s="4">
        <v>129087.2</v>
      </c>
      <c r="M29">
        <v>0</v>
      </c>
      <c r="N29" s="4">
        <f t="shared" si="0"/>
        <v>-1.1193264930476734</v>
      </c>
      <c r="O29" s="4">
        <f t="shared" si="1"/>
        <v>1.1452553553425397</v>
      </c>
      <c r="P29" t="str" cm="1">
        <f t="array" ref="P29">_xlfn.IFS(AND(F29&gt;15,F29&lt;=30), "Youngsters", AND(F29&gt;30,F29&lt;=50), "Adults", AND(F29&gt;50,F29&lt;=70),"Old person", AND(F29&gt;70, F29&lt;92), "Senior Citizens")</f>
        <v>Adults</v>
      </c>
      <c r="Q29" t="str" cm="1">
        <f t="array" ref="Q29">_xlfn.IFS(G29=0,"No Tenure Period",AND(G29&gt;0,G29&lt;=3),"Less Tenure Period",AND(G29&gt;3,G29&lt;=7),"More Tenure Period",AND(G29&gt;7,G29&lt;=10),"Large Tenure Period")</f>
        <v>More Tenure Period</v>
      </c>
      <c r="R29" t="str" cm="1">
        <f t="array" ref="R29">_xlfn.IFS(AND(C29&gt;300,C29&lt;=525),"1 Star",AND(C29&gt;525,C29&lt;=600),"2 Star",AND(C29&gt;600,C29&lt;=700),"3 Star",AND(C29&gt;700,C29&lt;=750),"4 Star",AND(C29&gt;750,C29&lt;=900),"5 Star")</f>
        <v>2 Star</v>
      </c>
      <c r="S29" cm="1">
        <f t="array" ref="S29">_xlfn.IFS(E29="Male",1,E29="Female",2)</f>
        <v>1</v>
      </c>
      <c r="T29" cm="1">
        <f t="array" ref="T29">_xlfn.IFS(D29="France",1,D29="Germany",2,D29="Spain",3)</f>
        <v>1</v>
      </c>
    </row>
    <row r="30" spans="1:24" x14ac:dyDescent="0.3">
      <c r="A30">
        <v>29</v>
      </c>
      <c r="B30" t="s">
        <v>12</v>
      </c>
      <c r="C30" s="5">
        <v>583</v>
      </c>
      <c r="D30" t="s">
        <v>23</v>
      </c>
      <c r="E30" t="s">
        <v>25</v>
      </c>
      <c r="F30">
        <v>55</v>
      </c>
      <c r="G30" s="5">
        <v>10</v>
      </c>
      <c r="H30" s="4">
        <v>137337.07999999999</v>
      </c>
      <c r="I30" s="5">
        <v>2</v>
      </c>
      <c r="J30">
        <v>0</v>
      </c>
      <c r="K30">
        <v>1</v>
      </c>
      <c r="L30" s="4">
        <v>107849.47</v>
      </c>
      <c r="M30">
        <v>1</v>
      </c>
      <c r="N30" s="4">
        <f t="shared" si="0"/>
        <v>0.12432823663517199</v>
      </c>
      <c r="O30" s="4">
        <f t="shared" si="1"/>
        <v>0.62628293689957359</v>
      </c>
      <c r="P30" t="str" cm="1">
        <f t="array" ref="P30">_xlfn.IFS(AND(F30&gt;15,F30&lt;=30), "Youngsters", AND(F30&gt;30,F30&lt;=50), "Adults", AND(F30&gt;50,F30&lt;=70),"Old person", AND(F30&gt;70, F30&lt;92), "Senior Citizens")</f>
        <v>Old person</v>
      </c>
      <c r="Q30" t="str" cm="1">
        <f t="array" ref="Q30">_xlfn.IFS(G30=0,"No Tenure Period",AND(G30&gt;0,G30&lt;=3),"Less Tenure Period",AND(G30&gt;3,G30&lt;=7),"More Tenure Period",AND(G30&gt;7,G30&lt;=10),"Large Tenure Period")</f>
        <v>Large Tenure Period</v>
      </c>
      <c r="R30" t="str" cm="1">
        <f t="array" ref="R30">_xlfn.IFS(AND(C30&gt;300,C30&lt;=525),"1 Star",AND(C30&gt;525,C30&lt;=600),"2 Star",AND(C30&gt;600,C30&lt;=700),"3 Star",AND(C30&gt;700,C30&lt;=750),"4 Star",AND(C30&gt;750,C30&lt;=900),"5 Star")</f>
        <v>2 Star</v>
      </c>
      <c r="S30" cm="1">
        <f t="array" ref="S30">_xlfn.IFS(E30="Male",1,E30="Female",2)</f>
        <v>1</v>
      </c>
      <c r="T30" cm="1">
        <f t="array" ref="T30">_xlfn.IFS(D30="France",1,D30="Germany",2,D30="Spain",3)</f>
        <v>3</v>
      </c>
    </row>
    <row r="31" spans="1:24" x14ac:dyDescent="0.3">
      <c r="A31">
        <v>30</v>
      </c>
      <c r="B31" t="s">
        <v>13</v>
      </c>
      <c r="C31" s="5">
        <v>686</v>
      </c>
      <c r="D31" t="s">
        <v>24</v>
      </c>
      <c r="E31" t="s">
        <v>26</v>
      </c>
      <c r="F31">
        <v>25</v>
      </c>
      <c r="G31" s="5">
        <v>5</v>
      </c>
      <c r="H31" s="4">
        <v>5425.45</v>
      </c>
      <c r="I31" s="5">
        <v>4</v>
      </c>
      <c r="J31">
        <v>1</v>
      </c>
      <c r="K31">
        <v>0</v>
      </c>
      <c r="L31" s="4">
        <v>82220.31</v>
      </c>
      <c r="M31">
        <v>1</v>
      </c>
      <c r="N31" s="4">
        <f t="shared" si="0"/>
        <v>-1.7084777663146287</v>
      </c>
      <c r="O31" s="4">
        <f t="shared" si="1"/>
        <v>3.6238263102089451E-8</v>
      </c>
      <c r="P31" t="str" cm="1">
        <f t="array" ref="P31">_xlfn.IFS(AND(F31&gt;15,F31&lt;=30), "Youngsters", AND(F31&gt;30,F31&lt;=50), "Adults", AND(F31&gt;50,F31&lt;=70),"Old person", AND(F31&gt;70, F31&lt;92), "Senior Citizens")</f>
        <v>Youngsters</v>
      </c>
      <c r="Q31" t="str" cm="1">
        <f t="array" ref="Q31">_xlfn.IFS(G31=0,"No Tenure Period",AND(G31&gt;0,G31&lt;=3),"Less Tenure Period",AND(G31&gt;3,G31&lt;=7),"More Tenure Period",AND(G31&gt;7,G31&lt;=10),"Large Tenure Period")</f>
        <v>More Tenure Period</v>
      </c>
      <c r="R31" t="str" cm="1">
        <f t="array" ref="R31">_xlfn.IFS(AND(C31&gt;300,C31&lt;=525),"1 Star",AND(C31&gt;525,C31&lt;=600),"2 Star",AND(C31&gt;600,C31&lt;=700),"3 Star",AND(C31&gt;700,C31&lt;=750),"4 Star",AND(C31&gt;750,C31&lt;=900),"5 Star")</f>
        <v>3 Star</v>
      </c>
      <c r="S31" cm="1">
        <f t="array" ref="S31">_xlfn.IFS(E31="Male",1,E31="Female",2)</f>
        <v>2</v>
      </c>
      <c r="T31" cm="1">
        <f t="array" ref="T31">_xlfn.IFS(D31="France",1,D31="Germany",2,D31="Spain",3)</f>
        <v>1</v>
      </c>
    </row>
    <row r="32" spans="1:24" x14ac:dyDescent="0.3">
      <c r="A32">
        <v>31</v>
      </c>
      <c r="B32" t="s">
        <v>17</v>
      </c>
      <c r="C32" s="5">
        <v>416</v>
      </c>
      <c r="D32" t="s">
        <v>22</v>
      </c>
      <c r="E32" t="s">
        <v>25</v>
      </c>
      <c r="F32">
        <v>40</v>
      </c>
      <c r="G32" s="5">
        <v>1</v>
      </c>
      <c r="H32" s="4">
        <v>192565.36</v>
      </c>
      <c r="I32" s="5">
        <v>3</v>
      </c>
      <c r="J32">
        <v>0</v>
      </c>
      <c r="K32">
        <v>0</v>
      </c>
      <c r="L32" s="4">
        <v>106833.18</v>
      </c>
      <c r="M32">
        <v>1</v>
      </c>
      <c r="N32" s="4">
        <f t="shared" si="0"/>
        <v>0.89168076739074242</v>
      </c>
      <c r="O32" s="4">
        <f t="shared" si="1"/>
        <v>0.60144852761292167</v>
      </c>
      <c r="P32" t="str" cm="1">
        <f t="array" ref="P32">_xlfn.IFS(AND(F32&gt;15,F32&lt;=30), "Youngsters", AND(F32&gt;30,F32&lt;=50), "Adults", AND(F32&gt;50,F32&lt;=70),"Old person", AND(F32&gt;70, F32&lt;92), "Senior Citizens")</f>
        <v>Adults</v>
      </c>
      <c r="Q32" t="str" cm="1">
        <f t="array" ref="Q32">_xlfn.IFS(G32=0,"No Tenure Period",AND(G32&gt;0,G32&lt;=3),"Less Tenure Period",AND(G32&gt;3,G32&lt;=7),"More Tenure Period",AND(G32&gt;7,G32&lt;=10),"Large Tenure Period")</f>
        <v>Less Tenure Period</v>
      </c>
      <c r="R32" t="str" cm="1">
        <f t="array" ref="R32">_xlfn.IFS(AND(C32&gt;300,C32&lt;=525),"1 Star",AND(C32&gt;525,C32&lt;=600),"2 Star",AND(C32&gt;600,C32&lt;=700),"3 Star",AND(C32&gt;700,C32&lt;=750),"4 Star",AND(C32&gt;750,C32&lt;=900),"5 Star")</f>
        <v>1 Star</v>
      </c>
      <c r="S32" cm="1">
        <f t="array" ref="S32">_xlfn.IFS(E32="Male",1,E32="Female",2)</f>
        <v>1</v>
      </c>
      <c r="T32" cm="1">
        <f t="array" ref="T32">_xlfn.IFS(D32="France",1,D32="Germany",2,D32="Spain",3)</f>
        <v>2</v>
      </c>
    </row>
    <row r="33" spans="1:20" x14ac:dyDescent="0.3">
      <c r="A33">
        <v>32</v>
      </c>
      <c r="B33" t="s">
        <v>14</v>
      </c>
      <c r="C33" s="5">
        <v>806</v>
      </c>
      <c r="D33" t="s">
        <v>23</v>
      </c>
      <c r="E33" t="s">
        <v>26</v>
      </c>
      <c r="F33">
        <v>60</v>
      </c>
      <c r="G33" s="5">
        <v>10</v>
      </c>
      <c r="H33" s="4">
        <v>98142.26</v>
      </c>
      <c r="I33" s="5">
        <v>4</v>
      </c>
      <c r="J33">
        <v>0</v>
      </c>
      <c r="K33">
        <v>1</v>
      </c>
      <c r="L33" s="4">
        <v>88655.49</v>
      </c>
      <c r="M33">
        <v>1</v>
      </c>
      <c r="N33" s="4">
        <f t="shared" si="0"/>
        <v>-0.42025226305645413</v>
      </c>
      <c r="O33" s="4">
        <f t="shared" si="1"/>
        <v>0.1572522909620877</v>
      </c>
      <c r="P33" t="str" cm="1">
        <f t="array" ref="P33">_xlfn.IFS(AND(F33&gt;15,F33&lt;=30), "Youngsters", AND(F33&gt;30,F33&lt;=50), "Adults", AND(F33&gt;50,F33&lt;=70),"Old person", AND(F33&gt;70, F33&lt;92), "Senior Citizens")</f>
        <v>Old person</v>
      </c>
      <c r="Q33" t="str" cm="1">
        <f t="array" ref="Q33">_xlfn.IFS(G33=0,"No Tenure Period",AND(G33&gt;0,G33&lt;=3),"Less Tenure Period",AND(G33&gt;3,G33&lt;=7),"More Tenure Period",AND(G33&gt;7,G33&lt;=10),"Large Tenure Period")</f>
        <v>Large Tenure Period</v>
      </c>
      <c r="R33" t="str" cm="1">
        <f t="array" ref="R33">_xlfn.IFS(AND(C33&gt;300,C33&lt;=525),"1 Star",AND(C33&gt;525,C33&lt;=600),"2 Star",AND(C33&gt;600,C33&lt;=700),"3 Star",AND(C33&gt;700,C33&lt;=750),"4 Star",AND(C33&gt;750,C33&lt;=900),"5 Star")</f>
        <v>5 Star</v>
      </c>
      <c r="S33" cm="1">
        <f t="array" ref="S33">_xlfn.IFS(E33="Male",1,E33="Female",2)</f>
        <v>2</v>
      </c>
      <c r="T33" cm="1">
        <f t="array" ref="T33">_xlfn.IFS(D33="France",1,D33="Germany",2,D33="Spain",3)</f>
        <v>3</v>
      </c>
    </row>
    <row r="34" spans="1:20" x14ac:dyDescent="0.3">
      <c r="A34">
        <v>33</v>
      </c>
      <c r="B34" t="s">
        <v>20</v>
      </c>
      <c r="C34" s="5">
        <v>849</v>
      </c>
      <c r="D34" t="s">
        <v>24</v>
      </c>
      <c r="E34" t="s">
        <v>26</v>
      </c>
      <c r="F34">
        <v>77</v>
      </c>
      <c r="G34" s="5">
        <v>2</v>
      </c>
      <c r="H34" s="4">
        <v>55839.55</v>
      </c>
      <c r="I34" s="5">
        <v>1</v>
      </c>
      <c r="J34">
        <v>1</v>
      </c>
      <c r="K34">
        <v>1</v>
      </c>
      <c r="L34" s="4">
        <v>45305.66</v>
      </c>
      <c r="M34">
        <v>1</v>
      </c>
      <c r="N34" s="4">
        <f t="shared" si="0"/>
        <v>-1.0080143946368505</v>
      </c>
      <c r="O34" s="4">
        <f t="shared" si="1"/>
        <v>-0.90205894965503342</v>
      </c>
      <c r="P34" t="str" cm="1">
        <f t="array" ref="P34">_xlfn.IFS(AND(F34&gt;15,F34&lt;=30), "Youngsters", AND(F34&gt;30,F34&lt;=50), "Adults", AND(F34&gt;50,F34&lt;=70),"Old person", AND(F34&gt;70, F34&lt;92), "Senior Citizens")</f>
        <v>Senior Citizens</v>
      </c>
      <c r="Q34" t="str" cm="1">
        <f t="array" ref="Q34">_xlfn.IFS(G34=0,"No Tenure Period",AND(G34&gt;0,G34&lt;=3),"Less Tenure Period",AND(G34&gt;3,G34&lt;=7),"More Tenure Period",AND(G34&gt;7,G34&lt;=10),"Large Tenure Period")</f>
        <v>Less Tenure Period</v>
      </c>
      <c r="R34" t="str" cm="1">
        <f t="array" ref="R34">_xlfn.IFS(AND(C34&gt;300,C34&lt;=525),"1 Star",AND(C34&gt;525,C34&lt;=600),"2 Star",AND(C34&gt;600,C34&lt;=700),"3 Star",AND(C34&gt;700,C34&lt;=750),"4 Star",AND(C34&gt;750,C34&lt;=900),"5 Star")</f>
        <v>5 Star</v>
      </c>
      <c r="S34" cm="1">
        <f t="array" ref="S34">_xlfn.IFS(E34="Male",1,E34="Female",2)</f>
        <v>2</v>
      </c>
      <c r="T34" cm="1">
        <f t="array" ref="T34">_xlfn.IFS(D34="France",1,D34="Germany",2,D34="Spain",3)</f>
        <v>1</v>
      </c>
    </row>
    <row r="35" spans="1:20" x14ac:dyDescent="0.3">
      <c r="A35">
        <v>34</v>
      </c>
      <c r="B35" t="s">
        <v>21</v>
      </c>
      <c r="C35" s="5">
        <v>475</v>
      </c>
      <c r="D35" t="s">
        <v>23</v>
      </c>
      <c r="E35" t="s">
        <v>25</v>
      </c>
      <c r="F35">
        <v>72</v>
      </c>
      <c r="G35" s="5">
        <v>6</v>
      </c>
      <c r="H35" s="4">
        <v>72899.17</v>
      </c>
      <c r="I35" s="5">
        <v>1</v>
      </c>
      <c r="J35">
        <v>0</v>
      </c>
      <c r="K35">
        <v>0</v>
      </c>
      <c r="L35" s="4">
        <v>90761.77</v>
      </c>
      <c r="M35">
        <v>0</v>
      </c>
      <c r="N35" s="4">
        <f t="shared" si="0"/>
        <v>-0.77098469570854167</v>
      </c>
      <c r="O35" s="4">
        <f t="shared" si="1"/>
        <v>0.20872206788824932</v>
      </c>
      <c r="P35" t="str" cm="1">
        <f t="array" ref="P35">_xlfn.IFS(AND(F35&gt;15,F35&lt;=30), "Youngsters", AND(F35&gt;30,F35&lt;=50), "Adults", AND(F35&gt;50,F35&lt;=70),"Old person", AND(F35&gt;70, F35&lt;92), "Senior Citizens")</f>
        <v>Senior Citizens</v>
      </c>
      <c r="Q35" t="str" cm="1">
        <f t="array" ref="Q35">_xlfn.IFS(G35=0,"No Tenure Period",AND(G35&gt;0,G35&lt;=3),"Less Tenure Period",AND(G35&gt;3,G35&lt;=7),"More Tenure Period",AND(G35&gt;7,G35&lt;=10),"Large Tenure Period")</f>
        <v>More Tenure Period</v>
      </c>
      <c r="R35" t="str" cm="1">
        <f t="array" ref="R35">_xlfn.IFS(AND(C35&gt;300,C35&lt;=525),"1 Star",AND(C35&gt;525,C35&lt;=600),"2 Star",AND(C35&gt;600,C35&lt;=700),"3 Star",AND(C35&gt;700,C35&lt;=750),"4 Star",AND(C35&gt;750,C35&lt;=900),"5 Star")</f>
        <v>1 Star</v>
      </c>
      <c r="S35" cm="1">
        <f t="array" ref="S35">_xlfn.IFS(E35="Male",1,E35="Female",2)</f>
        <v>1</v>
      </c>
      <c r="T35" cm="1">
        <f t="array" ref="T35">_xlfn.IFS(D35="France",1,D35="Germany",2,D35="Spain",3)</f>
        <v>3</v>
      </c>
    </row>
    <row r="36" spans="1:20" x14ac:dyDescent="0.3">
      <c r="A36">
        <v>35</v>
      </c>
      <c r="B36" t="s">
        <v>14</v>
      </c>
      <c r="C36" s="5">
        <v>488</v>
      </c>
      <c r="D36" t="s">
        <v>24</v>
      </c>
      <c r="E36" t="s">
        <v>26</v>
      </c>
      <c r="F36">
        <v>91</v>
      </c>
      <c r="G36" s="5">
        <v>8</v>
      </c>
      <c r="H36" s="4">
        <v>200786.02</v>
      </c>
      <c r="I36" s="5">
        <v>1</v>
      </c>
      <c r="J36">
        <v>0</v>
      </c>
      <c r="K36">
        <v>0</v>
      </c>
      <c r="L36" s="4">
        <v>128936.13</v>
      </c>
      <c r="M36">
        <v>1</v>
      </c>
      <c r="N36" s="4">
        <f t="shared" si="0"/>
        <v>1.0059002262527799</v>
      </c>
      <c r="O36" s="4">
        <f t="shared" si="1"/>
        <v>1.1415637572643</v>
      </c>
      <c r="P36" t="str" cm="1">
        <f t="array" ref="P36">_xlfn.IFS(AND(F36&gt;15,F36&lt;=30), "Youngsters", AND(F36&gt;30,F36&lt;=50), "Adults", AND(F36&gt;50,F36&lt;=70),"Old person", AND(F36&gt;70, F36&lt;92), "Senior Citizens")</f>
        <v>Senior Citizens</v>
      </c>
      <c r="Q36" t="str" cm="1">
        <f t="array" ref="Q36">_xlfn.IFS(G36=0,"No Tenure Period",AND(G36&gt;0,G36&lt;=3),"Less Tenure Period",AND(G36&gt;3,G36&lt;=7),"More Tenure Period",AND(G36&gt;7,G36&lt;=10),"Large Tenure Period")</f>
        <v>Large Tenure Period</v>
      </c>
      <c r="R36" t="str" cm="1">
        <f t="array" ref="R36">_xlfn.IFS(AND(C36&gt;300,C36&lt;=525),"1 Star",AND(C36&gt;525,C36&lt;=600),"2 Star",AND(C36&gt;600,C36&lt;=700),"3 Star",AND(C36&gt;700,C36&lt;=750),"4 Star",AND(C36&gt;750,C36&lt;=900),"5 Star")</f>
        <v>1 Star</v>
      </c>
      <c r="S36" cm="1">
        <f t="array" ref="S36">_xlfn.IFS(E36="Male",1,E36="Female",2)</f>
        <v>2</v>
      </c>
      <c r="T36" cm="1">
        <f t="array" ref="T36">_xlfn.IFS(D36="France",1,D36="Germany",2,D36="Spain",3)</f>
        <v>1</v>
      </c>
    </row>
    <row r="37" spans="1:20" x14ac:dyDescent="0.3">
      <c r="A37">
        <v>36</v>
      </c>
      <c r="B37" t="s">
        <v>14</v>
      </c>
      <c r="C37" s="5">
        <v>462</v>
      </c>
      <c r="D37" t="s">
        <v>22</v>
      </c>
      <c r="E37" t="s">
        <v>25</v>
      </c>
      <c r="F37">
        <v>69</v>
      </c>
      <c r="G37" s="5">
        <v>2</v>
      </c>
      <c r="H37" s="4">
        <v>9295.2900000000009</v>
      </c>
      <c r="I37" s="5">
        <v>3</v>
      </c>
      <c r="J37">
        <v>0</v>
      </c>
      <c r="K37">
        <v>0</v>
      </c>
      <c r="L37" s="4">
        <v>39491.230000000003</v>
      </c>
      <c r="M37">
        <v>1</v>
      </c>
      <c r="N37" s="4">
        <f t="shared" si="0"/>
        <v>-1.6547094520086401</v>
      </c>
      <c r="O37" s="4">
        <f t="shared" si="1"/>
        <v>-1.0441423455248997</v>
      </c>
      <c r="P37" t="str" cm="1">
        <f t="array" ref="P37">_xlfn.IFS(AND(F37&gt;15,F37&lt;=30), "Youngsters", AND(F37&gt;30,F37&lt;=50), "Adults", AND(F37&gt;50,F37&lt;=70),"Old person", AND(F37&gt;70, F37&lt;92), "Senior Citizens")</f>
        <v>Old person</v>
      </c>
      <c r="Q37" t="str" cm="1">
        <f t="array" ref="Q37">_xlfn.IFS(G37=0,"No Tenure Period",AND(G37&gt;0,G37&lt;=3),"Less Tenure Period",AND(G37&gt;3,G37&lt;=7),"More Tenure Period",AND(G37&gt;7,G37&lt;=10),"Large Tenure Period")</f>
        <v>Less Tenure Period</v>
      </c>
      <c r="R37" t="str" cm="1">
        <f t="array" ref="R37">_xlfn.IFS(AND(C37&gt;300,C37&lt;=525),"1 Star",AND(C37&gt;525,C37&lt;=600),"2 Star",AND(C37&gt;600,C37&lt;=700),"3 Star",AND(C37&gt;700,C37&lt;=750),"4 Star",AND(C37&gt;750,C37&lt;=900),"5 Star")</f>
        <v>1 Star</v>
      </c>
      <c r="S37" cm="1">
        <f t="array" ref="S37">_xlfn.IFS(E37="Male",1,E37="Female",2)</f>
        <v>1</v>
      </c>
      <c r="T37" cm="1">
        <f t="array" ref="T37">_xlfn.IFS(D37="France",1,D37="Germany",2,D37="Spain",3)</f>
        <v>2</v>
      </c>
    </row>
    <row r="38" spans="1:20" x14ac:dyDescent="0.3">
      <c r="A38">
        <v>37</v>
      </c>
      <c r="B38" t="s">
        <v>14</v>
      </c>
      <c r="C38" s="5">
        <v>568</v>
      </c>
      <c r="D38" t="s">
        <v>22</v>
      </c>
      <c r="E38" t="s">
        <v>26</v>
      </c>
      <c r="F38">
        <v>41</v>
      </c>
      <c r="G38" s="5">
        <v>10</v>
      </c>
      <c r="H38" s="4">
        <v>192830.21</v>
      </c>
      <c r="I38" s="5">
        <v>2</v>
      </c>
      <c r="J38">
        <v>0</v>
      </c>
      <c r="K38">
        <v>0</v>
      </c>
      <c r="L38" s="4">
        <v>82220.31</v>
      </c>
      <c r="M38">
        <v>0</v>
      </c>
      <c r="N38" s="4">
        <f t="shared" si="0"/>
        <v>0.89536064512313995</v>
      </c>
      <c r="O38" s="4">
        <f t="shared" si="1"/>
        <v>3.6238263102089451E-8</v>
      </c>
      <c r="P38" t="str" cm="1">
        <f t="array" ref="P38">_xlfn.IFS(AND(F38&gt;15,F38&lt;=30), "Youngsters", AND(F38&gt;30,F38&lt;=50), "Adults", AND(F38&gt;50,F38&lt;=70),"Old person", AND(F38&gt;70, F38&lt;92), "Senior Citizens")</f>
        <v>Adults</v>
      </c>
      <c r="Q38" t="str" cm="1">
        <f t="array" ref="Q38">_xlfn.IFS(G38=0,"No Tenure Period",AND(G38&gt;0,G38&lt;=3),"Less Tenure Period",AND(G38&gt;3,G38&lt;=7),"More Tenure Period",AND(G38&gt;7,G38&lt;=10),"Large Tenure Period")</f>
        <v>Large Tenure Period</v>
      </c>
      <c r="R38" t="str" cm="1">
        <f t="array" ref="R38">_xlfn.IFS(AND(C38&gt;300,C38&lt;=525),"1 Star",AND(C38&gt;525,C38&lt;=600),"2 Star",AND(C38&gt;600,C38&lt;=700),"3 Star",AND(C38&gt;700,C38&lt;=750),"4 Star",AND(C38&gt;750,C38&lt;=900),"5 Star")</f>
        <v>2 Star</v>
      </c>
      <c r="S38" cm="1">
        <f t="array" ref="S38">_xlfn.IFS(E38="Male",1,E38="Female",2)</f>
        <v>2</v>
      </c>
      <c r="T38" cm="1">
        <f t="array" ref="T38">_xlfn.IFS(D38="France",1,D38="Germany",2,D38="Spain",3)</f>
        <v>2</v>
      </c>
    </row>
    <row r="39" spans="1:20" x14ac:dyDescent="0.3">
      <c r="A39">
        <v>38</v>
      </c>
      <c r="B39" t="s">
        <v>15</v>
      </c>
      <c r="C39" s="5">
        <v>505</v>
      </c>
      <c r="D39" t="s">
        <v>23</v>
      </c>
      <c r="E39" t="s">
        <v>25</v>
      </c>
      <c r="F39">
        <v>43</v>
      </c>
      <c r="G39" s="5">
        <v>9</v>
      </c>
      <c r="H39" s="4">
        <v>190574.23</v>
      </c>
      <c r="I39" s="5">
        <v>1</v>
      </c>
      <c r="J39">
        <v>1</v>
      </c>
      <c r="K39">
        <v>0</v>
      </c>
      <c r="L39" s="4">
        <v>22363.52</v>
      </c>
      <c r="M39">
        <v>0</v>
      </c>
      <c r="N39" s="4">
        <f t="shared" si="0"/>
        <v>0.8640156174971857</v>
      </c>
      <c r="O39" s="4">
        <f t="shared" si="1"/>
        <v>-1.4626809125511204</v>
      </c>
      <c r="P39" t="str" cm="1">
        <f t="array" ref="P39">_xlfn.IFS(AND(F39&gt;15,F39&lt;=30), "Youngsters", AND(F39&gt;30,F39&lt;=50), "Adults", AND(F39&gt;50,F39&lt;=70),"Old person", AND(F39&gt;70, F39&lt;92), "Senior Citizens")</f>
        <v>Adults</v>
      </c>
      <c r="Q39" t="str" cm="1">
        <f t="array" ref="Q39">_xlfn.IFS(G39=0,"No Tenure Period",AND(G39&gt;0,G39&lt;=3),"Less Tenure Period",AND(G39&gt;3,G39&lt;=7),"More Tenure Period",AND(G39&gt;7,G39&lt;=10),"Large Tenure Period")</f>
        <v>Large Tenure Period</v>
      </c>
      <c r="R39" t="str" cm="1">
        <f t="array" ref="R39">_xlfn.IFS(AND(C39&gt;300,C39&lt;=525),"1 Star",AND(C39&gt;525,C39&lt;=600),"2 Star",AND(C39&gt;600,C39&lt;=700),"3 Star",AND(C39&gt;700,C39&lt;=750),"4 Star",AND(C39&gt;750,C39&lt;=900),"5 Star")</f>
        <v>1 Star</v>
      </c>
      <c r="S39" cm="1">
        <f t="array" ref="S39">_xlfn.IFS(E39="Male",1,E39="Female",2)</f>
        <v>1</v>
      </c>
      <c r="T39" cm="1">
        <f t="array" ref="T39">_xlfn.IFS(D39="France",1,D39="Germany",2,D39="Spain",3)</f>
        <v>3</v>
      </c>
    </row>
    <row r="40" spans="1:20" x14ac:dyDescent="0.3">
      <c r="A40">
        <v>39</v>
      </c>
      <c r="B40" t="s">
        <v>13</v>
      </c>
      <c r="C40" s="5">
        <v>534</v>
      </c>
      <c r="D40" t="s">
        <v>23</v>
      </c>
      <c r="E40" t="s">
        <v>26</v>
      </c>
      <c r="F40">
        <v>75</v>
      </c>
      <c r="G40" s="5">
        <v>9</v>
      </c>
      <c r="H40" s="4">
        <v>20385.3</v>
      </c>
      <c r="I40" s="5">
        <v>1</v>
      </c>
      <c r="J40">
        <v>0</v>
      </c>
      <c r="K40">
        <v>0</v>
      </c>
      <c r="L40" s="4">
        <v>118972.35</v>
      </c>
      <c r="M40">
        <v>1</v>
      </c>
      <c r="N40" s="4">
        <f t="shared" si="0"/>
        <v>-1.5006226827012386</v>
      </c>
      <c r="O40" s="4">
        <f t="shared" si="1"/>
        <v>0.89808542867486707</v>
      </c>
      <c r="P40" t="str" cm="1">
        <f t="array" ref="P40">_xlfn.IFS(AND(F40&gt;15,F40&lt;=30), "Youngsters", AND(F40&gt;30,F40&lt;=50), "Adults", AND(F40&gt;50,F40&lt;=70),"Old person", AND(F40&gt;70, F40&lt;92), "Senior Citizens")</f>
        <v>Senior Citizens</v>
      </c>
      <c r="Q40" t="str" cm="1">
        <f t="array" ref="Q40">_xlfn.IFS(G40=0,"No Tenure Period",AND(G40&gt;0,G40&lt;=3),"Less Tenure Period",AND(G40&gt;3,G40&lt;=7),"More Tenure Period",AND(G40&gt;7,G40&lt;=10),"Large Tenure Period")</f>
        <v>Large Tenure Period</v>
      </c>
      <c r="R40" t="str" cm="1">
        <f t="array" ref="R40">_xlfn.IFS(AND(C40&gt;300,C40&lt;=525),"1 Star",AND(C40&gt;525,C40&lt;=600),"2 Star",AND(C40&gt;600,C40&lt;=700),"3 Star",AND(C40&gt;700,C40&lt;=750),"4 Star",AND(C40&gt;750,C40&lt;=900),"5 Star")</f>
        <v>2 Star</v>
      </c>
      <c r="S40" cm="1">
        <f t="array" ref="S40">_xlfn.IFS(E40="Male",1,E40="Female",2)</f>
        <v>2</v>
      </c>
      <c r="T40" cm="1">
        <f t="array" ref="T40">_xlfn.IFS(D40="France",1,D40="Germany",2,D40="Spain",3)</f>
        <v>3</v>
      </c>
    </row>
    <row r="41" spans="1:20" x14ac:dyDescent="0.3">
      <c r="A41">
        <v>40</v>
      </c>
      <c r="B41" t="s">
        <v>21</v>
      </c>
      <c r="C41" s="5">
        <v>470</v>
      </c>
      <c r="D41" t="s">
        <v>24</v>
      </c>
      <c r="E41" t="s">
        <v>26</v>
      </c>
      <c r="F41">
        <v>87</v>
      </c>
      <c r="G41" s="5">
        <v>5</v>
      </c>
      <c r="H41" s="4">
        <v>207759.1</v>
      </c>
      <c r="I41" s="5">
        <v>4</v>
      </c>
      <c r="J41">
        <v>0</v>
      </c>
      <c r="K41">
        <v>0</v>
      </c>
      <c r="L41" s="4">
        <v>23908.03</v>
      </c>
      <c r="M41">
        <v>0</v>
      </c>
      <c r="N41" s="4">
        <f t="shared" si="0"/>
        <v>1.102785564437512</v>
      </c>
      <c r="O41" s="4">
        <f t="shared" si="1"/>
        <v>-1.4249387390698047</v>
      </c>
      <c r="P41" t="str" cm="1">
        <f t="array" ref="P41">_xlfn.IFS(AND(F41&gt;15,F41&lt;=30), "Youngsters", AND(F41&gt;30,F41&lt;=50), "Adults", AND(F41&gt;50,F41&lt;=70),"Old person", AND(F41&gt;70, F41&lt;92), "Senior Citizens")</f>
        <v>Senior Citizens</v>
      </c>
      <c r="Q41" t="str" cm="1">
        <f t="array" ref="Q41">_xlfn.IFS(G41=0,"No Tenure Period",AND(G41&gt;0,G41&lt;=3),"Less Tenure Period",AND(G41&gt;3,G41&lt;=7),"More Tenure Period",AND(G41&gt;7,G41&lt;=10),"Large Tenure Period")</f>
        <v>More Tenure Period</v>
      </c>
      <c r="R41" t="str" cm="1">
        <f t="array" ref="R41">_xlfn.IFS(AND(C41&gt;300,C41&lt;=525),"1 Star",AND(C41&gt;525,C41&lt;=600),"2 Star",AND(C41&gt;600,C41&lt;=700),"3 Star",AND(C41&gt;700,C41&lt;=750),"4 Star",AND(C41&gt;750,C41&lt;=900),"5 Star")</f>
        <v>1 Star</v>
      </c>
      <c r="S41" cm="1">
        <f t="array" ref="S41">_xlfn.IFS(E41="Male",1,E41="Female",2)</f>
        <v>2</v>
      </c>
      <c r="T41" cm="1">
        <f t="array" ref="T41">_xlfn.IFS(D41="France",1,D41="Germany",2,D41="Spain",3)</f>
        <v>1</v>
      </c>
    </row>
    <row r="42" spans="1:20" x14ac:dyDescent="0.3">
      <c r="A42">
        <v>41</v>
      </c>
      <c r="B42" t="s">
        <v>16</v>
      </c>
      <c r="C42" s="5">
        <v>671</v>
      </c>
      <c r="D42" t="s">
        <v>23</v>
      </c>
      <c r="E42" t="s">
        <v>25</v>
      </c>
      <c r="F42">
        <v>63</v>
      </c>
      <c r="G42" s="5">
        <v>5</v>
      </c>
      <c r="H42" s="4">
        <v>43010.54</v>
      </c>
      <c r="I42" s="5">
        <v>3</v>
      </c>
      <c r="J42">
        <v>0</v>
      </c>
      <c r="K42">
        <v>1</v>
      </c>
      <c r="L42" s="4">
        <v>82220.31</v>
      </c>
      <c r="M42">
        <v>1</v>
      </c>
      <c r="N42" s="4">
        <f t="shared" si="0"/>
        <v>-1.1862631702747757</v>
      </c>
      <c r="O42" s="4">
        <f t="shared" si="1"/>
        <v>3.6238263102089451E-8</v>
      </c>
      <c r="P42" t="str" cm="1">
        <f t="array" ref="P42">_xlfn.IFS(AND(F42&gt;15,F42&lt;=30), "Youngsters", AND(F42&gt;30,F42&lt;=50), "Adults", AND(F42&gt;50,F42&lt;=70),"Old person", AND(F42&gt;70, F42&lt;92), "Senior Citizens")</f>
        <v>Old person</v>
      </c>
      <c r="Q42" t="str" cm="1">
        <f t="array" ref="Q42">_xlfn.IFS(G42=0,"No Tenure Period",AND(G42&gt;0,G42&lt;=3),"Less Tenure Period",AND(G42&gt;3,G42&lt;=7),"More Tenure Period",AND(G42&gt;7,G42&lt;=10),"Large Tenure Period")</f>
        <v>More Tenure Period</v>
      </c>
      <c r="R42" t="str" cm="1">
        <f t="array" ref="R42">_xlfn.IFS(AND(C42&gt;300,C42&lt;=525),"1 Star",AND(C42&gt;525,C42&lt;=600),"2 Star",AND(C42&gt;600,C42&lt;=700),"3 Star",AND(C42&gt;700,C42&lt;=750),"4 Star",AND(C42&gt;750,C42&lt;=900),"5 Star")</f>
        <v>3 Star</v>
      </c>
      <c r="S42" cm="1">
        <f t="array" ref="S42">_xlfn.IFS(E42="Male",1,E42="Female",2)</f>
        <v>1</v>
      </c>
      <c r="T42" cm="1">
        <f t="array" ref="T42">_xlfn.IFS(D42="France",1,D42="Germany",2,D42="Spain",3)</f>
        <v>3</v>
      </c>
    </row>
    <row r="43" spans="1:20" x14ac:dyDescent="0.3">
      <c r="A43">
        <v>42</v>
      </c>
      <c r="B43" t="s">
        <v>16</v>
      </c>
      <c r="C43" s="5">
        <v>798</v>
      </c>
      <c r="D43" t="s">
        <v>22</v>
      </c>
      <c r="E43" t="s">
        <v>25</v>
      </c>
      <c r="F43">
        <v>69</v>
      </c>
      <c r="G43" s="5">
        <v>8</v>
      </c>
      <c r="H43" s="4">
        <v>34108.089999999997</v>
      </c>
      <c r="I43" s="5">
        <v>3</v>
      </c>
      <c r="J43">
        <v>0</v>
      </c>
      <c r="K43">
        <v>0</v>
      </c>
      <c r="L43" s="4">
        <v>81519.78</v>
      </c>
      <c r="M43">
        <v>0</v>
      </c>
      <c r="N43" s="4">
        <f t="shared" si="0"/>
        <v>-1.3099555528263407</v>
      </c>
      <c r="O43" s="4">
        <f t="shared" si="1"/>
        <v>-1.7118353923578609E-2</v>
      </c>
      <c r="P43" t="str" cm="1">
        <f t="array" ref="P43">_xlfn.IFS(AND(F43&gt;15,F43&lt;=30), "Youngsters", AND(F43&gt;30,F43&lt;=50), "Adults", AND(F43&gt;50,F43&lt;=70),"Old person", AND(F43&gt;70, F43&lt;92), "Senior Citizens")</f>
        <v>Old person</v>
      </c>
      <c r="Q43" t="str" cm="1">
        <f t="array" ref="Q43">_xlfn.IFS(G43=0,"No Tenure Period",AND(G43&gt;0,G43&lt;=3),"Less Tenure Period",AND(G43&gt;3,G43&lt;=7),"More Tenure Period",AND(G43&gt;7,G43&lt;=10),"Large Tenure Period")</f>
        <v>Large Tenure Period</v>
      </c>
      <c r="R43" t="str" cm="1">
        <f t="array" ref="R43">_xlfn.IFS(AND(C43&gt;300,C43&lt;=525),"1 Star",AND(C43&gt;525,C43&lt;=600),"2 Star",AND(C43&gt;600,C43&lt;=700),"3 Star",AND(C43&gt;700,C43&lt;=750),"4 Star",AND(C43&gt;750,C43&lt;=900),"5 Star")</f>
        <v>5 Star</v>
      </c>
      <c r="S43" cm="1">
        <f t="array" ref="S43">_xlfn.IFS(E43="Male",1,E43="Female",2)</f>
        <v>1</v>
      </c>
      <c r="T43" cm="1">
        <f t="array" ref="T43">_xlfn.IFS(D43="France",1,D43="Germany",2,D43="Spain",3)</f>
        <v>2</v>
      </c>
    </row>
    <row r="44" spans="1:20" x14ac:dyDescent="0.3">
      <c r="A44">
        <v>43</v>
      </c>
      <c r="B44" t="s">
        <v>13</v>
      </c>
      <c r="C44" s="5">
        <v>547</v>
      </c>
      <c r="D44" t="s">
        <v>22</v>
      </c>
      <c r="E44" t="s">
        <v>26</v>
      </c>
      <c r="F44">
        <v>77</v>
      </c>
      <c r="G44" s="5">
        <v>5</v>
      </c>
      <c r="H44" s="4">
        <v>41600.300000000003</v>
      </c>
      <c r="I44" s="5">
        <v>4</v>
      </c>
      <c r="J44">
        <v>0</v>
      </c>
      <c r="K44">
        <v>0</v>
      </c>
      <c r="L44" s="4">
        <v>48255.32</v>
      </c>
      <c r="M44">
        <v>1</v>
      </c>
      <c r="N44" s="4">
        <f t="shared" si="0"/>
        <v>-1.2058573208254129</v>
      </c>
      <c r="O44" s="4">
        <f t="shared" si="1"/>
        <v>-0.82998005121417007</v>
      </c>
      <c r="P44" t="str" cm="1">
        <f t="array" ref="P44">_xlfn.IFS(AND(F44&gt;15,F44&lt;=30), "Youngsters", AND(F44&gt;30,F44&lt;=50), "Adults", AND(F44&gt;50,F44&lt;=70),"Old person", AND(F44&gt;70, F44&lt;92), "Senior Citizens")</f>
        <v>Senior Citizens</v>
      </c>
      <c r="Q44" t="str" cm="1">
        <f t="array" ref="Q44">_xlfn.IFS(G44=0,"No Tenure Period",AND(G44&gt;0,G44&lt;=3),"Less Tenure Period",AND(G44&gt;3,G44&lt;=7),"More Tenure Period",AND(G44&gt;7,G44&lt;=10),"Large Tenure Period")</f>
        <v>More Tenure Period</v>
      </c>
      <c r="R44" t="str" cm="1">
        <f t="array" ref="R44">_xlfn.IFS(AND(C44&gt;300,C44&lt;=525),"1 Star",AND(C44&gt;525,C44&lt;=600),"2 Star",AND(C44&gt;600,C44&lt;=700),"3 Star",AND(C44&gt;700,C44&lt;=750),"4 Star",AND(C44&gt;750,C44&lt;=900),"5 Star")</f>
        <v>2 Star</v>
      </c>
      <c r="S44" cm="1">
        <f t="array" ref="S44">_xlfn.IFS(E44="Male",1,E44="Female",2)</f>
        <v>2</v>
      </c>
      <c r="T44" cm="1">
        <f t="array" ref="T44">_xlfn.IFS(D44="France",1,D44="Germany",2,D44="Spain",3)</f>
        <v>2</v>
      </c>
    </row>
    <row r="45" spans="1:20" x14ac:dyDescent="0.3">
      <c r="A45">
        <v>44</v>
      </c>
      <c r="B45" t="s">
        <v>18</v>
      </c>
      <c r="C45" s="5">
        <v>694</v>
      </c>
      <c r="D45" t="s">
        <v>22</v>
      </c>
      <c r="E45" t="s">
        <v>25</v>
      </c>
      <c r="F45">
        <v>62</v>
      </c>
      <c r="G45" s="5">
        <v>9</v>
      </c>
      <c r="H45" s="4">
        <v>689.5</v>
      </c>
      <c r="I45" s="5">
        <v>3</v>
      </c>
      <c r="J45">
        <v>0</v>
      </c>
      <c r="K45">
        <v>0</v>
      </c>
      <c r="L45" s="4">
        <v>19803.7</v>
      </c>
      <c r="M45">
        <v>0</v>
      </c>
      <c r="N45" s="4">
        <f t="shared" si="0"/>
        <v>-1.77427998246244</v>
      </c>
      <c r="O45" s="4">
        <f t="shared" si="1"/>
        <v>-1.5252335477046268</v>
      </c>
      <c r="P45" t="str" cm="1">
        <f t="array" ref="P45">_xlfn.IFS(AND(F45&gt;15,F45&lt;=30), "Youngsters", AND(F45&gt;30,F45&lt;=50), "Adults", AND(F45&gt;50,F45&lt;=70),"Old person", AND(F45&gt;70, F45&lt;92), "Senior Citizens")</f>
        <v>Old person</v>
      </c>
      <c r="Q45" t="str" cm="1">
        <f t="array" ref="Q45">_xlfn.IFS(G45=0,"No Tenure Period",AND(G45&gt;0,G45&lt;=3),"Less Tenure Period",AND(G45&gt;3,G45&lt;=7),"More Tenure Period",AND(G45&gt;7,G45&lt;=10),"Large Tenure Period")</f>
        <v>Large Tenure Period</v>
      </c>
      <c r="R45" t="str" cm="1">
        <f t="array" ref="R45">_xlfn.IFS(AND(C45&gt;300,C45&lt;=525),"1 Star",AND(C45&gt;525,C45&lt;=600),"2 Star",AND(C45&gt;600,C45&lt;=700),"3 Star",AND(C45&gt;700,C45&lt;=750),"4 Star",AND(C45&gt;750,C45&lt;=900),"5 Star")</f>
        <v>3 Star</v>
      </c>
      <c r="S45" cm="1">
        <f t="array" ref="S45">_xlfn.IFS(E45="Male",1,E45="Female",2)</f>
        <v>1</v>
      </c>
      <c r="T45" cm="1">
        <f t="array" ref="T45">_xlfn.IFS(D45="France",1,D45="Germany",2,D45="Spain",3)</f>
        <v>2</v>
      </c>
    </row>
    <row r="46" spans="1:20" x14ac:dyDescent="0.3">
      <c r="A46">
        <v>45</v>
      </c>
      <c r="B46" t="s">
        <v>15</v>
      </c>
      <c r="C46" s="5">
        <v>640</v>
      </c>
      <c r="D46" t="s">
        <v>23</v>
      </c>
      <c r="E46" t="s">
        <v>26</v>
      </c>
      <c r="F46">
        <v>44</v>
      </c>
      <c r="G46" s="5">
        <v>1</v>
      </c>
      <c r="H46" s="4">
        <v>133364.17000000001</v>
      </c>
      <c r="I46" s="5">
        <v>4</v>
      </c>
      <c r="J46">
        <v>1</v>
      </c>
      <c r="K46">
        <v>0</v>
      </c>
      <c r="L46" s="4">
        <v>124490.71</v>
      </c>
      <c r="M46">
        <v>0</v>
      </c>
      <c r="N46" s="4">
        <f t="shared" si="0"/>
        <v>6.9127847577897472E-2</v>
      </c>
      <c r="O46" s="4">
        <f t="shared" si="1"/>
        <v>1.0329339569798661</v>
      </c>
      <c r="P46" t="str" cm="1">
        <f t="array" ref="P46">_xlfn.IFS(AND(F46&gt;15,F46&lt;=30), "Youngsters", AND(F46&gt;30,F46&lt;=50), "Adults", AND(F46&gt;50,F46&lt;=70),"Old person", AND(F46&gt;70, F46&lt;92), "Senior Citizens")</f>
        <v>Adults</v>
      </c>
      <c r="Q46" t="str" cm="1">
        <f t="array" ref="Q46">_xlfn.IFS(G46=0,"No Tenure Period",AND(G46&gt;0,G46&lt;=3),"Less Tenure Period",AND(G46&gt;3,G46&lt;=7),"More Tenure Period",AND(G46&gt;7,G46&lt;=10),"Large Tenure Period")</f>
        <v>Less Tenure Period</v>
      </c>
      <c r="R46" t="str" cm="1">
        <f t="array" ref="R46">_xlfn.IFS(AND(C46&gt;300,C46&lt;=525),"1 Star",AND(C46&gt;525,C46&lt;=600),"2 Star",AND(C46&gt;600,C46&lt;=700),"3 Star",AND(C46&gt;700,C46&lt;=750),"4 Star",AND(C46&gt;750,C46&lt;=900),"5 Star")</f>
        <v>3 Star</v>
      </c>
      <c r="S46" cm="1">
        <f t="array" ref="S46">_xlfn.IFS(E46="Male",1,E46="Female",2)</f>
        <v>2</v>
      </c>
      <c r="T46" cm="1">
        <f t="array" ref="T46">_xlfn.IFS(D46="France",1,D46="Germany",2,D46="Spain",3)</f>
        <v>3</v>
      </c>
    </row>
    <row r="47" spans="1:20" x14ac:dyDescent="0.3">
      <c r="A47">
        <v>46</v>
      </c>
      <c r="B47" t="s">
        <v>14</v>
      </c>
      <c r="C47" s="5">
        <v>813</v>
      </c>
      <c r="D47" t="s">
        <v>24</v>
      </c>
      <c r="E47" t="s">
        <v>26</v>
      </c>
      <c r="F47">
        <v>61</v>
      </c>
      <c r="G47" s="5">
        <v>9</v>
      </c>
      <c r="H47" s="4">
        <v>92243.96</v>
      </c>
      <c r="I47" s="5">
        <v>2</v>
      </c>
      <c r="J47">
        <v>0</v>
      </c>
      <c r="K47">
        <v>1</v>
      </c>
      <c r="L47" s="4">
        <v>64920.41</v>
      </c>
      <c r="M47">
        <v>1</v>
      </c>
      <c r="N47" s="4">
        <f t="shared" si="0"/>
        <v>-0.50220439758165702</v>
      </c>
      <c r="O47" s="4">
        <f t="shared" si="1"/>
        <v>-0.42274622439418064</v>
      </c>
      <c r="P47" t="str" cm="1">
        <f t="array" ref="P47">_xlfn.IFS(AND(F47&gt;15,F47&lt;=30), "Youngsters", AND(F47&gt;30,F47&lt;=50), "Adults", AND(F47&gt;50,F47&lt;=70),"Old person", AND(F47&gt;70, F47&lt;92), "Senior Citizens")</f>
        <v>Old person</v>
      </c>
      <c r="Q47" t="str" cm="1">
        <f t="array" ref="Q47">_xlfn.IFS(G47=0,"No Tenure Period",AND(G47&gt;0,G47&lt;=3),"Less Tenure Period",AND(G47&gt;3,G47&lt;=7),"More Tenure Period",AND(G47&gt;7,G47&lt;=10),"Large Tenure Period")</f>
        <v>Large Tenure Period</v>
      </c>
      <c r="R47" t="str" cm="1">
        <f t="array" ref="R47">_xlfn.IFS(AND(C47&gt;300,C47&lt;=525),"1 Star",AND(C47&gt;525,C47&lt;=600),"2 Star",AND(C47&gt;600,C47&lt;=700),"3 Star",AND(C47&gt;700,C47&lt;=750),"4 Star",AND(C47&gt;750,C47&lt;=900),"5 Star")</f>
        <v>5 Star</v>
      </c>
      <c r="S47" cm="1">
        <f t="array" ref="S47">_xlfn.IFS(E47="Male",1,E47="Female",2)</f>
        <v>2</v>
      </c>
      <c r="T47" cm="1">
        <f t="array" ref="T47">_xlfn.IFS(D47="France",1,D47="Germany",2,D47="Spain",3)</f>
        <v>1</v>
      </c>
    </row>
    <row r="48" spans="1:20" x14ac:dyDescent="0.3">
      <c r="A48">
        <v>47</v>
      </c>
      <c r="B48" t="s">
        <v>17</v>
      </c>
      <c r="C48" s="5">
        <v>353</v>
      </c>
      <c r="D48" t="s">
        <v>22</v>
      </c>
      <c r="E48" t="s">
        <v>26</v>
      </c>
      <c r="F48">
        <v>50</v>
      </c>
      <c r="G48" s="5">
        <v>4</v>
      </c>
      <c r="H48" s="4">
        <v>35813.31</v>
      </c>
      <c r="I48" s="5">
        <v>4</v>
      </c>
      <c r="J48">
        <v>0</v>
      </c>
      <c r="K48">
        <v>0</v>
      </c>
      <c r="L48" s="4">
        <v>133876.07999999999</v>
      </c>
      <c r="M48">
        <v>0</v>
      </c>
      <c r="N48" s="4">
        <f t="shared" si="0"/>
        <v>-1.2862628924267225</v>
      </c>
      <c r="O48" s="4">
        <f t="shared" si="1"/>
        <v>1.2622780614054356</v>
      </c>
      <c r="P48" t="str" cm="1">
        <f t="array" ref="P48">_xlfn.IFS(AND(F48&gt;15,F48&lt;=30), "Youngsters", AND(F48&gt;30,F48&lt;=50), "Adults", AND(F48&gt;50,F48&lt;=70),"Old person", AND(F48&gt;70, F48&lt;92), "Senior Citizens")</f>
        <v>Adults</v>
      </c>
      <c r="Q48" t="str" cm="1">
        <f t="array" ref="Q48">_xlfn.IFS(G48=0,"No Tenure Period",AND(G48&gt;0,G48&lt;=3),"Less Tenure Period",AND(G48&gt;3,G48&lt;=7),"More Tenure Period",AND(G48&gt;7,G48&lt;=10),"Large Tenure Period")</f>
        <v>More Tenure Period</v>
      </c>
      <c r="R48" t="str" cm="1">
        <f t="array" ref="R48">_xlfn.IFS(AND(C48&gt;300,C48&lt;=525),"1 Star",AND(C48&gt;525,C48&lt;=600),"2 Star",AND(C48&gt;600,C48&lt;=700),"3 Star",AND(C48&gt;700,C48&lt;=750),"4 Star",AND(C48&gt;750,C48&lt;=900),"5 Star")</f>
        <v>1 Star</v>
      </c>
      <c r="S48" cm="1">
        <f t="array" ref="S48">_xlfn.IFS(E48="Male",1,E48="Female",2)</f>
        <v>2</v>
      </c>
      <c r="T48" cm="1">
        <f t="array" ref="T48">_xlfn.IFS(D48="France",1,D48="Germany",2,D48="Spain",3)</f>
        <v>2</v>
      </c>
    </row>
    <row r="49" spans="1:20" x14ac:dyDescent="0.3">
      <c r="A49">
        <v>48</v>
      </c>
      <c r="B49" t="s">
        <v>15</v>
      </c>
      <c r="C49" s="5">
        <v>538</v>
      </c>
      <c r="D49" t="s">
        <v>22</v>
      </c>
      <c r="E49" t="s">
        <v>26</v>
      </c>
      <c r="F49">
        <v>48</v>
      </c>
      <c r="G49" s="5">
        <v>6</v>
      </c>
      <c r="H49" s="4">
        <v>217182.14</v>
      </c>
      <c r="I49" s="5">
        <v>2</v>
      </c>
      <c r="J49">
        <v>0</v>
      </c>
      <c r="K49">
        <v>1</v>
      </c>
      <c r="L49" s="4">
        <v>110877.22</v>
      </c>
      <c r="M49">
        <v>1</v>
      </c>
      <c r="N49" s="4">
        <f t="shared" si="0"/>
        <v>1.2337111263310014</v>
      </c>
      <c r="O49" s="4">
        <f t="shared" si="1"/>
        <v>0.70027006923154567</v>
      </c>
      <c r="P49" t="str" cm="1">
        <f t="array" ref="P49">_xlfn.IFS(AND(F49&gt;15,F49&lt;=30), "Youngsters", AND(F49&gt;30,F49&lt;=50), "Adults", AND(F49&gt;50,F49&lt;=70),"Old person", AND(F49&gt;70, F49&lt;92), "Senior Citizens")</f>
        <v>Adults</v>
      </c>
      <c r="Q49" t="str" cm="1">
        <f t="array" ref="Q49">_xlfn.IFS(G49=0,"No Tenure Period",AND(G49&gt;0,G49&lt;=3),"Less Tenure Period",AND(G49&gt;3,G49&lt;=7),"More Tenure Period",AND(G49&gt;7,G49&lt;=10),"Large Tenure Period")</f>
        <v>More Tenure Period</v>
      </c>
      <c r="R49" t="str" cm="1">
        <f t="array" ref="R49">_xlfn.IFS(AND(C49&gt;300,C49&lt;=525),"1 Star",AND(C49&gt;525,C49&lt;=600),"2 Star",AND(C49&gt;600,C49&lt;=700),"3 Star",AND(C49&gt;700,C49&lt;=750),"4 Star",AND(C49&gt;750,C49&lt;=900),"5 Star")</f>
        <v>2 Star</v>
      </c>
      <c r="S49" cm="1">
        <f t="array" ref="S49">_xlfn.IFS(E49="Male",1,E49="Female",2)</f>
        <v>2</v>
      </c>
      <c r="T49" cm="1">
        <f t="array" ref="T49">_xlfn.IFS(D49="France",1,D49="Germany",2,D49="Spain",3)</f>
        <v>2</v>
      </c>
    </row>
    <row r="50" spans="1:20" x14ac:dyDescent="0.3">
      <c r="A50">
        <v>49</v>
      </c>
      <c r="B50" t="s">
        <v>17</v>
      </c>
      <c r="C50" s="5">
        <v>588</v>
      </c>
      <c r="D50" t="s">
        <v>23</v>
      </c>
      <c r="E50" t="s">
        <v>26</v>
      </c>
      <c r="F50">
        <v>32</v>
      </c>
      <c r="G50" s="5">
        <v>9</v>
      </c>
      <c r="H50" s="4">
        <v>126550.42</v>
      </c>
      <c r="I50" s="5">
        <v>3</v>
      </c>
      <c r="J50">
        <v>0</v>
      </c>
      <c r="K50">
        <v>1</v>
      </c>
      <c r="L50" s="4">
        <v>21781.599999999999</v>
      </c>
      <c r="M50">
        <v>1</v>
      </c>
      <c r="N50" s="4">
        <f t="shared" si="0"/>
        <v>-2.5543728405199945E-2</v>
      </c>
      <c r="O50" s="4">
        <f t="shared" si="1"/>
        <v>-1.4769009082729012</v>
      </c>
      <c r="P50" t="str" cm="1">
        <f t="array" ref="P50">_xlfn.IFS(AND(F50&gt;15,F50&lt;=30), "Youngsters", AND(F50&gt;30,F50&lt;=50), "Adults", AND(F50&gt;50,F50&lt;=70),"Old person", AND(F50&gt;70, F50&lt;92), "Senior Citizens")</f>
        <v>Adults</v>
      </c>
      <c r="Q50" t="str" cm="1">
        <f t="array" ref="Q50">_xlfn.IFS(G50=0,"No Tenure Period",AND(G50&gt;0,G50&lt;=3),"Less Tenure Period",AND(G50&gt;3,G50&lt;=7),"More Tenure Period",AND(G50&gt;7,G50&lt;=10),"Large Tenure Period")</f>
        <v>Large Tenure Period</v>
      </c>
      <c r="R50" t="str" cm="1">
        <f t="array" ref="R50">_xlfn.IFS(AND(C50&gt;300,C50&lt;=525),"1 Star",AND(C50&gt;525,C50&lt;=600),"2 Star",AND(C50&gt;600,C50&lt;=700),"3 Star",AND(C50&gt;700,C50&lt;=750),"4 Star",AND(C50&gt;750,C50&lt;=900),"5 Star")</f>
        <v>2 Star</v>
      </c>
      <c r="S50" cm="1">
        <f t="array" ref="S50">_xlfn.IFS(E50="Male",1,E50="Female",2)</f>
        <v>2</v>
      </c>
      <c r="T50" cm="1">
        <f t="array" ref="T50">_xlfn.IFS(D50="France",1,D50="Germany",2,D50="Spain",3)</f>
        <v>3</v>
      </c>
    </row>
    <row r="51" spans="1:20" x14ac:dyDescent="0.3">
      <c r="A51">
        <v>50</v>
      </c>
      <c r="B51" t="s">
        <v>13</v>
      </c>
      <c r="C51" s="5">
        <v>515</v>
      </c>
      <c r="D51" t="s">
        <v>23</v>
      </c>
      <c r="E51" t="s">
        <v>25</v>
      </c>
      <c r="F51">
        <v>89</v>
      </c>
      <c r="G51" s="5">
        <v>10</v>
      </c>
      <c r="H51" s="4">
        <v>87177.02</v>
      </c>
      <c r="I51" s="5">
        <v>1</v>
      </c>
      <c r="J51">
        <v>1</v>
      </c>
      <c r="K51">
        <v>1</v>
      </c>
      <c r="L51" s="4">
        <v>118097.5</v>
      </c>
      <c r="M51">
        <v>0</v>
      </c>
      <c r="N51" s="4">
        <f t="shared" si="0"/>
        <v>-0.57260545356577663</v>
      </c>
      <c r="O51" s="4">
        <f t="shared" si="1"/>
        <v>0.87670729549986048</v>
      </c>
      <c r="P51" t="str" cm="1">
        <f t="array" ref="P51">_xlfn.IFS(AND(F51&gt;15,F51&lt;=30), "Youngsters", AND(F51&gt;30,F51&lt;=50), "Adults", AND(F51&gt;50,F51&lt;=70),"Old person", AND(F51&gt;70, F51&lt;92), "Senior Citizens")</f>
        <v>Senior Citizens</v>
      </c>
      <c r="Q51" t="str" cm="1">
        <f t="array" ref="Q51">_xlfn.IFS(G51=0,"No Tenure Period",AND(G51&gt;0,G51&lt;=3),"Less Tenure Period",AND(G51&gt;3,G51&lt;=7),"More Tenure Period",AND(G51&gt;7,G51&lt;=10),"Large Tenure Period")</f>
        <v>Large Tenure Period</v>
      </c>
      <c r="R51" t="str" cm="1">
        <f t="array" ref="R51">_xlfn.IFS(AND(C51&gt;300,C51&lt;=525),"1 Star",AND(C51&gt;525,C51&lt;=600),"2 Star",AND(C51&gt;600,C51&lt;=700),"3 Star",AND(C51&gt;700,C51&lt;=750),"4 Star",AND(C51&gt;750,C51&lt;=900),"5 Star")</f>
        <v>1 Star</v>
      </c>
      <c r="S51" cm="1">
        <f t="array" ref="S51">_xlfn.IFS(E51="Male",1,E51="Female",2)</f>
        <v>1</v>
      </c>
      <c r="T51" cm="1">
        <f t="array" ref="T51">_xlfn.IFS(D51="France",1,D51="Germany",2,D51="Spain",3)</f>
        <v>3</v>
      </c>
    </row>
    <row r="52" spans="1:20" x14ac:dyDescent="0.3">
      <c r="A52">
        <v>51</v>
      </c>
      <c r="B52" t="s">
        <v>13</v>
      </c>
      <c r="C52" s="5">
        <v>521</v>
      </c>
      <c r="D52" t="s">
        <v>23</v>
      </c>
      <c r="E52" t="s">
        <v>25</v>
      </c>
      <c r="F52">
        <v>79</v>
      </c>
      <c r="G52" s="5">
        <v>8</v>
      </c>
      <c r="H52" s="4">
        <v>133180.14000000001</v>
      </c>
      <c r="I52" s="5">
        <v>3</v>
      </c>
      <c r="J52">
        <v>1</v>
      </c>
      <c r="K52">
        <v>1</v>
      </c>
      <c r="L52" s="4">
        <v>125168.23</v>
      </c>
      <c r="M52">
        <v>1</v>
      </c>
      <c r="N52" s="4">
        <f t="shared" si="0"/>
        <v>6.6570898742356208E-2</v>
      </c>
      <c r="O52" s="4">
        <f t="shared" si="1"/>
        <v>1.0494900669286917</v>
      </c>
      <c r="P52" t="str" cm="1">
        <f t="array" ref="P52">_xlfn.IFS(AND(F52&gt;15,F52&lt;=30), "Youngsters", AND(F52&gt;30,F52&lt;=50), "Adults", AND(F52&gt;50,F52&lt;=70),"Old person", AND(F52&gt;70, F52&lt;92), "Senior Citizens")</f>
        <v>Senior Citizens</v>
      </c>
      <c r="Q52" t="str" cm="1">
        <f t="array" ref="Q52">_xlfn.IFS(G52=0,"No Tenure Period",AND(G52&gt;0,G52&lt;=3),"Less Tenure Period",AND(G52&gt;3,G52&lt;=7),"More Tenure Period",AND(G52&gt;7,G52&lt;=10),"Large Tenure Period")</f>
        <v>Large Tenure Period</v>
      </c>
      <c r="R52" t="str" cm="1">
        <f t="array" ref="R52">_xlfn.IFS(AND(C52&gt;300,C52&lt;=525),"1 Star",AND(C52&gt;525,C52&lt;=600),"2 Star",AND(C52&gt;600,C52&lt;=700),"3 Star",AND(C52&gt;700,C52&lt;=750),"4 Star",AND(C52&gt;750,C52&lt;=900),"5 Star")</f>
        <v>1 Star</v>
      </c>
      <c r="S52" cm="1">
        <f t="array" ref="S52">_xlfn.IFS(E52="Male",1,E52="Female",2)</f>
        <v>1</v>
      </c>
      <c r="T52" cm="1">
        <f t="array" ref="T52">_xlfn.IFS(D52="France",1,D52="Germany",2,D52="Spain",3)</f>
        <v>3</v>
      </c>
    </row>
    <row r="53" spans="1:20" x14ac:dyDescent="0.3">
      <c r="A53">
        <v>52</v>
      </c>
      <c r="B53" t="s">
        <v>18</v>
      </c>
      <c r="C53" s="5">
        <v>561</v>
      </c>
      <c r="D53" t="s">
        <v>23</v>
      </c>
      <c r="E53" t="s">
        <v>25</v>
      </c>
      <c r="F53">
        <v>19</v>
      </c>
      <c r="G53" s="5">
        <v>10</v>
      </c>
      <c r="H53" s="4">
        <v>202302.98</v>
      </c>
      <c r="I53" s="5">
        <v>1</v>
      </c>
      <c r="J53">
        <v>1</v>
      </c>
      <c r="K53">
        <v>1</v>
      </c>
      <c r="L53" s="4">
        <v>24025.919999999998</v>
      </c>
      <c r="M53">
        <v>0</v>
      </c>
      <c r="N53" s="4">
        <f t="shared" si="0"/>
        <v>1.0269771653690261</v>
      </c>
      <c r="O53" s="4">
        <f t="shared" si="1"/>
        <v>-1.4220579387954704</v>
      </c>
      <c r="P53" t="str" cm="1">
        <f t="array" ref="P53">_xlfn.IFS(AND(F53&gt;15,F53&lt;=30), "Youngsters", AND(F53&gt;30,F53&lt;=50), "Adults", AND(F53&gt;50,F53&lt;=70),"Old person", AND(F53&gt;70, F53&lt;92), "Senior Citizens")</f>
        <v>Youngsters</v>
      </c>
      <c r="Q53" t="str" cm="1">
        <f t="array" ref="Q53">_xlfn.IFS(G53=0,"No Tenure Period",AND(G53&gt;0,G53&lt;=3),"Less Tenure Period",AND(G53&gt;3,G53&lt;=7),"More Tenure Period",AND(G53&gt;7,G53&lt;=10),"Large Tenure Period")</f>
        <v>Large Tenure Period</v>
      </c>
      <c r="R53" t="str" cm="1">
        <f t="array" ref="R53">_xlfn.IFS(AND(C53&gt;300,C53&lt;=525),"1 Star",AND(C53&gt;525,C53&lt;=600),"2 Star",AND(C53&gt;600,C53&lt;=700),"3 Star",AND(C53&gt;700,C53&lt;=750),"4 Star",AND(C53&gt;750,C53&lt;=900),"5 Star")</f>
        <v>2 Star</v>
      </c>
      <c r="S53" cm="1">
        <f t="array" ref="S53">_xlfn.IFS(E53="Male",1,E53="Female",2)</f>
        <v>1</v>
      </c>
      <c r="T53" cm="1">
        <f t="array" ref="T53">_xlfn.IFS(D53="France",1,D53="Germany",2,D53="Spain",3)</f>
        <v>3</v>
      </c>
    </row>
    <row r="54" spans="1:20" x14ac:dyDescent="0.3">
      <c r="A54">
        <v>53</v>
      </c>
      <c r="B54" t="s">
        <v>12</v>
      </c>
      <c r="C54" s="5">
        <v>694</v>
      </c>
      <c r="D54" t="s">
        <v>24</v>
      </c>
      <c r="E54" t="s">
        <v>26</v>
      </c>
      <c r="F54">
        <v>65</v>
      </c>
      <c r="G54" s="5">
        <v>0</v>
      </c>
      <c r="H54" s="4">
        <v>42733.7</v>
      </c>
      <c r="I54" s="5">
        <v>3</v>
      </c>
      <c r="J54">
        <v>0</v>
      </c>
      <c r="K54">
        <v>1</v>
      </c>
      <c r="L54" s="4">
        <v>103834.77</v>
      </c>
      <c r="M54">
        <v>0</v>
      </c>
      <c r="N54" s="4">
        <f t="shared" si="0"/>
        <v>-1.1901096394136732</v>
      </c>
      <c r="O54" s="4">
        <f t="shared" si="1"/>
        <v>0.52817835753431308</v>
      </c>
      <c r="P54" t="str" cm="1">
        <f t="array" ref="P54">_xlfn.IFS(AND(F54&gt;15,F54&lt;=30), "Youngsters", AND(F54&gt;30,F54&lt;=50), "Adults", AND(F54&gt;50,F54&lt;=70),"Old person", AND(F54&gt;70, F54&lt;92), "Senior Citizens")</f>
        <v>Old person</v>
      </c>
      <c r="Q54" t="str" cm="1">
        <f t="array" ref="Q54">_xlfn.IFS(G54=0,"No Tenure Period",AND(G54&gt;0,G54&lt;=3),"Less Tenure Period",AND(G54&gt;3,G54&lt;=7),"More Tenure Period",AND(G54&gt;7,G54&lt;=10),"Large Tenure Period")</f>
        <v>No Tenure Period</v>
      </c>
      <c r="R54" t="str" cm="1">
        <f t="array" ref="R54">_xlfn.IFS(AND(C54&gt;300,C54&lt;=525),"1 Star",AND(C54&gt;525,C54&lt;=600),"2 Star",AND(C54&gt;600,C54&lt;=700),"3 Star",AND(C54&gt;700,C54&lt;=750),"4 Star",AND(C54&gt;750,C54&lt;=900),"5 Star")</f>
        <v>3 Star</v>
      </c>
      <c r="S54" cm="1">
        <f t="array" ref="S54">_xlfn.IFS(E54="Male",1,E54="Female",2)</f>
        <v>2</v>
      </c>
      <c r="T54" cm="1">
        <f t="array" ref="T54">_xlfn.IFS(D54="France",1,D54="Germany",2,D54="Spain",3)</f>
        <v>1</v>
      </c>
    </row>
    <row r="55" spans="1:20" x14ac:dyDescent="0.3">
      <c r="A55">
        <v>54</v>
      </c>
      <c r="B55" t="s">
        <v>12</v>
      </c>
      <c r="C55" s="5">
        <v>420</v>
      </c>
      <c r="D55" t="s">
        <v>23</v>
      </c>
      <c r="E55" t="s">
        <v>25</v>
      </c>
      <c r="F55">
        <v>61</v>
      </c>
      <c r="G55" s="5">
        <v>5</v>
      </c>
      <c r="H55" s="4">
        <v>216419.15</v>
      </c>
      <c r="I55" s="5">
        <v>4</v>
      </c>
      <c r="J55">
        <v>1</v>
      </c>
      <c r="K55">
        <v>1</v>
      </c>
      <c r="L55" s="4">
        <v>40937.339999999997</v>
      </c>
      <c r="M55">
        <v>1</v>
      </c>
      <c r="N55" s="4">
        <f t="shared" si="0"/>
        <v>1.2231099939502501</v>
      </c>
      <c r="O55" s="4">
        <f t="shared" si="1"/>
        <v>-1.0088047080262332</v>
      </c>
      <c r="P55" t="str" cm="1">
        <f t="array" ref="P55">_xlfn.IFS(AND(F55&gt;15,F55&lt;=30), "Youngsters", AND(F55&gt;30,F55&lt;=50), "Adults", AND(F55&gt;50,F55&lt;=70),"Old person", AND(F55&gt;70, F55&lt;92), "Senior Citizens")</f>
        <v>Old person</v>
      </c>
      <c r="Q55" t="str" cm="1">
        <f t="array" ref="Q55">_xlfn.IFS(G55=0,"No Tenure Period",AND(G55&gt;0,G55&lt;=3),"Less Tenure Period",AND(G55&gt;3,G55&lt;=7),"More Tenure Period",AND(G55&gt;7,G55&lt;=10),"Large Tenure Period")</f>
        <v>More Tenure Period</v>
      </c>
      <c r="R55" t="str" cm="1">
        <f t="array" ref="R55">_xlfn.IFS(AND(C55&gt;300,C55&lt;=525),"1 Star",AND(C55&gt;525,C55&lt;=600),"2 Star",AND(C55&gt;600,C55&lt;=700),"3 Star",AND(C55&gt;700,C55&lt;=750),"4 Star",AND(C55&gt;750,C55&lt;=900),"5 Star")</f>
        <v>1 Star</v>
      </c>
      <c r="S55" cm="1">
        <f t="array" ref="S55">_xlfn.IFS(E55="Male",1,E55="Female",2)</f>
        <v>1</v>
      </c>
      <c r="T55" cm="1">
        <f t="array" ref="T55">_xlfn.IFS(D55="France",1,D55="Germany",2,D55="Spain",3)</f>
        <v>3</v>
      </c>
    </row>
    <row r="56" spans="1:20" x14ac:dyDescent="0.3">
      <c r="A56">
        <v>55</v>
      </c>
      <c r="B56" t="s">
        <v>19</v>
      </c>
      <c r="C56" s="5">
        <v>498</v>
      </c>
      <c r="D56" t="s">
        <v>24</v>
      </c>
      <c r="E56" t="s">
        <v>25</v>
      </c>
      <c r="F56">
        <v>33</v>
      </c>
      <c r="G56" s="5">
        <v>6</v>
      </c>
      <c r="H56" s="4">
        <v>146361.20000000001</v>
      </c>
      <c r="I56" s="5">
        <v>4</v>
      </c>
      <c r="J56">
        <v>0</v>
      </c>
      <c r="K56">
        <v>1</v>
      </c>
      <c r="L56" s="4">
        <v>56949.24</v>
      </c>
      <c r="M56">
        <v>0</v>
      </c>
      <c r="N56" s="4">
        <f t="shared" si="0"/>
        <v>0.24971112597813139</v>
      </c>
      <c r="O56" s="4">
        <f t="shared" si="1"/>
        <v>-0.61753245497155507</v>
      </c>
      <c r="P56" t="str" cm="1">
        <f t="array" ref="P56">_xlfn.IFS(AND(F56&gt;15,F56&lt;=30), "Youngsters", AND(F56&gt;30,F56&lt;=50), "Adults", AND(F56&gt;50,F56&lt;=70),"Old person", AND(F56&gt;70, F56&lt;92), "Senior Citizens")</f>
        <v>Adults</v>
      </c>
      <c r="Q56" t="str" cm="1">
        <f t="array" ref="Q56">_xlfn.IFS(G56=0,"No Tenure Period",AND(G56&gt;0,G56&lt;=3),"Less Tenure Period",AND(G56&gt;3,G56&lt;=7),"More Tenure Period",AND(G56&gt;7,G56&lt;=10),"Large Tenure Period")</f>
        <v>More Tenure Period</v>
      </c>
      <c r="R56" t="str" cm="1">
        <f t="array" ref="R56">_xlfn.IFS(AND(C56&gt;300,C56&lt;=525),"1 Star",AND(C56&gt;525,C56&lt;=600),"2 Star",AND(C56&gt;600,C56&lt;=700),"3 Star",AND(C56&gt;700,C56&lt;=750),"4 Star",AND(C56&gt;750,C56&lt;=900),"5 Star")</f>
        <v>1 Star</v>
      </c>
      <c r="S56" cm="1">
        <f t="array" ref="S56">_xlfn.IFS(E56="Male",1,E56="Female",2)</f>
        <v>1</v>
      </c>
      <c r="T56" cm="1">
        <f t="array" ref="T56">_xlfn.IFS(D56="France",1,D56="Germany",2,D56="Spain",3)</f>
        <v>1</v>
      </c>
    </row>
    <row r="57" spans="1:20" x14ac:dyDescent="0.3">
      <c r="A57">
        <v>56</v>
      </c>
      <c r="B57" t="s">
        <v>20</v>
      </c>
      <c r="C57" s="5">
        <v>740</v>
      </c>
      <c r="D57" t="s">
        <v>24</v>
      </c>
      <c r="E57" t="s">
        <v>25</v>
      </c>
      <c r="F57">
        <v>86</v>
      </c>
      <c r="G57" s="5">
        <v>0</v>
      </c>
      <c r="H57" s="4">
        <v>153882.97</v>
      </c>
      <c r="I57" s="5">
        <v>2</v>
      </c>
      <c r="J57">
        <v>0</v>
      </c>
      <c r="K57">
        <v>1</v>
      </c>
      <c r="L57" s="4">
        <v>29656.959999999999</v>
      </c>
      <c r="M57">
        <v>1</v>
      </c>
      <c r="N57" s="4">
        <f t="shared" si="0"/>
        <v>0.3542200704040907</v>
      </c>
      <c r="O57" s="4">
        <f t="shared" si="1"/>
        <v>-1.2844559235542425</v>
      </c>
      <c r="P57" t="str" cm="1">
        <f t="array" ref="P57">_xlfn.IFS(AND(F57&gt;15,F57&lt;=30), "Youngsters", AND(F57&gt;30,F57&lt;=50), "Adults", AND(F57&gt;50,F57&lt;=70),"Old person", AND(F57&gt;70, F57&lt;92), "Senior Citizens")</f>
        <v>Senior Citizens</v>
      </c>
      <c r="Q57" t="str" cm="1">
        <f t="array" ref="Q57">_xlfn.IFS(G57=0,"No Tenure Period",AND(G57&gt;0,G57&lt;=3),"Less Tenure Period",AND(G57&gt;3,G57&lt;=7),"More Tenure Period",AND(G57&gt;7,G57&lt;=10),"Large Tenure Period")</f>
        <v>No Tenure Period</v>
      </c>
      <c r="R57" t="str" cm="1">
        <f t="array" ref="R57">_xlfn.IFS(AND(C57&gt;300,C57&lt;=525),"1 Star",AND(C57&gt;525,C57&lt;=600),"2 Star",AND(C57&gt;600,C57&lt;=700),"3 Star",AND(C57&gt;700,C57&lt;=750),"4 Star",AND(C57&gt;750,C57&lt;=900),"5 Star")</f>
        <v>4 Star</v>
      </c>
      <c r="S57" cm="1">
        <f t="array" ref="S57">_xlfn.IFS(E57="Male",1,E57="Female",2)</f>
        <v>1</v>
      </c>
      <c r="T57" cm="1">
        <f t="array" ref="T57">_xlfn.IFS(D57="France",1,D57="Germany",2,D57="Spain",3)</f>
        <v>1</v>
      </c>
    </row>
    <row r="58" spans="1:20" x14ac:dyDescent="0.3">
      <c r="A58">
        <v>57</v>
      </c>
      <c r="B58" t="s">
        <v>18</v>
      </c>
      <c r="C58" s="5">
        <v>634</v>
      </c>
      <c r="D58" t="s">
        <v>22</v>
      </c>
      <c r="E58" t="s">
        <v>26</v>
      </c>
      <c r="F58">
        <v>57</v>
      </c>
      <c r="G58" s="5">
        <v>6</v>
      </c>
      <c r="H58" s="4">
        <v>147135.54</v>
      </c>
      <c r="I58" s="5">
        <v>4</v>
      </c>
      <c r="J58">
        <v>1</v>
      </c>
      <c r="K58">
        <v>0</v>
      </c>
      <c r="L58" s="4">
        <v>16131.69</v>
      </c>
      <c r="M58">
        <v>1</v>
      </c>
      <c r="N58" s="4">
        <f t="shared" si="0"/>
        <v>0.26046995748013119</v>
      </c>
      <c r="O58" s="4">
        <f t="shared" si="1"/>
        <v>-1.6149640372742162</v>
      </c>
      <c r="P58" t="str" cm="1">
        <f t="array" ref="P58">_xlfn.IFS(AND(F58&gt;15,F58&lt;=30), "Youngsters", AND(F58&gt;30,F58&lt;=50), "Adults", AND(F58&gt;50,F58&lt;=70),"Old person", AND(F58&gt;70, F58&lt;92), "Senior Citizens")</f>
        <v>Old person</v>
      </c>
      <c r="Q58" t="str" cm="1">
        <f t="array" ref="Q58">_xlfn.IFS(G58=0,"No Tenure Period",AND(G58&gt;0,G58&lt;=3),"Less Tenure Period",AND(G58&gt;3,G58&lt;=7),"More Tenure Period",AND(G58&gt;7,G58&lt;=10),"Large Tenure Period")</f>
        <v>More Tenure Period</v>
      </c>
      <c r="R58" t="str" cm="1">
        <f t="array" ref="R58">_xlfn.IFS(AND(C58&gt;300,C58&lt;=525),"1 Star",AND(C58&gt;525,C58&lt;=600),"2 Star",AND(C58&gt;600,C58&lt;=700),"3 Star",AND(C58&gt;700,C58&lt;=750),"4 Star",AND(C58&gt;750,C58&lt;=900),"5 Star")</f>
        <v>3 Star</v>
      </c>
      <c r="S58" cm="1">
        <f t="array" ref="S58">_xlfn.IFS(E58="Male",1,E58="Female",2)</f>
        <v>2</v>
      </c>
      <c r="T58" cm="1">
        <f t="array" ref="T58">_xlfn.IFS(D58="France",1,D58="Germany",2,D58="Spain",3)</f>
        <v>2</v>
      </c>
    </row>
    <row r="59" spans="1:20" x14ac:dyDescent="0.3">
      <c r="A59">
        <v>58</v>
      </c>
      <c r="B59" t="s">
        <v>21</v>
      </c>
      <c r="C59" s="5">
        <v>465</v>
      </c>
      <c r="D59" t="s">
        <v>22</v>
      </c>
      <c r="E59" t="s">
        <v>25</v>
      </c>
      <c r="F59">
        <v>18</v>
      </c>
      <c r="G59" s="5">
        <v>0</v>
      </c>
      <c r="H59" s="4">
        <v>55329.78</v>
      </c>
      <c r="I59" s="5">
        <v>1</v>
      </c>
      <c r="J59">
        <v>0</v>
      </c>
      <c r="K59">
        <v>0</v>
      </c>
      <c r="L59" s="4">
        <v>130050.9</v>
      </c>
      <c r="M59">
        <v>1</v>
      </c>
      <c r="N59" s="4">
        <f t="shared" si="0"/>
        <v>-1.0150972387812502</v>
      </c>
      <c r="O59" s="4">
        <f t="shared" si="1"/>
        <v>1.1688046574409037</v>
      </c>
      <c r="P59" t="str" cm="1">
        <f t="array" ref="P59">_xlfn.IFS(AND(F59&gt;15,F59&lt;=30), "Youngsters", AND(F59&gt;30,F59&lt;=50), "Adults", AND(F59&gt;50,F59&lt;=70),"Old person", AND(F59&gt;70, F59&lt;92), "Senior Citizens")</f>
        <v>Youngsters</v>
      </c>
      <c r="Q59" t="str" cm="1">
        <f t="array" ref="Q59">_xlfn.IFS(G59=0,"No Tenure Period",AND(G59&gt;0,G59&lt;=3),"Less Tenure Period",AND(G59&gt;3,G59&lt;=7),"More Tenure Period",AND(G59&gt;7,G59&lt;=10),"Large Tenure Period")</f>
        <v>No Tenure Period</v>
      </c>
      <c r="R59" t="str" cm="1">
        <f t="array" ref="R59">_xlfn.IFS(AND(C59&gt;300,C59&lt;=525),"1 Star",AND(C59&gt;525,C59&lt;=600),"2 Star",AND(C59&gt;600,C59&lt;=700),"3 Star",AND(C59&gt;700,C59&lt;=750),"4 Star",AND(C59&gt;750,C59&lt;=900),"5 Star")</f>
        <v>1 Star</v>
      </c>
      <c r="S59" cm="1">
        <f t="array" ref="S59">_xlfn.IFS(E59="Male",1,E59="Female",2)</f>
        <v>1</v>
      </c>
      <c r="T59" cm="1">
        <f t="array" ref="T59">_xlfn.IFS(D59="France",1,D59="Germany",2,D59="Spain",3)</f>
        <v>2</v>
      </c>
    </row>
    <row r="60" spans="1:20" x14ac:dyDescent="0.3">
      <c r="A60">
        <v>59</v>
      </c>
      <c r="B60" t="s">
        <v>18</v>
      </c>
      <c r="C60" s="5">
        <v>740</v>
      </c>
      <c r="D60" t="s">
        <v>23</v>
      </c>
      <c r="E60" t="s">
        <v>25</v>
      </c>
      <c r="F60">
        <v>76</v>
      </c>
      <c r="G60" s="5">
        <v>6</v>
      </c>
      <c r="H60" s="4">
        <v>46184.63</v>
      </c>
      <c r="I60" s="5">
        <v>4</v>
      </c>
      <c r="J60">
        <v>0</v>
      </c>
      <c r="K60">
        <v>1</v>
      </c>
      <c r="L60" s="4">
        <v>140603.54</v>
      </c>
      <c r="M60">
        <v>0</v>
      </c>
      <c r="N60" s="4">
        <f t="shared" si="0"/>
        <v>-1.1421617426303525</v>
      </c>
      <c r="O60" s="4">
        <f t="shared" si="1"/>
        <v>1.42667256996065</v>
      </c>
      <c r="P60" t="str" cm="1">
        <f t="array" ref="P60">_xlfn.IFS(AND(F60&gt;15,F60&lt;=30), "Youngsters", AND(F60&gt;30,F60&lt;=50), "Adults", AND(F60&gt;50,F60&lt;=70),"Old person", AND(F60&gt;70, F60&lt;92), "Senior Citizens")</f>
        <v>Senior Citizens</v>
      </c>
      <c r="Q60" t="str" cm="1">
        <f t="array" ref="Q60">_xlfn.IFS(G60=0,"No Tenure Period",AND(G60&gt;0,G60&lt;=3),"Less Tenure Period",AND(G60&gt;3,G60&lt;=7),"More Tenure Period",AND(G60&gt;7,G60&lt;=10),"Large Tenure Period")</f>
        <v>More Tenure Period</v>
      </c>
      <c r="R60" t="str" cm="1">
        <f t="array" ref="R60">_xlfn.IFS(AND(C60&gt;300,C60&lt;=525),"1 Star",AND(C60&gt;525,C60&lt;=600),"2 Star",AND(C60&gt;600,C60&lt;=700),"3 Star",AND(C60&gt;700,C60&lt;=750),"4 Star",AND(C60&gt;750,C60&lt;=900),"5 Star")</f>
        <v>4 Star</v>
      </c>
      <c r="S60" cm="1">
        <f t="array" ref="S60">_xlfn.IFS(E60="Male",1,E60="Female",2)</f>
        <v>1</v>
      </c>
      <c r="T60" cm="1">
        <f t="array" ref="T60">_xlfn.IFS(D60="France",1,D60="Germany",2,D60="Spain",3)</f>
        <v>3</v>
      </c>
    </row>
    <row r="61" spans="1:20" x14ac:dyDescent="0.3">
      <c r="A61">
        <v>60</v>
      </c>
      <c r="B61" t="s">
        <v>16</v>
      </c>
      <c r="C61" s="5">
        <v>672</v>
      </c>
      <c r="D61" t="s">
        <v>22</v>
      </c>
      <c r="E61" t="s">
        <v>25</v>
      </c>
      <c r="F61">
        <v>30</v>
      </c>
      <c r="G61" s="5">
        <v>7</v>
      </c>
      <c r="H61" s="4">
        <v>119338.08</v>
      </c>
      <c r="I61" s="5">
        <v>2</v>
      </c>
      <c r="J61">
        <v>0</v>
      </c>
      <c r="K61">
        <v>1</v>
      </c>
      <c r="L61" s="4">
        <v>111048.16</v>
      </c>
      <c r="M61">
        <v>1</v>
      </c>
      <c r="N61" s="4">
        <f t="shared" si="0"/>
        <v>-0.12575339185424503</v>
      </c>
      <c r="O61" s="4">
        <f t="shared" si="1"/>
        <v>0.70444721741116001</v>
      </c>
      <c r="P61" t="str" cm="1">
        <f t="array" ref="P61">_xlfn.IFS(AND(F61&gt;15,F61&lt;=30), "Youngsters", AND(F61&gt;30,F61&lt;=50), "Adults", AND(F61&gt;50,F61&lt;=70),"Old person", AND(F61&gt;70, F61&lt;92), "Senior Citizens")</f>
        <v>Youngsters</v>
      </c>
      <c r="Q61" t="str" cm="1">
        <f t="array" ref="Q61">_xlfn.IFS(G61=0,"No Tenure Period",AND(G61&gt;0,G61&lt;=3),"Less Tenure Period",AND(G61&gt;3,G61&lt;=7),"More Tenure Period",AND(G61&gt;7,G61&lt;=10),"Large Tenure Period")</f>
        <v>More Tenure Period</v>
      </c>
      <c r="R61" t="str" cm="1">
        <f t="array" ref="R61">_xlfn.IFS(AND(C61&gt;300,C61&lt;=525),"1 Star",AND(C61&gt;525,C61&lt;=600),"2 Star",AND(C61&gt;600,C61&lt;=700),"3 Star",AND(C61&gt;700,C61&lt;=750),"4 Star",AND(C61&gt;750,C61&lt;=900),"5 Star")</f>
        <v>3 Star</v>
      </c>
      <c r="S61" cm="1">
        <f t="array" ref="S61">_xlfn.IFS(E61="Male",1,E61="Female",2)</f>
        <v>1</v>
      </c>
      <c r="T61" cm="1">
        <f t="array" ref="T61">_xlfn.IFS(D61="France",1,D61="Germany",2,D61="Spain",3)</f>
        <v>2</v>
      </c>
    </row>
    <row r="62" spans="1:20" x14ac:dyDescent="0.3">
      <c r="A62">
        <v>61</v>
      </c>
      <c r="B62" t="s">
        <v>20</v>
      </c>
      <c r="C62" s="5">
        <v>442</v>
      </c>
      <c r="D62" t="s">
        <v>24</v>
      </c>
      <c r="E62" t="s">
        <v>26</v>
      </c>
      <c r="F62">
        <v>61</v>
      </c>
      <c r="G62" s="5">
        <v>1</v>
      </c>
      <c r="H62" s="4">
        <v>89085.68</v>
      </c>
      <c r="I62" s="5">
        <v>1</v>
      </c>
      <c r="J62">
        <v>1</v>
      </c>
      <c r="K62">
        <v>1</v>
      </c>
      <c r="L62" s="4">
        <v>33012.78</v>
      </c>
      <c r="M62">
        <v>0</v>
      </c>
      <c r="N62" s="4">
        <f t="shared" si="0"/>
        <v>-0.54608615799198867</v>
      </c>
      <c r="O62" s="4">
        <f t="shared" si="1"/>
        <v>-1.2024519607362165</v>
      </c>
      <c r="P62" t="str" cm="1">
        <f t="array" ref="P62">_xlfn.IFS(AND(F62&gt;15,F62&lt;=30), "Youngsters", AND(F62&gt;30,F62&lt;=50), "Adults", AND(F62&gt;50,F62&lt;=70),"Old person", AND(F62&gt;70, F62&lt;92), "Senior Citizens")</f>
        <v>Old person</v>
      </c>
      <c r="Q62" t="str" cm="1">
        <f t="array" ref="Q62">_xlfn.IFS(G62=0,"No Tenure Period",AND(G62&gt;0,G62&lt;=3),"Less Tenure Period",AND(G62&gt;3,G62&lt;=7),"More Tenure Period",AND(G62&gt;7,G62&lt;=10),"Large Tenure Period")</f>
        <v>Less Tenure Period</v>
      </c>
      <c r="R62" t="str" cm="1">
        <f t="array" ref="R62">_xlfn.IFS(AND(C62&gt;300,C62&lt;=525),"1 Star",AND(C62&gt;525,C62&lt;=600),"2 Star",AND(C62&gt;600,C62&lt;=700),"3 Star",AND(C62&gt;700,C62&lt;=750),"4 Star",AND(C62&gt;750,C62&lt;=900),"5 Star")</f>
        <v>1 Star</v>
      </c>
      <c r="S62" cm="1">
        <f t="array" ref="S62">_xlfn.IFS(E62="Male",1,E62="Female",2)</f>
        <v>2</v>
      </c>
      <c r="T62" cm="1">
        <f t="array" ref="T62">_xlfn.IFS(D62="France",1,D62="Germany",2,D62="Spain",3)</f>
        <v>1</v>
      </c>
    </row>
    <row r="63" spans="1:20" x14ac:dyDescent="0.3">
      <c r="A63">
        <v>62</v>
      </c>
      <c r="B63" t="s">
        <v>21</v>
      </c>
      <c r="C63" s="5">
        <v>826</v>
      </c>
      <c r="D63" t="s">
        <v>23</v>
      </c>
      <c r="E63" t="s">
        <v>25</v>
      </c>
      <c r="F63">
        <v>72</v>
      </c>
      <c r="G63" s="5">
        <v>1</v>
      </c>
      <c r="H63" s="4">
        <v>60209.09</v>
      </c>
      <c r="I63" s="5">
        <v>1</v>
      </c>
      <c r="J63">
        <v>0</v>
      </c>
      <c r="K63">
        <v>0</v>
      </c>
      <c r="L63" s="4">
        <v>10127.81</v>
      </c>
      <c r="M63">
        <v>1</v>
      </c>
      <c r="N63" s="4">
        <f t="shared" si="0"/>
        <v>-0.94730315073720905</v>
      </c>
      <c r="O63" s="4">
        <f t="shared" si="1"/>
        <v>-1.761676898000921</v>
      </c>
      <c r="P63" t="str" cm="1">
        <f t="array" ref="P63">_xlfn.IFS(AND(F63&gt;15,F63&lt;=30), "Youngsters", AND(F63&gt;30,F63&lt;=50), "Adults", AND(F63&gt;50,F63&lt;=70),"Old person", AND(F63&gt;70, F63&lt;92), "Senior Citizens")</f>
        <v>Senior Citizens</v>
      </c>
      <c r="Q63" t="str" cm="1">
        <f t="array" ref="Q63">_xlfn.IFS(G63=0,"No Tenure Period",AND(G63&gt;0,G63&lt;=3),"Less Tenure Period",AND(G63&gt;3,G63&lt;=7),"More Tenure Period",AND(G63&gt;7,G63&lt;=10),"Large Tenure Period")</f>
        <v>Less Tenure Period</v>
      </c>
      <c r="R63" t="str" cm="1">
        <f t="array" ref="R63">_xlfn.IFS(AND(C63&gt;300,C63&lt;=525),"1 Star",AND(C63&gt;525,C63&lt;=600),"2 Star",AND(C63&gt;600,C63&lt;=700),"3 Star",AND(C63&gt;700,C63&lt;=750),"4 Star",AND(C63&gt;750,C63&lt;=900),"5 Star")</f>
        <v>5 Star</v>
      </c>
      <c r="S63" cm="1">
        <f t="array" ref="S63">_xlfn.IFS(E63="Male",1,E63="Female",2)</f>
        <v>1</v>
      </c>
      <c r="T63" cm="1">
        <f t="array" ref="T63">_xlfn.IFS(D63="France",1,D63="Germany",2,D63="Spain",3)</f>
        <v>3</v>
      </c>
    </row>
    <row r="64" spans="1:20" x14ac:dyDescent="0.3">
      <c r="A64">
        <v>63</v>
      </c>
      <c r="B64" t="s">
        <v>21</v>
      </c>
      <c r="C64" s="5">
        <v>452</v>
      </c>
      <c r="D64" t="s">
        <v>23</v>
      </c>
      <c r="E64" t="s">
        <v>26</v>
      </c>
      <c r="F64">
        <v>65</v>
      </c>
      <c r="G64" s="5">
        <v>5</v>
      </c>
      <c r="H64" s="4">
        <v>145317.32</v>
      </c>
      <c r="I64" s="5">
        <v>3</v>
      </c>
      <c r="J64">
        <v>0</v>
      </c>
      <c r="K64">
        <v>0</v>
      </c>
      <c r="L64" s="4">
        <v>60885.4</v>
      </c>
      <c r="M64">
        <v>1</v>
      </c>
      <c r="N64" s="4">
        <f t="shared" si="0"/>
        <v>0.23520725296587883</v>
      </c>
      <c r="O64" s="4">
        <f t="shared" si="1"/>
        <v>-0.52134710585098198</v>
      </c>
      <c r="P64" t="str" cm="1">
        <f t="array" ref="P64">_xlfn.IFS(AND(F64&gt;15,F64&lt;=30), "Youngsters", AND(F64&gt;30,F64&lt;=50), "Adults", AND(F64&gt;50,F64&lt;=70),"Old person", AND(F64&gt;70, F64&lt;92), "Senior Citizens")</f>
        <v>Old person</v>
      </c>
      <c r="Q64" t="str" cm="1">
        <f t="array" ref="Q64">_xlfn.IFS(G64=0,"No Tenure Period",AND(G64&gt;0,G64&lt;=3),"Less Tenure Period",AND(G64&gt;3,G64&lt;=7),"More Tenure Period",AND(G64&gt;7,G64&lt;=10),"Large Tenure Period")</f>
        <v>More Tenure Period</v>
      </c>
      <c r="R64" t="str" cm="1">
        <f t="array" ref="R64">_xlfn.IFS(AND(C64&gt;300,C64&lt;=525),"1 Star",AND(C64&gt;525,C64&lt;=600),"2 Star",AND(C64&gt;600,C64&lt;=700),"3 Star",AND(C64&gt;700,C64&lt;=750),"4 Star",AND(C64&gt;750,C64&lt;=900),"5 Star")</f>
        <v>1 Star</v>
      </c>
      <c r="S64" cm="1">
        <f t="array" ref="S64">_xlfn.IFS(E64="Male",1,E64="Female",2)</f>
        <v>2</v>
      </c>
      <c r="T64" cm="1">
        <f t="array" ref="T64">_xlfn.IFS(D64="France",1,D64="Germany",2,D64="Spain",3)</f>
        <v>3</v>
      </c>
    </row>
    <row r="65" spans="1:20" x14ac:dyDescent="0.3">
      <c r="A65">
        <v>64</v>
      </c>
      <c r="B65" t="s">
        <v>15</v>
      </c>
      <c r="C65" s="5">
        <v>707</v>
      </c>
      <c r="D65" t="s">
        <v>23</v>
      </c>
      <c r="E65" t="s">
        <v>26</v>
      </c>
      <c r="F65">
        <v>40</v>
      </c>
      <c r="G65" s="5">
        <v>0</v>
      </c>
      <c r="H65" s="4">
        <v>214046.15</v>
      </c>
      <c r="I65" s="5">
        <v>1</v>
      </c>
      <c r="J65">
        <v>0</v>
      </c>
      <c r="K65">
        <v>1</v>
      </c>
      <c r="L65" s="4">
        <v>86343.96</v>
      </c>
      <c r="M65">
        <v>0</v>
      </c>
      <c r="N65" s="4">
        <f t="shared" si="0"/>
        <v>1.1901390675429282</v>
      </c>
      <c r="O65" s="4">
        <f t="shared" si="1"/>
        <v>0.10076695498675187</v>
      </c>
      <c r="P65" t="str" cm="1">
        <f t="array" ref="P65">_xlfn.IFS(AND(F65&gt;15,F65&lt;=30), "Youngsters", AND(F65&gt;30,F65&lt;=50), "Adults", AND(F65&gt;50,F65&lt;=70),"Old person", AND(F65&gt;70, F65&lt;92), "Senior Citizens")</f>
        <v>Adults</v>
      </c>
      <c r="Q65" t="str" cm="1">
        <f t="array" ref="Q65">_xlfn.IFS(G65=0,"No Tenure Period",AND(G65&gt;0,G65&lt;=3),"Less Tenure Period",AND(G65&gt;3,G65&lt;=7),"More Tenure Period",AND(G65&gt;7,G65&lt;=10),"Large Tenure Period")</f>
        <v>No Tenure Period</v>
      </c>
      <c r="R65" t="str" cm="1">
        <f t="array" ref="R65">_xlfn.IFS(AND(C65&gt;300,C65&lt;=525),"1 Star",AND(C65&gt;525,C65&lt;=600),"2 Star",AND(C65&gt;600,C65&lt;=700),"3 Star",AND(C65&gt;700,C65&lt;=750),"4 Star",AND(C65&gt;750,C65&lt;=900),"5 Star")</f>
        <v>4 Star</v>
      </c>
      <c r="S65" cm="1">
        <f t="array" ref="S65">_xlfn.IFS(E65="Male",1,E65="Female",2)</f>
        <v>2</v>
      </c>
      <c r="T65" cm="1">
        <f t="array" ref="T65">_xlfn.IFS(D65="France",1,D65="Germany",2,D65="Spain",3)</f>
        <v>3</v>
      </c>
    </row>
    <row r="66" spans="1:20" x14ac:dyDescent="0.3">
      <c r="A66">
        <v>65</v>
      </c>
      <c r="B66" t="s">
        <v>16</v>
      </c>
      <c r="C66" s="5">
        <v>729</v>
      </c>
      <c r="D66" t="s">
        <v>23</v>
      </c>
      <c r="E66" t="s">
        <v>25</v>
      </c>
      <c r="F66">
        <v>49</v>
      </c>
      <c r="G66" s="5">
        <v>6</v>
      </c>
      <c r="H66" s="4">
        <v>139224.43</v>
      </c>
      <c r="I66" s="5">
        <v>4</v>
      </c>
      <c r="J66">
        <v>1</v>
      </c>
      <c r="K66">
        <v>1</v>
      </c>
      <c r="L66" s="4">
        <v>68374.880000000005</v>
      </c>
      <c r="M66">
        <v>1</v>
      </c>
      <c r="N66" s="4">
        <f t="shared" ref="N66:N129" si="2">(H66-$X$4)/$X$7</f>
        <v>0.15055144689849234</v>
      </c>
      <c r="O66" s="4">
        <f t="shared" ref="O66:O129" si="3">(L66-$Y$5)/$Y$8</f>
        <v>-0.33833161650818366</v>
      </c>
      <c r="P66" t="str" cm="1">
        <f t="array" ref="P66">_xlfn.IFS(AND(F66&gt;15,F66&lt;=30), "Youngsters", AND(F66&gt;30,F66&lt;=50), "Adults", AND(F66&gt;50,F66&lt;=70),"Old person", AND(F66&gt;70, F66&lt;92), "Senior Citizens")</f>
        <v>Adults</v>
      </c>
      <c r="Q66" t="str" cm="1">
        <f t="array" ref="Q66">_xlfn.IFS(G66=0,"No Tenure Period",AND(G66&gt;0,G66&lt;=3),"Less Tenure Period",AND(G66&gt;3,G66&lt;=7),"More Tenure Period",AND(G66&gt;7,G66&lt;=10),"Large Tenure Period")</f>
        <v>More Tenure Period</v>
      </c>
      <c r="R66" t="str" cm="1">
        <f t="array" ref="R66">_xlfn.IFS(AND(C66&gt;300,C66&lt;=525),"1 Star",AND(C66&gt;525,C66&lt;=600),"2 Star",AND(C66&gt;600,C66&lt;=700),"3 Star",AND(C66&gt;700,C66&lt;=750),"4 Star",AND(C66&gt;750,C66&lt;=900),"5 Star")</f>
        <v>4 Star</v>
      </c>
      <c r="S66" cm="1">
        <f t="array" ref="S66">_xlfn.IFS(E66="Male",1,E66="Female",2)</f>
        <v>1</v>
      </c>
      <c r="T66" cm="1">
        <f t="array" ref="T66">_xlfn.IFS(D66="France",1,D66="Germany",2,D66="Spain",3)</f>
        <v>3</v>
      </c>
    </row>
    <row r="67" spans="1:20" x14ac:dyDescent="0.3">
      <c r="A67">
        <v>66</v>
      </c>
      <c r="B67" t="s">
        <v>16</v>
      </c>
      <c r="C67" s="5">
        <v>547</v>
      </c>
      <c r="D67" t="s">
        <v>22</v>
      </c>
      <c r="E67" t="s">
        <v>26</v>
      </c>
      <c r="F67">
        <v>52</v>
      </c>
      <c r="G67" s="5">
        <v>4</v>
      </c>
      <c r="H67" s="4">
        <v>226630.81</v>
      </c>
      <c r="I67" s="5">
        <v>3</v>
      </c>
      <c r="J67">
        <v>0</v>
      </c>
      <c r="K67">
        <v>0</v>
      </c>
      <c r="L67" s="4">
        <v>103458.26</v>
      </c>
      <c r="M67">
        <v>0</v>
      </c>
      <c r="N67" s="4">
        <f t="shared" si="2"/>
        <v>1.3649927964604029</v>
      </c>
      <c r="O67" s="4">
        <f t="shared" si="3"/>
        <v>0.51897783067631242</v>
      </c>
      <c r="P67" t="str" cm="1">
        <f t="array" ref="P67">_xlfn.IFS(AND(F67&gt;15,F67&lt;=30), "Youngsters", AND(F67&gt;30,F67&lt;=50), "Adults", AND(F67&gt;50,F67&lt;=70),"Old person", AND(F67&gt;70, F67&lt;92), "Senior Citizens")</f>
        <v>Old person</v>
      </c>
      <c r="Q67" t="str" cm="1">
        <f t="array" ref="Q67">_xlfn.IFS(G67=0,"No Tenure Period",AND(G67&gt;0,G67&lt;=3),"Less Tenure Period",AND(G67&gt;3,G67&lt;=7),"More Tenure Period",AND(G67&gt;7,G67&lt;=10),"Large Tenure Period")</f>
        <v>More Tenure Period</v>
      </c>
      <c r="R67" t="str" cm="1">
        <f t="array" ref="R67">_xlfn.IFS(AND(C67&gt;300,C67&lt;=525),"1 Star",AND(C67&gt;525,C67&lt;=600),"2 Star",AND(C67&gt;600,C67&lt;=700),"3 Star",AND(C67&gt;700,C67&lt;=750),"4 Star",AND(C67&gt;750,C67&lt;=900),"5 Star")</f>
        <v>2 Star</v>
      </c>
      <c r="S67" cm="1">
        <f t="array" ref="S67">_xlfn.IFS(E67="Male",1,E67="Female",2)</f>
        <v>2</v>
      </c>
      <c r="T67" cm="1">
        <f t="array" ref="T67">_xlfn.IFS(D67="France",1,D67="Germany",2,D67="Spain",3)</f>
        <v>2</v>
      </c>
    </row>
    <row r="68" spans="1:20" x14ac:dyDescent="0.3">
      <c r="A68">
        <v>67</v>
      </c>
      <c r="B68" t="s">
        <v>14</v>
      </c>
      <c r="C68" s="5">
        <v>459</v>
      </c>
      <c r="D68" t="s">
        <v>23</v>
      </c>
      <c r="E68" t="s">
        <v>25</v>
      </c>
      <c r="F68">
        <v>60</v>
      </c>
      <c r="G68" s="5">
        <v>10</v>
      </c>
      <c r="H68" s="4">
        <v>179198.75</v>
      </c>
      <c r="I68" s="5">
        <v>2</v>
      </c>
      <c r="J68">
        <v>1</v>
      </c>
      <c r="K68">
        <v>1</v>
      </c>
      <c r="L68" s="4">
        <v>48970.879999999997</v>
      </c>
      <c r="M68">
        <v>1</v>
      </c>
      <c r="N68" s="4">
        <f t="shared" si="2"/>
        <v>0.70596247214195496</v>
      </c>
      <c r="O68" s="4">
        <f t="shared" si="3"/>
        <v>-0.81249438284278352</v>
      </c>
      <c r="P68" t="str" cm="1">
        <f t="array" ref="P68">_xlfn.IFS(AND(F68&gt;15,F68&lt;=30), "Youngsters", AND(F68&gt;30,F68&lt;=50), "Adults", AND(F68&gt;50,F68&lt;=70),"Old person", AND(F68&gt;70, F68&lt;92), "Senior Citizens")</f>
        <v>Old person</v>
      </c>
      <c r="Q68" t="str" cm="1">
        <f t="array" ref="Q68">_xlfn.IFS(G68=0,"No Tenure Period",AND(G68&gt;0,G68&lt;=3),"Less Tenure Period",AND(G68&gt;3,G68&lt;=7),"More Tenure Period",AND(G68&gt;7,G68&lt;=10),"Large Tenure Period")</f>
        <v>Large Tenure Period</v>
      </c>
      <c r="R68" t="str" cm="1">
        <f t="array" ref="R68">_xlfn.IFS(AND(C68&gt;300,C68&lt;=525),"1 Star",AND(C68&gt;525,C68&lt;=600),"2 Star",AND(C68&gt;600,C68&lt;=700),"3 Star",AND(C68&gt;700,C68&lt;=750),"4 Star",AND(C68&gt;750,C68&lt;=900),"5 Star")</f>
        <v>1 Star</v>
      </c>
      <c r="S68" cm="1">
        <f t="array" ref="S68">_xlfn.IFS(E68="Male",1,E68="Female",2)</f>
        <v>1</v>
      </c>
      <c r="T68" cm="1">
        <f t="array" ref="T68">_xlfn.IFS(D68="France",1,D68="Germany",2,D68="Spain",3)</f>
        <v>3</v>
      </c>
    </row>
    <row r="69" spans="1:20" x14ac:dyDescent="0.3">
      <c r="A69">
        <v>68</v>
      </c>
      <c r="B69" t="s">
        <v>19</v>
      </c>
      <c r="C69" s="5">
        <v>679</v>
      </c>
      <c r="D69" t="s">
        <v>24</v>
      </c>
      <c r="E69" t="s">
        <v>26</v>
      </c>
      <c r="F69">
        <v>86</v>
      </c>
      <c r="G69" s="5">
        <v>4</v>
      </c>
      <c r="H69" s="4">
        <v>225109.32</v>
      </c>
      <c r="I69" s="5">
        <v>3</v>
      </c>
      <c r="J69">
        <v>1</v>
      </c>
      <c r="K69">
        <v>0</v>
      </c>
      <c r="L69" s="4">
        <v>50593.37</v>
      </c>
      <c r="M69">
        <v>0</v>
      </c>
      <c r="N69" s="4">
        <f t="shared" si="2"/>
        <v>1.343852916637615</v>
      </c>
      <c r="O69" s="4">
        <f t="shared" si="3"/>
        <v>-0.77284666346790065</v>
      </c>
      <c r="P69" t="str" cm="1">
        <f t="array" ref="P69">_xlfn.IFS(AND(F69&gt;15,F69&lt;=30), "Youngsters", AND(F69&gt;30,F69&lt;=50), "Adults", AND(F69&gt;50,F69&lt;=70),"Old person", AND(F69&gt;70, F69&lt;92), "Senior Citizens")</f>
        <v>Senior Citizens</v>
      </c>
      <c r="Q69" t="str" cm="1">
        <f t="array" ref="Q69">_xlfn.IFS(G69=0,"No Tenure Period",AND(G69&gt;0,G69&lt;=3),"Less Tenure Period",AND(G69&gt;3,G69&lt;=7),"More Tenure Period",AND(G69&gt;7,G69&lt;=10),"Large Tenure Period")</f>
        <v>More Tenure Period</v>
      </c>
      <c r="R69" t="str" cm="1">
        <f t="array" ref="R69">_xlfn.IFS(AND(C69&gt;300,C69&lt;=525),"1 Star",AND(C69&gt;525,C69&lt;=600),"2 Star",AND(C69&gt;600,C69&lt;=700),"3 Star",AND(C69&gt;700,C69&lt;=750),"4 Star",AND(C69&gt;750,C69&lt;=900),"5 Star")</f>
        <v>3 Star</v>
      </c>
      <c r="S69" cm="1">
        <f t="array" ref="S69">_xlfn.IFS(E69="Male",1,E69="Female",2)</f>
        <v>2</v>
      </c>
      <c r="T69" cm="1">
        <f t="array" ref="T69">_xlfn.IFS(D69="France",1,D69="Germany",2,D69="Spain",3)</f>
        <v>1</v>
      </c>
    </row>
    <row r="70" spans="1:20" x14ac:dyDescent="0.3">
      <c r="A70">
        <v>70</v>
      </c>
      <c r="B70" t="s">
        <v>17</v>
      </c>
      <c r="C70" s="5">
        <v>532</v>
      </c>
      <c r="D70" t="s">
        <v>22</v>
      </c>
      <c r="E70" t="s">
        <v>25</v>
      </c>
      <c r="F70">
        <v>54</v>
      </c>
      <c r="G70" s="5">
        <v>7</v>
      </c>
      <c r="H70" s="4">
        <v>146834.15</v>
      </c>
      <c r="I70" s="5">
        <v>2</v>
      </c>
      <c r="J70">
        <v>1</v>
      </c>
      <c r="K70">
        <v>1</v>
      </c>
      <c r="L70" s="4">
        <v>99812.42</v>
      </c>
      <c r="M70">
        <v>1</v>
      </c>
      <c r="N70" s="4">
        <f t="shared" si="2"/>
        <v>0.25628238583668272</v>
      </c>
      <c r="O70" s="4">
        <f t="shared" si="3"/>
        <v>0.42988684015820611</v>
      </c>
      <c r="P70" t="str" cm="1">
        <f t="array" ref="P70">_xlfn.IFS(AND(F70&gt;15,F70&lt;=30), "Youngsters", AND(F70&gt;30,F70&lt;=50), "Adults", AND(F70&gt;50,F70&lt;=70),"Old person", AND(F70&gt;70, F70&lt;92), "Senior Citizens")</f>
        <v>Old person</v>
      </c>
      <c r="Q70" t="str" cm="1">
        <f t="array" ref="Q70">_xlfn.IFS(G70=0,"No Tenure Period",AND(G70&gt;0,G70&lt;=3),"Less Tenure Period",AND(G70&gt;3,G70&lt;=7),"More Tenure Period",AND(G70&gt;7,G70&lt;=10),"Large Tenure Period")</f>
        <v>More Tenure Period</v>
      </c>
      <c r="R70" t="str" cm="1">
        <f t="array" ref="R70">_xlfn.IFS(AND(C70&gt;300,C70&lt;=525),"1 Star",AND(C70&gt;525,C70&lt;=600),"2 Star",AND(C70&gt;600,C70&lt;=700),"3 Star",AND(C70&gt;700,C70&lt;=750),"4 Star",AND(C70&gt;750,C70&lt;=900),"5 Star")</f>
        <v>2 Star</v>
      </c>
      <c r="S70" cm="1">
        <f t="array" ref="S70">_xlfn.IFS(E70="Male",1,E70="Female",2)</f>
        <v>1</v>
      </c>
      <c r="T70" cm="1">
        <f t="array" ref="T70">_xlfn.IFS(D70="France",1,D70="Germany",2,D70="Spain",3)</f>
        <v>2</v>
      </c>
    </row>
    <row r="71" spans="1:20" x14ac:dyDescent="0.3">
      <c r="A71">
        <v>71</v>
      </c>
      <c r="B71" t="s">
        <v>13</v>
      </c>
      <c r="C71" s="5">
        <v>683</v>
      </c>
      <c r="D71" t="s">
        <v>24</v>
      </c>
      <c r="E71" t="s">
        <v>26</v>
      </c>
      <c r="F71">
        <v>62</v>
      </c>
      <c r="G71" s="5">
        <v>2</v>
      </c>
      <c r="H71" s="4">
        <v>88669.440000000002</v>
      </c>
      <c r="I71" s="5">
        <v>3</v>
      </c>
      <c r="J71">
        <v>1</v>
      </c>
      <c r="K71">
        <v>0</v>
      </c>
      <c r="L71" s="4">
        <v>128437.74</v>
      </c>
      <c r="M71">
        <v>1</v>
      </c>
      <c r="N71" s="4">
        <f t="shared" si="2"/>
        <v>-0.55186947801212494</v>
      </c>
      <c r="O71" s="4">
        <f t="shared" si="3"/>
        <v>1.1293849291302296</v>
      </c>
      <c r="P71" t="str" cm="1">
        <f t="array" ref="P71">_xlfn.IFS(AND(F71&gt;15,F71&lt;=30), "Youngsters", AND(F71&gt;30,F71&lt;=50), "Adults", AND(F71&gt;50,F71&lt;=70),"Old person", AND(F71&gt;70, F71&lt;92), "Senior Citizens")</f>
        <v>Old person</v>
      </c>
      <c r="Q71" t="str" cm="1">
        <f t="array" ref="Q71">_xlfn.IFS(G71=0,"No Tenure Period",AND(G71&gt;0,G71&lt;=3),"Less Tenure Period",AND(G71&gt;3,G71&lt;=7),"More Tenure Period",AND(G71&gt;7,G71&lt;=10),"Large Tenure Period")</f>
        <v>Less Tenure Period</v>
      </c>
      <c r="R71" t="str" cm="1">
        <f t="array" ref="R71">_xlfn.IFS(AND(C71&gt;300,C71&lt;=525),"1 Star",AND(C71&gt;525,C71&lt;=600),"2 Star",AND(C71&gt;600,C71&lt;=700),"3 Star",AND(C71&gt;700,C71&lt;=750),"4 Star",AND(C71&gt;750,C71&lt;=900),"5 Star")</f>
        <v>3 Star</v>
      </c>
      <c r="S71" cm="1">
        <f t="array" ref="S71">_xlfn.IFS(E71="Male",1,E71="Female",2)</f>
        <v>2</v>
      </c>
      <c r="T71" cm="1">
        <f t="array" ref="T71">_xlfn.IFS(D71="France",1,D71="Germany",2,D71="Spain",3)</f>
        <v>1</v>
      </c>
    </row>
    <row r="72" spans="1:20" x14ac:dyDescent="0.3">
      <c r="A72">
        <v>72</v>
      </c>
      <c r="B72" t="s">
        <v>14</v>
      </c>
      <c r="C72" s="5">
        <v>755</v>
      </c>
      <c r="D72" t="s">
        <v>22</v>
      </c>
      <c r="E72" t="s">
        <v>25</v>
      </c>
      <c r="F72">
        <v>88</v>
      </c>
      <c r="G72" s="5">
        <v>1</v>
      </c>
      <c r="H72" s="4">
        <v>185926.28</v>
      </c>
      <c r="I72" s="5">
        <v>1</v>
      </c>
      <c r="J72">
        <v>1</v>
      </c>
      <c r="K72">
        <v>0</v>
      </c>
      <c r="L72" s="4">
        <v>138274.03</v>
      </c>
      <c r="M72">
        <v>1</v>
      </c>
      <c r="N72" s="4">
        <f t="shared" si="2"/>
        <v>0.79943609057139042</v>
      </c>
      <c r="O72" s="4">
        <f t="shared" si="3"/>
        <v>1.3697478685689721</v>
      </c>
      <c r="P72" t="str" cm="1">
        <f t="array" ref="P72">_xlfn.IFS(AND(F72&gt;15,F72&lt;=30), "Youngsters", AND(F72&gt;30,F72&lt;=50), "Adults", AND(F72&gt;50,F72&lt;=70),"Old person", AND(F72&gt;70, F72&lt;92), "Senior Citizens")</f>
        <v>Senior Citizens</v>
      </c>
      <c r="Q72" t="str" cm="1">
        <f t="array" ref="Q72">_xlfn.IFS(G72=0,"No Tenure Period",AND(G72&gt;0,G72&lt;=3),"Less Tenure Period",AND(G72&gt;3,G72&lt;=7),"More Tenure Period",AND(G72&gt;7,G72&lt;=10),"Large Tenure Period")</f>
        <v>Less Tenure Period</v>
      </c>
      <c r="R72" t="str" cm="1">
        <f t="array" ref="R72">_xlfn.IFS(AND(C72&gt;300,C72&lt;=525),"1 Star",AND(C72&gt;525,C72&lt;=600),"2 Star",AND(C72&gt;600,C72&lt;=700),"3 Star",AND(C72&gt;700,C72&lt;=750),"4 Star",AND(C72&gt;750,C72&lt;=900),"5 Star")</f>
        <v>5 Star</v>
      </c>
      <c r="S72" cm="1">
        <f t="array" ref="S72">_xlfn.IFS(E72="Male",1,E72="Female",2)</f>
        <v>1</v>
      </c>
      <c r="T72" cm="1">
        <f t="array" ref="T72">_xlfn.IFS(D72="France",1,D72="Germany",2,D72="Spain",3)</f>
        <v>2</v>
      </c>
    </row>
    <row r="73" spans="1:20" x14ac:dyDescent="0.3">
      <c r="A73">
        <v>73</v>
      </c>
      <c r="B73" t="s">
        <v>12</v>
      </c>
      <c r="C73" s="5">
        <v>509</v>
      </c>
      <c r="D73" t="s">
        <v>22</v>
      </c>
      <c r="E73" t="s">
        <v>26</v>
      </c>
      <c r="F73">
        <v>24</v>
      </c>
      <c r="G73" s="5">
        <v>4</v>
      </c>
      <c r="H73" s="4">
        <v>112469.92</v>
      </c>
      <c r="I73" s="5">
        <v>4</v>
      </c>
      <c r="J73">
        <v>0</v>
      </c>
      <c r="K73">
        <v>0</v>
      </c>
      <c r="L73" s="4">
        <v>92201.91</v>
      </c>
      <c r="M73">
        <v>0</v>
      </c>
      <c r="N73" s="4">
        <f t="shared" si="2"/>
        <v>-0.22118095102563662</v>
      </c>
      <c r="O73" s="4">
        <f t="shared" si="3"/>
        <v>0.24391382042943208</v>
      </c>
      <c r="P73" t="str" cm="1">
        <f t="array" ref="P73">_xlfn.IFS(AND(F73&gt;15,F73&lt;=30), "Youngsters", AND(F73&gt;30,F73&lt;=50), "Adults", AND(F73&gt;50,F73&lt;=70),"Old person", AND(F73&gt;70, F73&lt;92), "Senior Citizens")</f>
        <v>Youngsters</v>
      </c>
      <c r="Q73" t="str" cm="1">
        <f t="array" ref="Q73">_xlfn.IFS(G73=0,"No Tenure Period",AND(G73&gt;0,G73&lt;=3),"Less Tenure Period",AND(G73&gt;3,G73&lt;=7),"More Tenure Period",AND(G73&gt;7,G73&lt;=10),"Large Tenure Period")</f>
        <v>More Tenure Period</v>
      </c>
      <c r="R73" t="str" cm="1">
        <f t="array" ref="R73">_xlfn.IFS(AND(C73&gt;300,C73&lt;=525),"1 Star",AND(C73&gt;525,C73&lt;=600),"2 Star",AND(C73&gt;600,C73&lt;=700),"3 Star",AND(C73&gt;700,C73&lt;=750),"4 Star",AND(C73&gt;750,C73&lt;=900),"5 Star")</f>
        <v>1 Star</v>
      </c>
      <c r="S73" cm="1">
        <f t="array" ref="S73">_xlfn.IFS(E73="Male",1,E73="Female",2)</f>
        <v>2</v>
      </c>
      <c r="T73" cm="1">
        <f t="array" ref="T73">_xlfn.IFS(D73="France",1,D73="Germany",2,D73="Spain",3)</f>
        <v>2</v>
      </c>
    </row>
    <row r="74" spans="1:20" x14ac:dyDescent="0.3">
      <c r="A74">
        <v>74</v>
      </c>
      <c r="B74" t="s">
        <v>16</v>
      </c>
      <c r="C74" s="5">
        <v>431</v>
      </c>
      <c r="D74" t="s">
        <v>22</v>
      </c>
      <c r="E74" t="s">
        <v>25</v>
      </c>
      <c r="F74">
        <v>66</v>
      </c>
      <c r="G74" s="5">
        <v>9</v>
      </c>
      <c r="H74" s="4">
        <v>103045.29</v>
      </c>
      <c r="I74" s="5">
        <v>2</v>
      </c>
      <c r="J74">
        <v>1</v>
      </c>
      <c r="K74">
        <v>0</v>
      </c>
      <c r="L74" s="4">
        <v>36831.440000000002</v>
      </c>
      <c r="M74">
        <v>0</v>
      </c>
      <c r="N74" s="4">
        <f t="shared" si="2"/>
        <v>-0.35212860469029672</v>
      </c>
      <c r="O74" s="4">
        <f t="shared" si="3"/>
        <v>-1.109137881716876</v>
      </c>
      <c r="P74" t="str" cm="1">
        <f t="array" ref="P74">_xlfn.IFS(AND(F74&gt;15,F74&lt;=30), "Youngsters", AND(F74&gt;30,F74&lt;=50), "Adults", AND(F74&gt;50,F74&lt;=70),"Old person", AND(F74&gt;70, F74&lt;92), "Senior Citizens")</f>
        <v>Old person</v>
      </c>
      <c r="Q74" t="str" cm="1">
        <f t="array" ref="Q74">_xlfn.IFS(G74=0,"No Tenure Period",AND(G74&gt;0,G74&lt;=3),"Less Tenure Period",AND(G74&gt;3,G74&lt;=7),"More Tenure Period",AND(G74&gt;7,G74&lt;=10),"Large Tenure Period")</f>
        <v>Large Tenure Period</v>
      </c>
      <c r="R74" t="str" cm="1">
        <f t="array" ref="R74">_xlfn.IFS(AND(C74&gt;300,C74&lt;=525),"1 Star",AND(C74&gt;525,C74&lt;=600),"2 Star",AND(C74&gt;600,C74&lt;=700),"3 Star",AND(C74&gt;700,C74&lt;=750),"4 Star",AND(C74&gt;750,C74&lt;=900),"5 Star")</f>
        <v>1 Star</v>
      </c>
      <c r="S74" cm="1">
        <f t="array" ref="S74">_xlfn.IFS(E74="Male",1,E74="Female",2)</f>
        <v>1</v>
      </c>
      <c r="T74" cm="1">
        <f t="array" ref="T74">_xlfn.IFS(D74="France",1,D74="Germany",2,D74="Spain",3)</f>
        <v>2</v>
      </c>
    </row>
    <row r="75" spans="1:20" x14ac:dyDescent="0.3">
      <c r="A75">
        <v>75</v>
      </c>
      <c r="B75" t="s">
        <v>18</v>
      </c>
      <c r="C75" s="5">
        <v>385</v>
      </c>
      <c r="D75" t="s">
        <v>22</v>
      </c>
      <c r="E75" t="s">
        <v>26</v>
      </c>
      <c r="F75">
        <v>27</v>
      </c>
      <c r="G75" s="5">
        <v>8</v>
      </c>
      <c r="H75" s="4">
        <v>35744.699999999997</v>
      </c>
      <c r="I75" s="5">
        <v>1</v>
      </c>
      <c r="J75">
        <v>0</v>
      </c>
      <c r="K75">
        <v>1</v>
      </c>
      <c r="L75" s="4">
        <v>67445.009999999995</v>
      </c>
      <c r="M75">
        <v>0</v>
      </c>
      <c r="N75" s="4">
        <f t="shared" si="2"/>
        <v>-1.2872161731940241</v>
      </c>
      <c r="O75" s="4">
        <f t="shared" si="3"/>
        <v>-0.36105423718080576</v>
      </c>
      <c r="P75" t="str" cm="1">
        <f t="array" ref="P75">_xlfn.IFS(AND(F75&gt;15,F75&lt;=30), "Youngsters", AND(F75&gt;30,F75&lt;=50), "Adults", AND(F75&gt;50,F75&lt;=70),"Old person", AND(F75&gt;70, F75&lt;92), "Senior Citizens")</f>
        <v>Youngsters</v>
      </c>
      <c r="Q75" t="str" cm="1">
        <f t="array" ref="Q75">_xlfn.IFS(G75=0,"No Tenure Period",AND(G75&gt;0,G75&lt;=3),"Less Tenure Period",AND(G75&gt;3,G75&lt;=7),"More Tenure Period",AND(G75&gt;7,G75&lt;=10),"Large Tenure Period")</f>
        <v>Large Tenure Period</v>
      </c>
      <c r="R75" t="str" cm="1">
        <f t="array" ref="R75">_xlfn.IFS(AND(C75&gt;300,C75&lt;=525),"1 Star",AND(C75&gt;525,C75&lt;=600),"2 Star",AND(C75&gt;600,C75&lt;=700),"3 Star",AND(C75&gt;700,C75&lt;=750),"4 Star",AND(C75&gt;750,C75&lt;=900),"5 Star")</f>
        <v>1 Star</v>
      </c>
      <c r="S75" cm="1">
        <f t="array" ref="S75">_xlfn.IFS(E75="Male",1,E75="Female",2)</f>
        <v>2</v>
      </c>
      <c r="T75" cm="1">
        <f t="array" ref="T75">_xlfn.IFS(D75="France",1,D75="Germany",2,D75="Spain",3)</f>
        <v>2</v>
      </c>
    </row>
    <row r="76" spans="1:20" x14ac:dyDescent="0.3">
      <c r="A76">
        <v>76</v>
      </c>
      <c r="B76" t="s">
        <v>18</v>
      </c>
      <c r="C76" s="5">
        <v>587</v>
      </c>
      <c r="D76" t="s">
        <v>23</v>
      </c>
      <c r="E76" t="s">
        <v>26</v>
      </c>
      <c r="F76">
        <v>46</v>
      </c>
      <c r="G76" s="5">
        <v>4</v>
      </c>
      <c r="H76" s="4">
        <v>88638.62</v>
      </c>
      <c r="I76" s="5">
        <v>2</v>
      </c>
      <c r="J76">
        <v>1</v>
      </c>
      <c r="K76">
        <v>0</v>
      </c>
      <c r="L76" s="4">
        <v>60075.81</v>
      </c>
      <c r="M76">
        <v>0</v>
      </c>
      <c r="N76" s="4">
        <f t="shared" si="2"/>
        <v>-0.55229769712374488</v>
      </c>
      <c r="O76" s="4">
        <f t="shared" si="3"/>
        <v>-0.54113052339359335</v>
      </c>
      <c r="P76" t="str" cm="1">
        <f t="array" ref="P76">_xlfn.IFS(AND(F76&gt;15,F76&lt;=30), "Youngsters", AND(F76&gt;30,F76&lt;=50), "Adults", AND(F76&gt;50,F76&lt;=70),"Old person", AND(F76&gt;70, F76&lt;92), "Senior Citizens")</f>
        <v>Adults</v>
      </c>
      <c r="Q76" t="str" cm="1">
        <f t="array" ref="Q76">_xlfn.IFS(G76=0,"No Tenure Period",AND(G76&gt;0,G76&lt;=3),"Less Tenure Period",AND(G76&gt;3,G76&lt;=7),"More Tenure Period",AND(G76&gt;7,G76&lt;=10),"Large Tenure Period")</f>
        <v>More Tenure Period</v>
      </c>
      <c r="R76" t="str" cm="1">
        <f t="array" ref="R76">_xlfn.IFS(AND(C76&gt;300,C76&lt;=525),"1 Star",AND(C76&gt;525,C76&lt;=600),"2 Star",AND(C76&gt;600,C76&lt;=700),"3 Star",AND(C76&gt;700,C76&lt;=750),"4 Star",AND(C76&gt;750,C76&lt;=900),"5 Star")</f>
        <v>2 Star</v>
      </c>
      <c r="S76" cm="1">
        <f t="array" ref="S76">_xlfn.IFS(E76="Male",1,E76="Female",2)</f>
        <v>2</v>
      </c>
      <c r="T76" cm="1">
        <f t="array" ref="T76">_xlfn.IFS(D76="France",1,D76="Germany",2,D76="Spain",3)</f>
        <v>3</v>
      </c>
    </row>
    <row r="77" spans="1:20" x14ac:dyDescent="0.3">
      <c r="A77">
        <v>77</v>
      </c>
      <c r="B77" t="s">
        <v>19</v>
      </c>
      <c r="C77" s="5">
        <v>593</v>
      </c>
      <c r="D77" t="s">
        <v>22</v>
      </c>
      <c r="E77" t="s">
        <v>26</v>
      </c>
      <c r="F77">
        <v>74</v>
      </c>
      <c r="G77" s="5">
        <v>4</v>
      </c>
      <c r="H77" s="4">
        <v>166950.85999999999</v>
      </c>
      <c r="I77" s="5">
        <v>4</v>
      </c>
      <c r="J77">
        <v>1</v>
      </c>
      <c r="K77">
        <v>1</v>
      </c>
      <c r="L77" s="4">
        <v>18020.810000000001</v>
      </c>
      <c r="M77">
        <v>0</v>
      </c>
      <c r="N77" s="4">
        <f t="shared" si="2"/>
        <v>0.53578789151196149</v>
      </c>
      <c r="O77" s="4">
        <f t="shared" si="3"/>
        <v>-1.568800856221958</v>
      </c>
      <c r="P77" t="str" cm="1">
        <f t="array" ref="P77">_xlfn.IFS(AND(F77&gt;15,F77&lt;=30), "Youngsters", AND(F77&gt;30,F77&lt;=50), "Adults", AND(F77&gt;50,F77&lt;=70),"Old person", AND(F77&gt;70, F77&lt;92), "Senior Citizens")</f>
        <v>Senior Citizens</v>
      </c>
      <c r="Q77" t="str" cm="1">
        <f t="array" ref="Q77">_xlfn.IFS(G77=0,"No Tenure Period",AND(G77&gt;0,G77&lt;=3),"Less Tenure Period",AND(G77&gt;3,G77&lt;=7),"More Tenure Period",AND(G77&gt;7,G77&lt;=10),"Large Tenure Period")</f>
        <v>More Tenure Period</v>
      </c>
      <c r="R77" t="str" cm="1">
        <f t="array" ref="R77">_xlfn.IFS(AND(C77&gt;300,C77&lt;=525),"1 Star",AND(C77&gt;525,C77&lt;=600),"2 Star",AND(C77&gt;600,C77&lt;=700),"3 Star",AND(C77&gt;700,C77&lt;=750),"4 Star",AND(C77&gt;750,C77&lt;=900),"5 Star")</f>
        <v>2 Star</v>
      </c>
      <c r="S77" cm="1">
        <f t="array" ref="S77">_xlfn.IFS(E77="Male",1,E77="Female",2)</f>
        <v>2</v>
      </c>
      <c r="T77" cm="1">
        <f t="array" ref="T77">_xlfn.IFS(D77="France",1,D77="Germany",2,D77="Spain",3)</f>
        <v>2</v>
      </c>
    </row>
    <row r="78" spans="1:20" x14ac:dyDescent="0.3">
      <c r="A78">
        <v>78</v>
      </c>
      <c r="B78" t="s">
        <v>18</v>
      </c>
      <c r="C78" s="5">
        <v>600</v>
      </c>
      <c r="D78" t="s">
        <v>23</v>
      </c>
      <c r="E78" t="s">
        <v>26</v>
      </c>
      <c r="F78">
        <v>27</v>
      </c>
      <c r="G78" s="5">
        <v>7</v>
      </c>
      <c r="H78" s="4">
        <v>127193.14</v>
      </c>
      <c r="I78" s="5">
        <v>2</v>
      </c>
      <c r="J78">
        <v>0</v>
      </c>
      <c r="K78">
        <v>0</v>
      </c>
      <c r="L78" s="4">
        <v>11971.58</v>
      </c>
      <c r="M78">
        <v>0</v>
      </c>
      <c r="N78" s="4">
        <f t="shared" si="2"/>
        <v>-1.6613650941856507E-2</v>
      </c>
      <c r="O78" s="4">
        <f t="shared" si="3"/>
        <v>-1.7166219050260318</v>
      </c>
      <c r="P78" t="str" cm="1">
        <f t="array" ref="P78">_xlfn.IFS(AND(F78&gt;15,F78&lt;=30), "Youngsters", AND(F78&gt;30,F78&lt;=50), "Adults", AND(F78&gt;50,F78&lt;=70),"Old person", AND(F78&gt;70, F78&lt;92), "Senior Citizens")</f>
        <v>Youngsters</v>
      </c>
      <c r="Q78" t="str" cm="1">
        <f t="array" ref="Q78">_xlfn.IFS(G78=0,"No Tenure Period",AND(G78&gt;0,G78&lt;=3),"Less Tenure Period",AND(G78&gt;3,G78&lt;=7),"More Tenure Period",AND(G78&gt;7,G78&lt;=10),"Large Tenure Period")</f>
        <v>More Tenure Period</v>
      </c>
      <c r="R78" t="str" cm="1">
        <f t="array" ref="R78">_xlfn.IFS(AND(C78&gt;300,C78&lt;=525),"1 Star",AND(C78&gt;525,C78&lt;=600),"2 Star",AND(C78&gt;600,C78&lt;=700),"3 Star",AND(C78&gt;700,C78&lt;=750),"4 Star",AND(C78&gt;750,C78&lt;=900),"5 Star")</f>
        <v>2 Star</v>
      </c>
      <c r="S78" cm="1">
        <f t="array" ref="S78">_xlfn.IFS(E78="Male",1,E78="Female",2)</f>
        <v>2</v>
      </c>
      <c r="T78" cm="1">
        <f t="array" ref="T78">_xlfn.IFS(D78="France",1,D78="Germany",2,D78="Spain",3)</f>
        <v>3</v>
      </c>
    </row>
    <row r="79" spans="1:20" x14ac:dyDescent="0.3">
      <c r="A79">
        <v>79</v>
      </c>
      <c r="B79" t="s">
        <v>18</v>
      </c>
      <c r="C79" s="5">
        <v>742</v>
      </c>
      <c r="D79" t="s">
        <v>23</v>
      </c>
      <c r="E79" t="s">
        <v>26</v>
      </c>
      <c r="F79">
        <v>84</v>
      </c>
      <c r="G79" s="5">
        <v>0</v>
      </c>
      <c r="H79" s="4">
        <v>129782.98</v>
      </c>
      <c r="I79" s="5">
        <v>2</v>
      </c>
      <c r="J79">
        <v>1</v>
      </c>
      <c r="K79">
        <v>1</v>
      </c>
      <c r="L79" s="4">
        <v>53475.839999999997</v>
      </c>
      <c r="M79">
        <v>0</v>
      </c>
      <c r="N79" s="4">
        <f t="shared" si="2"/>
        <v>1.9370092862078792E-2</v>
      </c>
      <c r="O79" s="4">
        <f t="shared" si="3"/>
        <v>-0.70240964279811657</v>
      </c>
      <c r="P79" t="str" cm="1">
        <f t="array" ref="P79">_xlfn.IFS(AND(F79&gt;15,F79&lt;=30), "Youngsters", AND(F79&gt;30,F79&lt;=50), "Adults", AND(F79&gt;50,F79&lt;=70),"Old person", AND(F79&gt;70, F79&lt;92), "Senior Citizens")</f>
        <v>Senior Citizens</v>
      </c>
      <c r="Q79" t="str" cm="1">
        <f t="array" ref="Q79">_xlfn.IFS(G79=0,"No Tenure Period",AND(G79&gt;0,G79&lt;=3),"Less Tenure Period",AND(G79&gt;3,G79&lt;=7),"More Tenure Period",AND(G79&gt;7,G79&lt;=10),"Large Tenure Period")</f>
        <v>No Tenure Period</v>
      </c>
      <c r="R79" t="str" cm="1">
        <f t="array" ref="R79">_xlfn.IFS(AND(C79&gt;300,C79&lt;=525),"1 Star",AND(C79&gt;525,C79&lt;=600),"2 Star",AND(C79&gt;600,C79&lt;=700),"3 Star",AND(C79&gt;700,C79&lt;=750),"4 Star",AND(C79&gt;750,C79&lt;=900),"5 Star")</f>
        <v>4 Star</v>
      </c>
      <c r="S79" cm="1">
        <f t="array" ref="S79">_xlfn.IFS(E79="Male",1,E79="Female",2)</f>
        <v>2</v>
      </c>
      <c r="T79" cm="1">
        <f t="array" ref="T79">_xlfn.IFS(D79="France",1,D79="Germany",2,D79="Spain",3)</f>
        <v>3</v>
      </c>
    </row>
    <row r="80" spans="1:20" x14ac:dyDescent="0.3">
      <c r="A80">
        <v>80</v>
      </c>
      <c r="B80" t="s">
        <v>14</v>
      </c>
      <c r="C80" s="5">
        <v>604</v>
      </c>
      <c r="D80" t="s">
        <v>22</v>
      </c>
      <c r="E80" t="s">
        <v>25</v>
      </c>
      <c r="F80">
        <v>27</v>
      </c>
      <c r="G80" s="5">
        <v>7</v>
      </c>
      <c r="H80" s="4">
        <v>162041.47</v>
      </c>
      <c r="I80" s="5">
        <v>3</v>
      </c>
      <c r="J80">
        <v>1</v>
      </c>
      <c r="K80">
        <v>0</v>
      </c>
      <c r="L80" s="4">
        <v>109301.93</v>
      </c>
      <c r="M80">
        <v>1</v>
      </c>
      <c r="N80" s="4">
        <f t="shared" si="2"/>
        <v>0.46757586606112223</v>
      </c>
      <c r="O80" s="4">
        <f t="shared" si="3"/>
        <v>0.66177574516541315</v>
      </c>
      <c r="P80" t="str" cm="1">
        <f t="array" ref="P80">_xlfn.IFS(AND(F80&gt;15,F80&lt;=30), "Youngsters", AND(F80&gt;30,F80&lt;=50), "Adults", AND(F80&gt;50,F80&lt;=70),"Old person", AND(F80&gt;70, F80&lt;92), "Senior Citizens")</f>
        <v>Youngsters</v>
      </c>
      <c r="Q80" t="str" cm="1">
        <f t="array" ref="Q80">_xlfn.IFS(G80=0,"No Tenure Period",AND(G80&gt;0,G80&lt;=3),"Less Tenure Period",AND(G80&gt;3,G80&lt;=7),"More Tenure Period",AND(G80&gt;7,G80&lt;=10),"Large Tenure Period")</f>
        <v>More Tenure Period</v>
      </c>
      <c r="R80" t="str" cm="1">
        <f t="array" ref="R80">_xlfn.IFS(AND(C80&gt;300,C80&lt;=525),"1 Star",AND(C80&gt;525,C80&lt;=600),"2 Star",AND(C80&gt;600,C80&lt;=700),"3 Star",AND(C80&gt;700,C80&lt;=750),"4 Star",AND(C80&gt;750,C80&lt;=900),"5 Star")</f>
        <v>3 Star</v>
      </c>
      <c r="S80" cm="1">
        <f t="array" ref="S80">_xlfn.IFS(E80="Male",1,E80="Female",2)</f>
        <v>1</v>
      </c>
      <c r="T80" cm="1">
        <f t="array" ref="T80">_xlfn.IFS(D80="France",1,D80="Germany",2,D80="Spain",3)</f>
        <v>2</v>
      </c>
    </row>
    <row r="81" spans="1:20" x14ac:dyDescent="0.3">
      <c r="A81">
        <v>81</v>
      </c>
      <c r="B81" t="s">
        <v>18</v>
      </c>
      <c r="C81" s="5">
        <v>631</v>
      </c>
      <c r="D81" t="s">
        <v>24</v>
      </c>
      <c r="E81" t="s">
        <v>25</v>
      </c>
      <c r="F81">
        <v>54</v>
      </c>
      <c r="G81" s="5">
        <v>10</v>
      </c>
      <c r="H81" s="4">
        <v>68959.39</v>
      </c>
      <c r="I81" s="5">
        <v>3</v>
      </c>
      <c r="J81">
        <v>0</v>
      </c>
      <c r="K81">
        <v>0</v>
      </c>
      <c r="L81" s="4">
        <v>101131.11</v>
      </c>
      <c r="M81">
        <v>0</v>
      </c>
      <c r="N81" s="4">
        <f t="shared" si="2"/>
        <v>-0.82572477006211886</v>
      </c>
      <c r="O81" s="4">
        <f t="shared" si="3"/>
        <v>0.46211079905007246</v>
      </c>
      <c r="P81" t="str" cm="1">
        <f t="array" ref="P81">_xlfn.IFS(AND(F81&gt;15,F81&lt;=30), "Youngsters", AND(F81&gt;30,F81&lt;=50), "Adults", AND(F81&gt;50,F81&lt;=70),"Old person", AND(F81&gt;70, F81&lt;92), "Senior Citizens")</f>
        <v>Old person</v>
      </c>
      <c r="Q81" t="str" cm="1">
        <f t="array" ref="Q81">_xlfn.IFS(G81=0,"No Tenure Period",AND(G81&gt;0,G81&lt;=3),"Less Tenure Period",AND(G81&gt;3,G81&lt;=7),"More Tenure Period",AND(G81&gt;7,G81&lt;=10),"Large Tenure Period")</f>
        <v>Large Tenure Period</v>
      </c>
      <c r="R81" t="str" cm="1">
        <f t="array" ref="R81">_xlfn.IFS(AND(C81&gt;300,C81&lt;=525),"1 Star",AND(C81&gt;525,C81&lt;=600),"2 Star",AND(C81&gt;600,C81&lt;=700),"3 Star",AND(C81&gt;700,C81&lt;=750),"4 Star",AND(C81&gt;750,C81&lt;=900),"5 Star")</f>
        <v>3 Star</v>
      </c>
      <c r="S81" cm="1">
        <f t="array" ref="S81">_xlfn.IFS(E81="Male",1,E81="Female",2)</f>
        <v>1</v>
      </c>
      <c r="T81" cm="1">
        <f t="array" ref="T81">_xlfn.IFS(D81="France",1,D81="Germany",2,D81="Spain",3)</f>
        <v>1</v>
      </c>
    </row>
    <row r="82" spans="1:20" x14ac:dyDescent="0.3">
      <c r="A82">
        <v>82</v>
      </c>
      <c r="B82" t="s">
        <v>18</v>
      </c>
      <c r="C82" s="5">
        <v>371</v>
      </c>
      <c r="D82" t="s">
        <v>22</v>
      </c>
      <c r="E82" t="s">
        <v>26</v>
      </c>
      <c r="F82">
        <v>46</v>
      </c>
      <c r="G82" s="5">
        <v>8</v>
      </c>
      <c r="H82" s="4">
        <v>55186.57</v>
      </c>
      <c r="I82" s="5">
        <v>2</v>
      </c>
      <c r="J82">
        <v>1</v>
      </c>
      <c r="K82">
        <v>0</v>
      </c>
      <c r="L82" s="4">
        <v>117137.04</v>
      </c>
      <c r="M82">
        <v>0</v>
      </c>
      <c r="N82" s="4">
        <f t="shared" si="2"/>
        <v>-1.0170870265481244</v>
      </c>
      <c r="O82" s="4">
        <f t="shared" si="3"/>
        <v>0.85323716714726661</v>
      </c>
      <c r="P82" t="str" cm="1">
        <f t="array" ref="P82">_xlfn.IFS(AND(F82&gt;15,F82&lt;=30), "Youngsters", AND(F82&gt;30,F82&lt;=50), "Adults", AND(F82&gt;50,F82&lt;=70),"Old person", AND(F82&gt;70, F82&lt;92), "Senior Citizens")</f>
        <v>Adults</v>
      </c>
      <c r="Q82" t="str" cm="1">
        <f t="array" ref="Q82">_xlfn.IFS(G82=0,"No Tenure Period",AND(G82&gt;0,G82&lt;=3),"Less Tenure Period",AND(G82&gt;3,G82&lt;=7),"More Tenure Period",AND(G82&gt;7,G82&lt;=10),"Large Tenure Period")</f>
        <v>Large Tenure Period</v>
      </c>
      <c r="R82" t="str" cm="1">
        <f t="array" ref="R82">_xlfn.IFS(AND(C82&gt;300,C82&lt;=525),"1 Star",AND(C82&gt;525,C82&lt;=600),"2 Star",AND(C82&gt;600,C82&lt;=700),"3 Star",AND(C82&gt;700,C82&lt;=750),"4 Star",AND(C82&gt;750,C82&lt;=900),"5 Star")</f>
        <v>1 Star</v>
      </c>
      <c r="S82" cm="1">
        <f t="array" ref="S82">_xlfn.IFS(E82="Male",1,E82="Female",2)</f>
        <v>2</v>
      </c>
      <c r="T82" cm="1">
        <f t="array" ref="T82">_xlfn.IFS(D82="France",1,D82="Germany",2,D82="Spain",3)</f>
        <v>2</v>
      </c>
    </row>
    <row r="83" spans="1:20" x14ac:dyDescent="0.3">
      <c r="A83">
        <v>83</v>
      </c>
      <c r="B83" t="s">
        <v>20</v>
      </c>
      <c r="C83" s="5">
        <v>779</v>
      </c>
      <c r="D83" t="s">
        <v>22</v>
      </c>
      <c r="E83" t="s">
        <v>25</v>
      </c>
      <c r="F83">
        <v>82</v>
      </c>
      <c r="G83" s="5">
        <v>9</v>
      </c>
      <c r="H83" s="4">
        <v>241939.64</v>
      </c>
      <c r="I83" s="5">
        <v>4</v>
      </c>
      <c r="J83">
        <v>1</v>
      </c>
      <c r="K83">
        <v>1</v>
      </c>
      <c r="L83" s="4">
        <v>132532.96</v>
      </c>
      <c r="M83">
        <v>1</v>
      </c>
      <c r="N83" s="4">
        <f t="shared" si="2"/>
        <v>1.5776966764908298</v>
      </c>
      <c r="O83" s="4">
        <f t="shared" si="3"/>
        <v>1.2294571226959261</v>
      </c>
      <c r="P83" t="str" cm="1">
        <f t="array" ref="P83">_xlfn.IFS(AND(F83&gt;15,F83&lt;=30), "Youngsters", AND(F83&gt;30,F83&lt;=50), "Adults", AND(F83&gt;50,F83&lt;=70),"Old person", AND(F83&gt;70, F83&lt;92), "Senior Citizens")</f>
        <v>Senior Citizens</v>
      </c>
      <c r="Q83" t="str" cm="1">
        <f t="array" ref="Q83">_xlfn.IFS(G83=0,"No Tenure Period",AND(G83&gt;0,G83&lt;=3),"Less Tenure Period",AND(G83&gt;3,G83&lt;=7),"More Tenure Period",AND(G83&gt;7,G83&lt;=10),"Large Tenure Period")</f>
        <v>Large Tenure Period</v>
      </c>
      <c r="R83" t="str" cm="1">
        <f t="array" ref="R83">_xlfn.IFS(AND(C83&gt;300,C83&lt;=525),"1 Star",AND(C83&gt;525,C83&lt;=600),"2 Star",AND(C83&gt;600,C83&lt;=700),"3 Star",AND(C83&gt;700,C83&lt;=750),"4 Star",AND(C83&gt;750,C83&lt;=900),"5 Star")</f>
        <v>5 Star</v>
      </c>
      <c r="S83" cm="1">
        <f t="array" ref="S83">_xlfn.IFS(E83="Male",1,E83="Female",2)</f>
        <v>1</v>
      </c>
      <c r="T83" cm="1">
        <f t="array" ref="T83">_xlfn.IFS(D83="France",1,D83="Germany",2,D83="Spain",3)</f>
        <v>2</v>
      </c>
    </row>
    <row r="84" spans="1:20" x14ac:dyDescent="0.3">
      <c r="A84">
        <v>84</v>
      </c>
      <c r="B84" t="s">
        <v>18</v>
      </c>
      <c r="C84" s="5">
        <v>579</v>
      </c>
      <c r="D84" t="s">
        <v>23</v>
      </c>
      <c r="E84" t="s">
        <v>25</v>
      </c>
      <c r="F84">
        <v>31</v>
      </c>
      <c r="G84" s="5">
        <v>9</v>
      </c>
      <c r="H84" s="4">
        <v>34457.83</v>
      </c>
      <c r="I84" s="5">
        <v>3</v>
      </c>
      <c r="J84">
        <v>1</v>
      </c>
      <c r="K84">
        <v>1</v>
      </c>
      <c r="L84" s="4">
        <v>142833.29999999999</v>
      </c>
      <c r="M84">
        <v>1</v>
      </c>
      <c r="N84" s="4">
        <f t="shared" si="2"/>
        <v>-1.3050961968205685</v>
      </c>
      <c r="O84" s="4">
        <f t="shared" si="3"/>
        <v>1.4811597463089403</v>
      </c>
      <c r="P84" t="str" cm="1">
        <f t="array" ref="P84">_xlfn.IFS(AND(F84&gt;15,F84&lt;=30), "Youngsters", AND(F84&gt;30,F84&lt;=50), "Adults", AND(F84&gt;50,F84&lt;=70),"Old person", AND(F84&gt;70, F84&lt;92), "Senior Citizens")</f>
        <v>Adults</v>
      </c>
      <c r="Q84" t="str" cm="1">
        <f t="array" ref="Q84">_xlfn.IFS(G84=0,"No Tenure Period",AND(G84&gt;0,G84&lt;=3),"Less Tenure Period",AND(G84&gt;3,G84&lt;=7),"More Tenure Period",AND(G84&gt;7,G84&lt;=10),"Large Tenure Period")</f>
        <v>Large Tenure Period</v>
      </c>
      <c r="R84" t="str" cm="1">
        <f t="array" ref="R84">_xlfn.IFS(AND(C84&gt;300,C84&lt;=525),"1 Star",AND(C84&gt;525,C84&lt;=600),"2 Star",AND(C84&gt;600,C84&lt;=700),"3 Star",AND(C84&gt;700,C84&lt;=750),"4 Star",AND(C84&gt;750,C84&lt;=900),"5 Star")</f>
        <v>2 Star</v>
      </c>
      <c r="S84" cm="1">
        <f t="array" ref="S84">_xlfn.IFS(E84="Male",1,E84="Female",2)</f>
        <v>1</v>
      </c>
      <c r="T84" cm="1">
        <f t="array" ref="T84">_xlfn.IFS(D84="France",1,D84="Germany",2,D84="Spain",3)</f>
        <v>3</v>
      </c>
    </row>
    <row r="85" spans="1:20" x14ac:dyDescent="0.3">
      <c r="A85">
        <v>85</v>
      </c>
      <c r="B85" t="s">
        <v>14</v>
      </c>
      <c r="C85" s="5">
        <v>820</v>
      </c>
      <c r="D85" t="s">
        <v>23</v>
      </c>
      <c r="E85" t="s">
        <v>26</v>
      </c>
      <c r="F85">
        <v>20</v>
      </c>
      <c r="G85" s="5">
        <v>10</v>
      </c>
      <c r="H85" s="4">
        <v>20249.55</v>
      </c>
      <c r="I85" s="5">
        <v>3</v>
      </c>
      <c r="J85">
        <v>0</v>
      </c>
      <c r="K85">
        <v>0</v>
      </c>
      <c r="L85" s="4">
        <v>121737.08</v>
      </c>
      <c r="M85">
        <v>0</v>
      </c>
      <c r="N85" s="4">
        <f t="shared" si="2"/>
        <v>-1.5025088197681555</v>
      </c>
      <c r="O85" s="4">
        <f t="shared" si="3"/>
        <v>0.96564531452150981</v>
      </c>
      <c r="P85" t="str" cm="1">
        <f t="array" ref="P85">_xlfn.IFS(AND(F85&gt;15,F85&lt;=30), "Youngsters", AND(F85&gt;30,F85&lt;=50), "Adults", AND(F85&gt;50,F85&lt;=70),"Old person", AND(F85&gt;70, F85&lt;92), "Senior Citizens")</f>
        <v>Youngsters</v>
      </c>
      <c r="Q85" t="str" cm="1">
        <f t="array" ref="Q85">_xlfn.IFS(G85=0,"No Tenure Period",AND(G85&gt;0,G85&lt;=3),"Less Tenure Period",AND(G85&gt;3,G85&lt;=7),"More Tenure Period",AND(G85&gt;7,G85&lt;=10),"Large Tenure Period")</f>
        <v>Large Tenure Period</v>
      </c>
      <c r="R85" t="str" cm="1">
        <f t="array" ref="R85">_xlfn.IFS(AND(C85&gt;300,C85&lt;=525),"1 Star",AND(C85&gt;525,C85&lt;=600),"2 Star",AND(C85&gt;600,C85&lt;=700),"3 Star",AND(C85&gt;700,C85&lt;=750),"4 Star",AND(C85&gt;750,C85&lt;=900),"5 Star")</f>
        <v>5 Star</v>
      </c>
      <c r="S85" cm="1">
        <f t="array" ref="S85">_xlfn.IFS(E85="Male",1,E85="Female",2)</f>
        <v>2</v>
      </c>
      <c r="T85" cm="1">
        <f t="array" ref="T85">_xlfn.IFS(D85="France",1,D85="Germany",2,D85="Spain",3)</f>
        <v>3</v>
      </c>
    </row>
    <row r="86" spans="1:20" x14ac:dyDescent="0.3">
      <c r="A86">
        <v>86</v>
      </c>
      <c r="B86" t="s">
        <v>15</v>
      </c>
      <c r="C86" s="5">
        <v>750</v>
      </c>
      <c r="D86" t="s">
        <v>23</v>
      </c>
      <c r="E86" t="s">
        <v>26</v>
      </c>
      <c r="F86">
        <v>55</v>
      </c>
      <c r="G86" s="5">
        <v>5</v>
      </c>
      <c r="H86" s="4">
        <v>175912.59</v>
      </c>
      <c r="I86" s="5">
        <v>2</v>
      </c>
      <c r="J86">
        <v>1</v>
      </c>
      <c r="K86">
        <v>1</v>
      </c>
      <c r="L86" s="4">
        <v>15679.54</v>
      </c>
      <c r="M86">
        <v>0</v>
      </c>
      <c r="N86" s="4">
        <f t="shared" si="2"/>
        <v>0.66030392198490262</v>
      </c>
      <c r="O86" s="4">
        <f t="shared" si="3"/>
        <v>-1.6260129289871719</v>
      </c>
      <c r="P86" t="str" cm="1">
        <f t="array" ref="P86">_xlfn.IFS(AND(F86&gt;15,F86&lt;=30), "Youngsters", AND(F86&gt;30,F86&lt;=50), "Adults", AND(F86&gt;50,F86&lt;=70),"Old person", AND(F86&gt;70, F86&lt;92), "Senior Citizens")</f>
        <v>Old person</v>
      </c>
      <c r="Q86" t="str" cm="1">
        <f t="array" ref="Q86">_xlfn.IFS(G86=0,"No Tenure Period",AND(G86&gt;0,G86&lt;=3),"Less Tenure Period",AND(G86&gt;3,G86&lt;=7),"More Tenure Period",AND(G86&gt;7,G86&lt;=10),"Large Tenure Period")</f>
        <v>More Tenure Period</v>
      </c>
      <c r="R86" t="str" cm="1">
        <f t="array" ref="R86">_xlfn.IFS(AND(C86&gt;300,C86&lt;=525),"1 Star",AND(C86&gt;525,C86&lt;=600),"2 Star",AND(C86&gt;600,C86&lt;=700),"3 Star",AND(C86&gt;700,C86&lt;=750),"4 Star",AND(C86&gt;750,C86&lt;=900),"5 Star")</f>
        <v>4 Star</v>
      </c>
      <c r="S86" cm="1">
        <f t="array" ref="S86">_xlfn.IFS(E86="Male",1,E86="Female",2)</f>
        <v>2</v>
      </c>
      <c r="T86" cm="1">
        <f t="array" ref="T86">_xlfn.IFS(D86="France",1,D86="Germany",2,D86="Spain",3)</f>
        <v>3</v>
      </c>
    </row>
    <row r="87" spans="1:20" x14ac:dyDescent="0.3">
      <c r="A87">
        <v>87</v>
      </c>
      <c r="B87" t="s">
        <v>12</v>
      </c>
      <c r="C87" s="5">
        <v>503</v>
      </c>
      <c r="D87" t="s">
        <v>23</v>
      </c>
      <c r="E87" t="s">
        <v>26</v>
      </c>
      <c r="F87">
        <v>89</v>
      </c>
      <c r="G87" s="5">
        <v>2</v>
      </c>
      <c r="H87" s="4">
        <v>161781.32999999999</v>
      </c>
      <c r="I87" s="5">
        <v>2</v>
      </c>
      <c r="J87">
        <v>0</v>
      </c>
      <c r="K87">
        <v>0</v>
      </c>
      <c r="L87" s="4">
        <v>145603.81</v>
      </c>
      <c r="M87">
        <v>1</v>
      </c>
      <c r="N87" s="4">
        <f t="shared" si="2"/>
        <v>0.46396142999049383</v>
      </c>
      <c r="O87" s="4">
        <f t="shared" si="3"/>
        <v>1.5488608742082228</v>
      </c>
      <c r="P87" t="str" cm="1">
        <f t="array" ref="P87">_xlfn.IFS(AND(F87&gt;15,F87&lt;=30), "Youngsters", AND(F87&gt;30,F87&lt;=50), "Adults", AND(F87&gt;50,F87&lt;=70),"Old person", AND(F87&gt;70, F87&lt;92), "Senior Citizens")</f>
        <v>Senior Citizens</v>
      </c>
      <c r="Q87" t="str" cm="1">
        <f t="array" ref="Q87">_xlfn.IFS(G87=0,"No Tenure Period",AND(G87&gt;0,G87&lt;=3),"Less Tenure Period",AND(G87&gt;3,G87&lt;=7),"More Tenure Period",AND(G87&gt;7,G87&lt;=10),"Large Tenure Period")</f>
        <v>Less Tenure Period</v>
      </c>
      <c r="R87" t="str" cm="1">
        <f t="array" ref="R87">_xlfn.IFS(AND(C87&gt;300,C87&lt;=525),"1 Star",AND(C87&gt;525,C87&lt;=600),"2 Star",AND(C87&gt;600,C87&lt;=700),"3 Star",AND(C87&gt;700,C87&lt;=750),"4 Star",AND(C87&gt;750,C87&lt;=900),"5 Star")</f>
        <v>1 Star</v>
      </c>
      <c r="S87" cm="1">
        <f t="array" ref="S87">_xlfn.IFS(E87="Male",1,E87="Female",2)</f>
        <v>2</v>
      </c>
      <c r="T87" cm="1">
        <f t="array" ref="T87">_xlfn.IFS(D87="France",1,D87="Germany",2,D87="Spain",3)</f>
        <v>3</v>
      </c>
    </row>
    <row r="88" spans="1:20" x14ac:dyDescent="0.3">
      <c r="A88">
        <v>88</v>
      </c>
      <c r="B88" t="s">
        <v>12</v>
      </c>
      <c r="C88" s="5">
        <v>844</v>
      </c>
      <c r="D88" t="s">
        <v>22</v>
      </c>
      <c r="E88" t="s">
        <v>26</v>
      </c>
      <c r="F88">
        <v>21</v>
      </c>
      <c r="G88" s="5">
        <v>6</v>
      </c>
      <c r="H88" s="4">
        <v>92743.31</v>
      </c>
      <c r="I88" s="5">
        <v>4</v>
      </c>
      <c r="J88">
        <v>0</v>
      </c>
      <c r="K88">
        <v>0</v>
      </c>
      <c r="L88" s="4">
        <v>54061.89</v>
      </c>
      <c r="M88">
        <v>0</v>
      </c>
      <c r="N88" s="4">
        <f t="shared" si="2"/>
        <v>-0.49526633095650074</v>
      </c>
      <c r="O88" s="4">
        <f t="shared" si="3"/>
        <v>-0.68808872498682028</v>
      </c>
      <c r="P88" t="str" cm="1">
        <f t="array" ref="P88">_xlfn.IFS(AND(F88&gt;15,F88&lt;=30), "Youngsters", AND(F88&gt;30,F88&lt;=50), "Adults", AND(F88&gt;50,F88&lt;=70),"Old person", AND(F88&gt;70, F88&lt;92), "Senior Citizens")</f>
        <v>Youngsters</v>
      </c>
      <c r="Q88" t="str" cm="1">
        <f t="array" ref="Q88">_xlfn.IFS(G88=0,"No Tenure Period",AND(G88&gt;0,G88&lt;=3),"Less Tenure Period",AND(G88&gt;3,G88&lt;=7),"More Tenure Period",AND(G88&gt;7,G88&lt;=10),"Large Tenure Period")</f>
        <v>More Tenure Period</v>
      </c>
      <c r="R88" t="str" cm="1">
        <f t="array" ref="R88">_xlfn.IFS(AND(C88&gt;300,C88&lt;=525),"1 Star",AND(C88&gt;525,C88&lt;=600),"2 Star",AND(C88&gt;600,C88&lt;=700),"3 Star",AND(C88&gt;700,C88&lt;=750),"4 Star",AND(C88&gt;750,C88&lt;=900),"5 Star")</f>
        <v>5 Star</v>
      </c>
      <c r="S88" cm="1">
        <f t="array" ref="S88">_xlfn.IFS(E88="Male",1,E88="Female",2)</f>
        <v>2</v>
      </c>
      <c r="T88" cm="1">
        <f t="array" ref="T88">_xlfn.IFS(D88="France",1,D88="Germany",2,D88="Spain",3)</f>
        <v>2</v>
      </c>
    </row>
    <row r="89" spans="1:20" x14ac:dyDescent="0.3">
      <c r="A89">
        <v>89</v>
      </c>
      <c r="B89" t="s">
        <v>13</v>
      </c>
      <c r="C89" s="5">
        <v>469</v>
      </c>
      <c r="D89" t="s">
        <v>24</v>
      </c>
      <c r="E89" t="s">
        <v>25</v>
      </c>
      <c r="F89">
        <v>68</v>
      </c>
      <c r="G89" s="5">
        <v>9</v>
      </c>
      <c r="H89" s="4">
        <v>19196.560000000001</v>
      </c>
      <c r="I89" s="5">
        <v>3</v>
      </c>
      <c r="J89">
        <v>1</v>
      </c>
      <c r="K89">
        <v>0</v>
      </c>
      <c r="L89" s="4">
        <v>133731.54999999999</v>
      </c>
      <c r="M89">
        <v>1</v>
      </c>
      <c r="N89" s="4">
        <f t="shared" si="2"/>
        <v>-1.5171392689032781</v>
      </c>
      <c r="O89" s="4">
        <f t="shared" si="3"/>
        <v>1.2587462769992133</v>
      </c>
      <c r="P89" t="str" cm="1">
        <f t="array" ref="P89">_xlfn.IFS(AND(F89&gt;15,F89&lt;=30), "Youngsters", AND(F89&gt;30,F89&lt;=50), "Adults", AND(F89&gt;50,F89&lt;=70),"Old person", AND(F89&gt;70, F89&lt;92), "Senior Citizens")</f>
        <v>Old person</v>
      </c>
      <c r="Q89" t="str" cm="1">
        <f t="array" ref="Q89">_xlfn.IFS(G89=0,"No Tenure Period",AND(G89&gt;0,G89&lt;=3),"Less Tenure Period",AND(G89&gt;3,G89&lt;=7),"More Tenure Period",AND(G89&gt;7,G89&lt;=10),"Large Tenure Period")</f>
        <v>Large Tenure Period</v>
      </c>
      <c r="R89" t="str" cm="1">
        <f t="array" ref="R89">_xlfn.IFS(AND(C89&gt;300,C89&lt;=525),"1 Star",AND(C89&gt;525,C89&lt;=600),"2 Star",AND(C89&gt;600,C89&lt;=700),"3 Star",AND(C89&gt;700,C89&lt;=750),"4 Star",AND(C89&gt;750,C89&lt;=900),"5 Star")</f>
        <v>1 Star</v>
      </c>
      <c r="S89" cm="1">
        <f t="array" ref="S89">_xlfn.IFS(E89="Male",1,E89="Female",2)</f>
        <v>1</v>
      </c>
      <c r="T89" cm="1">
        <f t="array" ref="T89">_xlfn.IFS(D89="France",1,D89="Germany",2,D89="Spain",3)</f>
        <v>1</v>
      </c>
    </row>
    <row r="90" spans="1:20" x14ac:dyDescent="0.3">
      <c r="A90">
        <v>90</v>
      </c>
      <c r="B90" t="s">
        <v>21</v>
      </c>
      <c r="C90" s="5">
        <v>515</v>
      </c>
      <c r="D90" t="s">
        <v>24</v>
      </c>
      <c r="E90" t="s">
        <v>25</v>
      </c>
      <c r="F90">
        <v>79</v>
      </c>
      <c r="G90" s="5">
        <v>5</v>
      </c>
      <c r="H90" s="4">
        <v>69882.490000000005</v>
      </c>
      <c r="I90" s="5">
        <v>3</v>
      </c>
      <c r="J90">
        <v>1</v>
      </c>
      <c r="K90">
        <v>0</v>
      </c>
      <c r="L90" s="4">
        <v>28817.75</v>
      </c>
      <c r="M90">
        <v>1</v>
      </c>
      <c r="N90" s="4">
        <f t="shared" si="2"/>
        <v>-0.81289903800708341</v>
      </c>
      <c r="O90" s="4">
        <f t="shared" si="3"/>
        <v>-1.3049631455257771</v>
      </c>
      <c r="P90" t="str" cm="1">
        <f t="array" ref="P90">_xlfn.IFS(AND(F90&gt;15,F90&lt;=30), "Youngsters", AND(F90&gt;30,F90&lt;=50), "Adults", AND(F90&gt;50,F90&lt;=70),"Old person", AND(F90&gt;70, F90&lt;92), "Senior Citizens")</f>
        <v>Senior Citizens</v>
      </c>
      <c r="Q90" t="str" cm="1">
        <f t="array" ref="Q90">_xlfn.IFS(G90=0,"No Tenure Period",AND(G90&gt;0,G90&lt;=3),"Less Tenure Period",AND(G90&gt;3,G90&lt;=7),"More Tenure Period",AND(G90&gt;7,G90&lt;=10),"Large Tenure Period")</f>
        <v>More Tenure Period</v>
      </c>
      <c r="R90" t="str" cm="1">
        <f t="array" ref="R90">_xlfn.IFS(AND(C90&gt;300,C90&lt;=525),"1 Star",AND(C90&gt;525,C90&lt;=600),"2 Star",AND(C90&gt;600,C90&lt;=700),"3 Star",AND(C90&gt;700,C90&lt;=750),"4 Star",AND(C90&gt;750,C90&lt;=900),"5 Star")</f>
        <v>1 Star</v>
      </c>
      <c r="S90" cm="1">
        <f t="array" ref="S90">_xlfn.IFS(E90="Male",1,E90="Female",2)</f>
        <v>1</v>
      </c>
      <c r="T90" cm="1">
        <f t="array" ref="T90">_xlfn.IFS(D90="France",1,D90="Germany",2,D90="Spain",3)</f>
        <v>1</v>
      </c>
    </row>
    <row r="91" spans="1:20" x14ac:dyDescent="0.3">
      <c r="A91">
        <v>91</v>
      </c>
      <c r="B91" t="s">
        <v>12</v>
      </c>
      <c r="C91" s="5">
        <v>733</v>
      </c>
      <c r="D91" t="s">
        <v>24</v>
      </c>
      <c r="E91" t="s">
        <v>26</v>
      </c>
      <c r="F91">
        <v>46</v>
      </c>
      <c r="G91" s="5">
        <v>6</v>
      </c>
      <c r="H91" s="4">
        <v>15556.14</v>
      </c>
      <c r="I91" s="5">
        <v>2</v>
      </c>
      <c r="J91">
        <v>1</v>
      </c>
      <c r="K91">
        <v>1</v>
      </c>
      <c r="L91" s="4">
        <v>101797.2</v>
      </c>
      <c r="M91">
        <v>0</v>
      </c>
      <c r="N91" s="4">
        <f t="shared" si="2"/>
        <v>-1.5677199768306878</v>
      </c>
      <c r="O91" s="4">
        <f t="shared" si="3"/>
        <v>0.47838760161798688</v>
      </c>
      <c r="P91" t="str" cm="1">
        <f t="array" ref="P91">_xlfn.IFS(AND(F91&gt;15,F91&lt;=30), "Youngsters", AND(F91&gt;30,F91&lt;=50), "Adults", AND(F91&gt;50,F91&lt;=70),"Old person", AND(F91&gt;70, F91&lt;92), "Senior Citizens")</f>
        <v>Adults</v>
      </c>
      <c r="Q91" t="str" cm="1">
        <f t="array" ref="Q91">_xlfn.IFS(G91=0,"No Tenure Period",AND(G91&gt;0,G91&lt;=3),"Less Tenure Period",AND(G91&gt;3,G91&lt;=7),"More Tenure Period",AND(G91&gt;7,G91&lt;=10),"Large Tenure Period")</f>
        <v>More Tenure Period</v>
      </c>
      <c r="R91" t="str" cm="1">
        <f t="array" ref="R91">_xlfn.IFS(AND(C91&gt;300,C91&lt;=525),"1 Star",AND(C91&gt;525,C91&lt;=600),"2 Star",AND(C91&gt;600,C91&lt;=700),"3 Star",AND(C91&gt;700,C91&lt;=750),"4 Star",AND(C91&gt;750,C91&lt;=900),"5 Star")</f>
        <v>4 Star</v>
      </c>
      <c r="S91" cm="1">
        <f t="array" ref="S91">_xlfn.IFS(E91="Male",1,E91="Female",2)</f>
        <v>2</v>
      </c>
      <c r="T91" cm="1">
        <f t="array" ref="T91">_xlfn.IFS(D91="France",1,D91="Germany",2,D91="Spain",3)</f>
        <v>1</v>
      </c>
    </row>
    <row r="92" spans="1:20" x14ac:dyDescent="0.3">
      <c r="A92">
        <v>92</v>
      </c>
      <c r="B92" t="s">
        <v>16</v>
      </c>
      <c r="C92" s="5">
        <v>735</v>
      </c>
      <c r="D92" t="s">
        <v>24</v>
      </c>
      <c r="E92" t="s">
        <v>25</v>
      </c>
      <c r="F92">
        <v>53</v>
      </c>
      <c r="G92" s="5">
        <v>10</v>
      </c>
      <c r="H92" s="4">
        <v>247280.33</v>
      </c>
      <c r="I92" s="5">
        <v>3</v>
      </c>
      <c r="J92">
        <v>1</v>
      </c>
      <c r="K92">
        <v>0</v>
      </c>
      <c r="L92" s="4">
        <v>54977.06</v>
      </c>
      <c r="M92">
        <v>0</v>
      </c>
      <c r="N92" s="4">
        <f t="shared" si="2"/>
        <v>1.6519012685491186</v>
      </c>
      <c r="O92" s="4">
        <f t="shared" si="3"/>
        <v>-0.6657253185311186</v>
      </c>
      <c r="P92" t="str" cm="1">
        <f t="array" ref="P92">_xlfn.IFS(AND(F92&gt;15,F92&lt;=30), "Youngsters", AND(F92&gt;30,F92&lt;=50), "Adults", AND(F92&gt;50,F92&lt;=70),"Old person", AND(F92&gt;70, F92&lt;92), "Senior Citizens")</f>
        <v>Old person</v>
      </c>
      <c r="Q92" t="str" cm="1">
        <f t="array" ref="Q92">_xlfn.IFS(G92=0,"No Tenure Period",AND(G92&gt;0,G92&lt;=3),"Less Tenure Period",AND(G92&gt;3,G92&lt;=7),"More Tenure Period",AND(G92&gt;7,G92&lt;=10),"Large Tenure Period")</f>
        <v>Large Tenure Period</v>
      </c>
      <c r="R92" t="str" cm="1">
        <f t="array" ref="R92">_xlfn.IFS(AND(C92&gt;300,C92&lt;=525),"1 Star",AND(C92&gt;525,C92&lt;=600),"2 Star",AND(C92&gt;600,C92&lt;=700),"3 Star",AND(C92&gt;700,C92&lt;=750),"4 Star",AND(C92&gt;750,C92&lt;=900),"5 Star")</f>
        <v>4 Star</v>
      </c>
      <c r="S92" cm="1">
        <f t="array" ref="S92">_xlfn.IFS(E92="Male",1,E92="Female",2)</f>
        <v>1</v>
      </c>
      <c r="T92" cm="1">
        <f t="array" ref="T92">_xlfn.IFS(D92="France",1,D92="Germany",2,D92="Spain",3)</f>
        <v>1</v>
      </c>
    </row>
    <row r="93" spans="1:20" x14ac:dyDescent="0.3">
      <c r="A93">
        <v>93</v>
      </c>
      <c r="B93" t="s">
        <v>14</v>
      </c>
      <c r="C93" s="5">
        <v>739</v>
      </c>
      <c r="D93" t="s">
        <v>23</v>
      </c>
      <c r="E93" t="s">
        <v>25</v>
      </c>
      <c r="F93">
        <v>71</v>
      </c>
      <c r="G93" s="5">
        <v>5</v>
      </c>
      <c r="H93" s="4">
        <v>173851.84</v>
      </c>
      <c r="I93" s="5">
        <v>2</v>
      </c>
      <c r="J93">
        <v>1</v>
      </c>
      <c r="K93">
        <v>1</v>
      </c>
      <c r="L93" s="4">
        <v>121172.65</v>
      </c>
      <c r="M93">
        <v>1</v>
      </c>
      <c r="N93" s="4">
        <f t="shared" si="2"/>
        <v>0.63167145818638237</v>
      </c>
      <c r="O93" s="4">
        <f t="shared" si="3"/>
        <v>0.95185271040884023</v>
      </c>
      <c r="P93" t="str" cm="1">
        <f t="array" ref="P93">_xlfn.IFS(AND(F93&gt;15,F93&lt;=30), "Youngsters", AND(F93&gt;30,F93&lt;=50), "Adults", AND(F93&gt;50,F93&lt;=70),"Old person", AND(F93&gt;70, F93&lt;92), "Senior Citizens")</f>
        <v>Senior Citizens</v>
      </c>
      <c r="Q93" t="str" cm="1">
        <f t="array" ref="Q93">_xlfn.IFS(G93=0,"No Tenure Period",AND(G93&gt;0,G93&lt;=3),"Less Tenure Period",AND(G93&gt;3,G93&lt;=7),"More Tenure Period",AND(G93&gt;7,G93&lt;=10),"Large Tenure Period")</f>
        <v>More Tenure Period</v>
      </c>
      <c r="R93" t="str" cm="1">
        <f t="array" ref="R93">_xlfn.IFS(AND(C93&gt;300,C93&lt;=525),"1 Star",AND(C93&gt;525,C93&lt;=600),"2 Star",AND(C93&gt;600,C93&lt;=700),"3 Star",AND(C93&gt;700,C93&lt;=750),"4 Star",AND(C93&gt;750,C93&lt;=900),"5 Star")</f>
        <v>4 Star</v>
      </c>
      <c r="S93" cm="1">
        <f t="array" ref="S93">_xlfn.IFS(E93="Male",1,E93="Female",2)</f>
        <v>1</v>
      </c>
      <c r="T93" cm="1">
        <f t="array" ref="T93">_xlfn.IFS(D93="France",1,D93="Germany",2,D93="Spain",3)</f>
        <v>3</v>
      </c>
    </row>
    <row r="94" spans="1:20" x14ac:dyDescent="0.3">
      <c r="A94">
        <v>94</v>
      </c>
      <c r="B94" t="s">
        <v>13</v>
      </c>
      <c r="C94" s="5">
        <v>548</v>
      </c>
      <c r="D94" t="s">
        <v>22</v>
      </c>
      <c r="E94" t="s">
        <v>26</v>
      </c>
      <c r="F94">
        <v>44</v>
      </c>
      <c r="G94" s="5">
        <v>3</v>
      </c>
      <c r="H94" s="4">
        <v>107973.28</v>
      </c>
      <c r="I94" s="5">
        <v>1</v>
      </c>
      <c r="J94">
        <v>0</v>
      </c>
      <c r="K94">
        <v>0</v>
      </c>
      <c r="L94" s="4">
        <v>27995.72</v>
      </c>
      <c r="M94">
        <v>0</v>
      </c>
      <c r="N94" s="4">
        <f t="shared" si="2"/>
        <v>-0.28365814719934918</v>
      </c>
      <c r="O94" s="4">
        <f t="shared" si="3"/>
        <v>-1.3250505511539996</v>
      </c>
      <c r="P94" t="str" cm="1">
        <f t="array" ref="P94">_xlfn.IFS(AND(F94&gt;15,F94&lt;=30), "Youngsters", AND(F94&gt;30,F94&lt;=50), "Adults", AND(F94&gt;50,F94&lt;=70),"Old person", AND(F94&gt;70, F94&lt;92), "Senior Citizens")</f>
        <v>Adults</v>
      </c>
      <c r="Q94" t="str" cm="1">
        <f t="array" ref="Q94">_xlfn.IFS(G94=0,"No Tenure Period",AND(G94&gt;0,G94&lt;=3),"Less Tenure Period",AND(G94&gt;3,G94&lt;=7),"More Tenure Period",AND(G94&gt;7,G94&lt;=10),"Large Tenure Period")</f>
        <v>Less Tenure Period</v>
      </c>
      <c r="R94" t="str" cm="1">
        <f t="array" ref="R94">_xlfn.IFS(AND(C94&gt;300,C94&lt;=525),"1 Star",AND(C94&gt;525,C94&lt;=600),"2 Star",AND(C94&gt;600,C94&lt;=700),"3 Star",AND(C94&gt;700,C94&lt;=750),"4 Star",AND(C94&gt;750,C94&lt;=900),"5 Star")</f>
        <v>2 Star</v>
      </c>
      <c r="S94" cm="1">
        <f t="array" ref="S94">_xlfn.IFS(E94="Male",1,E94="Female",2)</f>
        <v>2</v>
      </c>
      <c r="T94" cm="1">
        <f t="array" ref="T94">_xlfn.IFS(D94="France",1,D94="Germany",2,D94="Spain",3)</f>
        <v>2</v>
      </c>
    </row>
    <row r="95" spans="1:20" x14ac:dyDescent="0.3">
      <c r="A95">
        <v>95</v>
      </c>
      <c r="B95" t="s">
        <v>12</v>
      </c>
      <c r="C95" s="5">
        <v>746</v>
      </c>
      <c r="D95" t="s">
        <v>23</v>
      </c>
      <c r="E95" t="s">
        <v>25</v>
      </c>
      <c r="F95">
        <v>60</v>
      </c>
      <c r="G95" s="5">
        <v>10</v>
      </c>
      <c r="H95" s="4">
        <v>229932.49</v>
      </c>
      <c r="I95" s="5">
        <v>2</v>
      </c>
      <c r="J95">
        <v>1</v>
      </c>
      <c r="K95">
        <v>0</v>
      </c>
      <c r="L95" s="4">
        <v>81112.42</v>
      </c>
      <c r="M95">
        <v>0</v>
      </c>
      <c r="N95" s="4">
        <f t="shared" si="2"/>
        <v>1.4108669845347925</v>
      </c>
      <c r="O95" s="4">
        <f t="shared" si="3"/>
        <v>-2.7072741910285615E-2</v>
      </c>
      <c r="P95" t="str" cm="1">
        <f t="array" ref="P95">_xlfn.IFS(AND(F95&gt;15,F95&lt;=30), "Youngsters", AND(F95&gt;30,F95&lt;=50), "Adults", AND(F95&gt;50,F95&lt;=70),"Old person", AND(F95&gt;70, F95&lt;92), "Senior Citizens")</f>
        <v>Old person</v>
      </c>
      <c r="Q95" t="str" cm="1">
        <f t="array" ref="Q95">_xlfn.IFS(G95=0,"No Tenure Period",AND(G95&gt;0,G95&lt;=3),"Less Tenure Period",AND(G95&gt;3,G95&lt;=7),"More Tenure Period",AND(G95&gt;7,G95&lt;=10),"Large Tenure Period")</f>
        <v>Large Tenure Period</v>
      </c>
      <c r="R95" t="str" cm="1">
        <f t="array" ref="R95">_xlfn.IFS(AND(C95&gt;300,C95&lt;=525),"1 Star",AND(C95&gt;525,C95&lt;=600),"2 Star",AND(C95&gt;600,C95&lt;=700),"3 Star",AND(C95&gt;700,C95&lt;=750),"4 Star",AND(C95&gt;750,C95&lt;=900),"5 Star")</f>
        <v>4 Star</v>
      </c>
      <c r="S95" cm="1">
        <f t="array" ref="S95">_xlfn.IFS(E95="Male",1,E95="Female",2)</f>
        <v>1</v>
      </c>
      <c r="T95" cm="1">
        <f t="array" ref="T95">_xlfn.IFS(D95="France",1,D95="Germany",2,D95="Spain",3)</f>
        <v>3</v>
      </c>
    </row>
    <row r="96" spans="1:20" x14ac:dyDescent="0.3">
      <c r="A96">
        <v>96</v>
      </c>
      <c r="B96" t="s">
        <v>13</v>
      </c>
      <c r="C96" s="5">
        <v>696</v>
      </c>
      <c r="D96" t="s">
        <v>23</v>
      </c>
      <c r="E96" t="s">
        <v>25</v>
      </c>
      <c r="F96">
        <v>64</v>
      </c>
      <c r="G96" s="5">
        <v>3</v>
      </c>
      <c r="H96" s="4">
        <v>141361.44</v>
      </c>
      <c r="I96" s="5">
        <v>2</v>
      </c>
      <c r="J96">
        <v>1</v>
      </c>
      <c r="K96">
        <v>1</v>
      </c>
      <c r="L96" s="4">
        <v>147488.24</v>
      </c>
      <c r="M96">
        <v>1</v>
      </c>
      <c r="N96" s="4">
        <f t="shared" si="2"/>
        <v>0.18024348206145541</v>
      </c>
      <c r="O96" s="4">
        <f t="shared" si="3"/>
        <v>1.5949094488198443</v>
      </c>
      <c r="P96" t="str" cm="1">
        <f t="array" ref="P96">_xlfn.IFS(AND(F96&gt;15,F96&lt;=30), "Youngsters", AND(F96&gt;30,F96&lt;=50), "Adults", AND(F96&gt;50,F96&lt;=70),"Old person", AND(F96&gt;70, F96&lt;92), "Senior Citizens")</f>
        <v>Old person</v>
      </c>
      <c r="Q96" t="str" cm="1">
        <f t="array" ref="Q96">_xlfn.IFS(G96=0,"No Tenure Period",AND(G96&gt;0,G96&lt;=3),"Less Tenure Period",AND(G96&gt;3,G96&lt;=7),"More Tenure Period",AND(G96&gt;7,G96&lt;=10),"Large Tenure Period")</f>
        <v>Less Tenure Period</v>
      </c>
      <c r="R96" t="str" cm="1">
        <f t="array" ref="R96">_xlfn.IFS(AND(C96&gt;300,C96&lt;=525),"1 Star",AND(C96&gt;525,C96&lt;=600),"2 Star",AND(C96&gt;600,C96&lt;=700),"3 Star",AND(C96&gt;700,C96&lt;=750),"4 Star",AND(C96&gt;750,C96&lt;=900),"5 Star")</f>
        <v>3 Star</v>
      </c>
      <c r="S96" cm="1">
        <f t="array" ref="S96">_xlfn.IFS(E96="Male",1,E96="Female",2)</f>
        <v>1</v>
      </c>
      <c r="T96" cm="1">
        <f t="array" ref="T96">_xlfn.IFS(D96="France",1,D96="Germany",2,D96="Spain",3)</f>
        <v>3</v>
      </c>
    </row>
    <row r="97" spans="1:20" x14ac:dyDescent="0.3">
      <c r="A97">
        <v>97</v>
      </c>
      <c r="B97" t="s">
        <v>21</v>
      </c>
      <c r="C97" s="5">
        <v>424</v>
      </c>
      <c r="D97" t="s">
        <v>22</v>
      </c>
      <c r="E97" t="s">
        <v>26</v>
      </c>
      <c r="F97">
        <v>87</v>
      </c>
      <c r="G97" s="5">
        <v>10</v>
      </c>
      <c r="H97" s="4">
        <v>177818.74</v>
      </c>
      <c r="I97" s="5">
        <v>2</v>
      </c>
      <c r="J97">
        <v>0</v>
      </c>
      <c r="K97">
        <v>1</v>
      </c>
      <c r="L97" s="4">
        <v>111587.44</v>
      </c>
      <c r="M97">
        <v>1</v>
      </c>
      <c r="N97" s="4">
        <f t="shared" si="2"/>
        <v>0.68678834312747172</v>
      </c>
      <c r="O97" s="4">
        <f t="shared" si="3"/>
        <v>0.7176252475404592</v>
      </c>
      <c r="P97" t="str" cm="1">
        <f t="array" ref="P97">_xlfn.IFS(AND(F97&gt;15,F97&lt;=30), "Youngsters", AND(F97&gt;30,F97&lt;=50), "Adults", AND(F97&gt;50,F97&lt;=70),"Old person", AND(F97&gt;70, F97&lt;92), "Senior Citizens")</f>
        <v>Senior Citizens</v>
      </c>
      <c r="Q97" t="str" cm="1">
        <f t="array" ref="Q97">_xlfn.IFS(G97=0,"No Tenure Period",AND(G97&gt;0,G97&lt;=3),"Less Tenure Period",AND(G97&gt;3,G97&lt;=7),"More Tenure Period",AND(G97&gt;7,G97&lt;=10),"Large Tenure Period")</f>
        <v>Large Tenure Period</v>
      </c>
      <c r="R97" t="str" cm="1">
        <f t="array" ref="R97">_xlfn.IFS(AND(C97&gt;300,C97&lt;=525),"1 Star",AND(C97&gt;525,C97&lt;=600),"2 Star",AND(C97&gt;600,C97&lt;=700),"3 Star",AND(C97&gt;700,C97&lt;=750),"4 Star",AND(C97&gt;750,C97&lt;=900),"5 Star")</f>
        <v>1 Star</v>
      </c>
      <c r="S97" cm="1">
        <f t="array" ref="S97">_xlfn.IFS(E97="Male",1,E97="Female",2)</f>
        <v>2</v>
      </c>
      <c r="T97" cm="1">
        <f t="array" ref="T97">_xlfn.IFS(D97="France",1,D97="Germany",2,D97="Spain",3)</f>
        <v>2</v>
      </c>
    </row>
    <row r="98" spans="1:20" x14ac:dyDescent="0.3">
      <c r="A98">
        <v>98</v>
      </c>
      <c r="B98" t="s">
        <v>17</v>
      </c>
      <c r="C98" s="5">
        <v>788</v>
      </c>
      <c r="D98" t="s">
        <v>22</v>
      </c>
      <c r="E98" t="s">
        <v>25</v>
      </c>
      <c r="F98">
        <v>46</v>
      </c>
      <c r="G98" s="5">
        <v>0</v>
      </c>
      <c r="H98" s="4">
        <v>126692.44</v>
      </c>
      <c r="I98" s="5">
        <v>1</v>
      </c>
      <c r="J98">
        <v>1</v>
      </c>
      <c r="K98">
        <v>1</v>
      </c>
      <c r="L98" s="4">
        <v>27793.35</v>
      </c>
      <c r="M98">
        <v>0</v>
      </c>
      <c r="N98" s="4">
        <f t="shared" si="2"/>
        <v>-2.3570474731214278E-2</v>
      </c>
      <c r="O98" s="4">
        <f t="shared" si="3"/>
        <v>-1.3299957335402672</v>
      </c>
      <c r="P98" t="str" cm="1">
        <f t="array" ref="P98">_xlfn.IFS(AND(F98&gt;15,F98&lt;=30), "Youngsters", AND(F98&gt;30,F98&lt;=50), "Adults", AND(F98&gt;50,F98&lt;=70),"Old person", AND(F98&gt;70, F98&lt;92), "Senior Citizens")</f>
        <v>Adults</v>
      </c>
      <c r="Q98" t="str" cm="1">
        <f t="array" ref="Q98">_xlfn.IFS(G98=0,"No Tenure Period",AND(G98&gt;0,G98&lt;=3),"Less Tenure Period",AND(G98&gt;3,G98&lt;=7),"More Tenure Period",AND(G98&gt;7,G98&lt;=10),"Large Tenure Period")</f>
        <v>No Tenure Period</v>
      </c>
      <c r="R98" t="str" cm="1">
        <f t="array" ref="R98">_xlfn.IFS(AND(C98&gt;300,C98&lt;=525),"1 Star",AND(C98&gt;525,C98&lt;=600),"2 Star",AND(C98&gt;600,C98&lt;=700),"3 Star",AND(C98&gt;700,C98&lt;=750),"4 Star",AND(C98&gt;750,C98&lt;=900),"5 Star")</f>
        <v>5 Star</v>
      </c>
      <c r="S98" cm="1">
        <f t="array" ref="S98">_xlfn.IFS(E98="Male",1,E98="Female",2)</f>
        <v>1</v>
      </c>
      <c r="T98" cm="1">
        <f t="array" ref="T98">_xlfn.IFS(D98="France",1,D98="Germany",2,D98="Spain",3)</f>
        <v>2</v>
      </c>
    </row>
    <row r="99" spans="1:20" x14ac:dyDescent="0.3">
      <c r="A99">
        <v>99</v>
      </c>
      <c r="B99" t="s">
        <v>18</v>
      </c>
      <c r="C99" s="5">
        <v>428</v>
      </c>
      <c r="D99" t="s">
        <v>22</v>
      </c>
      <c r="E99" t="s">
        <v>25</v>
      </c>
      <c r="F99">
        <v>61</v>
      </c>
      <c r="G99" s="5">
        <v>3</v>
      </c>
      <c r="H99" s="4">
        <v>206619.49</v>
      </c>
      <c r="I99" s="5">
        <v>2</v>
      </c>
      <c r="J99">
        <v>0</v>
      </c>
      <c r="K99">
        <v>0</v>
      </c>
      <c r="L99" s="4">
        <v>102150.42</v>
      </c>
      <c r="M99">
        <v>0</v>
      </c>
      <c r="N99" s="4">
        <f t="shared" si="2"/>
        <v>1.0869516000704456</v>
      </c>
      <c r="O99" s="4">
        <f t="shared" si="3"/>
        <v>0.48701900608741111</v>
      </c>
      <c r="P99" t="str" cm="1">
        <f t="array" ref="P99">_xlfn.IFS(AND(F99&gt;15,F99&lt;=30), "Youngsters", AND(F99&gt;30,F99&lt;=50), "Adults", AND(F99&gt;50,F99&lt;=70),"Old person", AND(F99&gt;70, F99&lt;92), "Senior Citizens")</f>
        <v>Old person</v>
      </c>
      <c r="Q99" t="str" cm="1">
        <f t="array" ref="Q99">_xlfn.IFS(G99=0,"No Tenure Period",AND(G99&gt;0,G99&lt;=3),"Less Tenure Period",AND(G99&gt;3,G99&lt;=7),"More Tenure Period",AND(G99&gt;7,G99&lt;=10),"Large Tenure Period")</f>
        <v>Less Tenure Period</v>
      </c>
      <c r="R99" t="str" cm="1">
        <f t="array" ref="R99">_xlfn.IFS(AND(C99&gt;300,C99&lt;=525),"1 Star",AND(C99&gt;525,C99&lt;=600),"2 Star",AND(C99&gt;600,C99&lt;=700),"3 Star",AND(C99&gt;700,C99&lt;=750),"4 Star",AND(C99&gt;750,C99&lt;=900),"5 Star")</f>
        <v>1 Star</v>
      </c>
      <c r="S99" cm="1">
        <f t="array" ref="S99">_xlfn.IFS(E99="Male",1,E99="Female",2)</f>
        <v>1</v>
      </c>
      <c r="T99" cm="1">
        <f t="array" ref="T99">_xlfn.IFS(D99="France",1,D99="Germany",2,D99="Spain",3)</f>
        <v>2</v>
      </c>
    </row>
    <row r="100" spans="1:20" x14ac:dyDescent="0.3">
      <c r="A100">
        <v>100</v>
      </c>
      <c r="B100" t="s">
        <v>17</v>
      </c>
      <c r="C100" s="5">
        <v>668</v>
      </c>
      <c r="D100" t="s">
        <v>23</v>
      </c>
      <c r="E100" t="s">
        <v>25</v>
      </c>
      <c r="F100">
        <v>80</v>
      </c>
      <c r="G100" s="5">
        <v>4</v>
      </c>
      <c r="H100" s="4">
        <v>245611.62</v>
      </c>
      <c r="I100" s="5">
        <v>2</v>
      </c>
      <c r="J100">
        <v>1</v>
      </c>
      <c r="K100">
        <v>0</v>
      </c>
      <c r="L100" s="4">
        <v>103995.53</v>
      </c>
      <c r="M100">
        <v>1</v>
      </c>
      <c r="N100" s="4">
        <f t="shared" si="2"/>
        <v>1.6287158852346801</v>
      </c>
      <c r="O100" s="4">
        <f t="shared" si="3"/>
        <v>0.53210674375962475</v>
      </c>
      <c r="P100" t="str" cm="1">
        <f t="array" ref="P100">_xlfn.IFS(AND(F100&gt;15,F100&lt;=30), "Youngsters", AND(F100&gt;30,F100&lt;=50), "Adults", AND(F100&gt;50,F100&lt;=70),"Old person", AND(F100&gt;70, F100&lt;92), "Senior Citizens")</f>
        <v>Senior Citizens</v>
      </c>
      <c r="Q100" t="str" cm="1">
        <f t="array" ref="Q100">_xlfn.IFS(G100=0,"No Tenure Period",AND(G100&gt;0,G100&lt;=3),"Less Tenure Period",AND(G100&gt;3,G100&lt;=7),"More Tenure Period",AND(G100&gt;7,G100&lt;=10),"Large Tenure Period")</f>
        <v>More Tenure Period</v>
      </c>
      <c r="R100" t="str" cm="1">
        <f t="array" ref="R100">_xlfn.IFS(AND(C100&gt;300,C100&lt;=525),"1 Star",AND(C100&gt;525,C100&lt;=600),"2 Star",AND(C100&gt;600,C100&lt;=700),"3 Star",AND(C100&gt;700,C100&lt;=750),"4 Star",AND(C100&gt;750,C100&lt;=900),"5 Star")</f>
        <v>3 Star</v>
      </c>
      <c r="S100" cm="1">
        <f t="array" ref="S100">_xlfn.IFS(E100="Male",1,E100="Female",2)</f>
        <v>1</v>
      </c>
      <c r="T100" cm="1">
        <f t="array" ref="T100">_xlfn.IFS(D100="France",1,D100="Germany",2,D100="Spain",3)</f>
        <v>3</v>
      </c>
    </row>
    <row r="101" spans="1:20" x14ac:dyDescent="0.3">
      <c r="A101">
        <v>101</v>
      </c>
      <c r="B101" t="s">
        <v>13</v>
      </c>
      <c r="C101" s="5">
        <v>422</v>
      </c>
      <c r="D101" t="s">
        <v>24</v>
      </c>
      <c r="E101" t="s">
        <v>26</v>
      </c>
      <c r="F101">
        <v>27</v>
      </c>
      <c r="G101" s="5">
        <v>1</v>
      </c>
      <c r="H101" s="4">
        <v>103031.97</v>
      </c>
      <c r="I101" s="5">
        <v>2</v>
      </c>
      <c r="J101">
        <v>0</v>
      </c>
      <c r="K101">
        <v>0</v>
      </c>
      <c r="L101" s="4">
        <v>125609.39</v>
      </c>
      <c r="M101">
        <v>1</v>
      </c>
      <c r="N101" s="4">
        <f t="shared" si="2"/>
        <v>-0.35231367537708363</v>
      </c>
      <c r="O101" s="4">
        <f t="shared" si="3"/>
        <v>1.0602704032509023</v>
      </c>
      <c r="P101" t="str" cm="1">
        <f t="array" ref="P101">_xlfn.IFS(AND(F101&gt;15,F101&lt;=30), "Youngsters", AND(F101&gt;30,F101&lt;=50), "Adults", AND(F101&gt;50,F101&lt;=70),"Old person", AND(F101&gt;70, F101&lt;92), "Senior Citizens")</f>
        <v>Youngsters</v>
      </c>
      <c r="Q101" t="str" cm="1">
        <f t="array" ref="Q101">_xlfn.IFS(G101=0,"No Tenure Period",AND(G101&gt;0,G101&lt;=3),"Less Tenure Period",AND(G101&gt;3,G101&lt;=7),"More Tenure Period",AND(G101&gt;7,G101&lt;=10),"Large Tenure Period")</f>
        <v>Less Tenure Period</v>
      </c>
      <c r="R101" t="str" cm="1">
        <f t="array" ref="R101">_xlfn.IFS(AND(C101&gt;300,C101&lt;=525),"1 Star",AND(C101&gt;525,C101&lt;=600),"2 Star",AND(C101&gt;600,C101&lt;=700),"3 Star",AND(C101&gt;700,C101&lt;=750),"4 Star",AND(C101&gt;750,C101&lt;=900),"5 Star")</f>
        <v>1 Star</v>
      </c>
      <c r="S101" cm="1">
        <f t="array" ref="S101">_xlfn.IFS(E101="Male",1,E101="Female",2)</f>
        <v>2</v>
      </c>
      <c r="T101" cm="1">
        <f t="array" ref="T101">_xlfn.IFS(D101="France",1,D101="Germany",2,D101="Spain",3)</f>
        <v>1</v>
      </c>
    </row>
    <row r="102" spans="1:20" x14ac:dyDescent="0.3">
      <c r="A102">
        <v>102</v>
      </c>
      <c r="B102" t="s">
        <v>14</v>
      </c>
      <c r="C102" s="5">
        <v>549</v>
      </c>
      <c r="D102" t="s">
        <v>23</v>
      </c>
      <c r="E102" t="s">
        <v>26</v>
      </c>
      <c r="F102">
        <v>56</v>
      </c>
      <c r="G102" s="5">
        <v>0</v>
      </c>
      <c r="H102" s="4">
        <v>36824.33</v>
      </c>
      <c r="I102" s="5">
        <v>1</v>
      </c>
      <c r="J102">
        <v>0</v>
      </c>
      <c r="K102">
        <v>1</v>
      </c>
      <c r="L102" s="4">
        <v>51542.45</v>
      </c>
      <c r="M102">
        <v>0</v>
      </c>
      <c r="N102" s="4">
        <f t="shared" si="2"/>
        <v>-1.2722155826853274</v>
      </c>
      <c r="O102" s="4">
        <f t="shared" si="3"/>
        <v>-0.749654620679154</v>
      </c>
      <c r="P102" t="str" cm="1">
        <f t="array" ref="P102">_xlfn.IFS(AND(F102&gt;15,F102&lt;=30), "Youngsters", AND(F102&gt;30,F102&lt;=50), "Adults", AND(F102&gt;50,F102&lt;=70),"Old person", AND(F102&gt;70, F102&lt;92), "Senior Citizens")</f>
        <v>Old person</v>
      </c>
      <c r="Q102" t="str" cm="1">
        <f t="array" ref="Q102">_xlfn.IFS(G102=0,"No Tenure Period",AND(G102&gt;0,G102&lt;=3),"Less Tenure Period",AND(G102&gt;3,G102&lt;=7),"More Tenure Period",AND(G102&gt;7,G102&lt;=10),"Large Tenure Period")</f>
        <v>No Tenure Period</v>
      </c>
      <c r="R102" t="str" cm="1">
        <f t="array" ref="R102">_xlfn.IFS(AND(C102&gt;300,C102&lt;=525),"1 Star",AND(C102&gt;525,C102&lt;=600),"2 Star",AND(C102&gt;600,C102&lt;=700),"3 Star",AND(C102&gt;700,C102&lt;=750),"4 Star",AND(C102&gt;750,C102&lt;=900),"5 Star")</f>
        <v>2 Star</v>
      </c>
      <c r="S102" cm="1">
        <f t="array" ref="S102">_xlfn.IFS(E102="Male",1,E102="Female",2)</f>
        <v>2</v>
      </c>
      <c r="T102" cm="1">
        <f t="array" ref="T102">_xlfn.IFS(D102="France",1,D102="Germany",2,D102="Spain",3)</f>
        <v>3</v>
      </c>
    </row>
    <row r="103" spans="1:20" x14ac:dyDescent="0.3">
      <c r="A103">
        <v>103</v>
      </c>
      <c r="B103" t="s">
        <v>17</v>
      </c>
      <c r="C103" s="5">
        <v>651</v>
      </c>
      <c r="D103" t="s">
        <v>23</v>
      </c>
      <c r="E103" t="s">
        <v>25</v>
      </c>
      <c r="F103">
        <v>49</v>
      </c>
      <c r="G103" s="5">
        <v>10</v>
      </c>
      <c r="H103" s="4">
        <v>100461.13</v>
      </c>
      <c r="I103" s="5">
        <v>1</v>
      </c>
      <c r="J103">
        <v>0</v>
      </c>
      <c r="K103">
        <v>0</v>
      </c>
      <c r="L103" s="4">
        <v>30554.85</v>
      </c>
      <c r="M103">
        <v>0</v>
      </c>
      <c r="N103" s="4">
        <f t="shared" si="2"/>
        <v>-0.38803342946262909</v>
      </c>
      <c r="O103" s="4">
        <f t="shared" si="3"/>
        <v>-1.2625147770759817</v>
      </c>
      <c r="P103" t="str" cm="1">
        <f t="array" ref="P103">_xlfn.IFS(AND(F103&gt;15,F103&lt;=30), "Youngsters", AND(F103&gt;30,F103&lt;=50), "Adults", AND(F103&gt;50,F103&lt;=70),"Old person", AND(F103&gt;70, F103&lt;92), "Senior Citizens")</f>
        <v>Adults</v>
      </c>
      <c r="Q103" t="str" cm="1">
        <f t="array" ref="Q103">_xlfn.IFS(G103=0,"No Tenure Period",AND(G103&gt;0,G103&lt;=3),"Less Tenure Period",AND(G103&gt;3,G103&lt;=7),"More Tenure Period",AND(G103&gt;7,G103&lt;=10),"Large Tenure Period")</f>
        <v>Large Tenure Period</v>
      </c>
      <c r="R103" t="str" cm="1">
        <f t="array" ref="R103">_xlfn.IFS(AND(C103&gt;300,C103&lt;=525),"1 Star",AND(C103&gt;525,C103&lt;=600),"2 Star",AND(C103&gt;600,C103&lt;=700),"3 Star",AND(C103&gt;700,C103&lt;=750),"4 Star",AND(C103&gt;750,C103&lt;=900),"5 Star")</f>
        <v>3 Star</v>
      </c>
      <c r="S103" cm="1">
        <f t="array" ref="S103">_xlfn.IFS(E103="Male",1,E103="Female",2)</f>
        <v>1</v>
      </c>
      <c r="T103" cm="1">
        <f t="array" ref="T103">_xlfn.IFS(D103="France",1,D103="Germany",2,D103="Spain",3)</f>
        <v>3</v>
      </c>
    </row>
    <row r="104" spans="1:20" x14ac:dyDescent="0.3">
      <c r="A104">
        <v>104</v>
      </c>
      <c r="B104" t="s">
        <v>13</v>
      </c>
      <c r="C104" s="5">
        <v>483</v>
      </c>
      <c r="D104" t="s">
        <v>22</v>
      </c>
      <c r="E104" t="s">
        <v>26</v>
      </c>
      <c r="F104">
        <v>40</v>
      </c>
      <c r="G104" s="5">
        <v>9</v>
      </c>
      <c r="H104" s="4">
        <v>199427.98</v>
      </c>
      <c r="I104" s="5">
        <v>4</v>
      </c>
      <c r="J104">
        <v>1</v>
      </c>
      <c r="K104">
        <v>1</v>
      </c>
      <c r="L104" s="4">
        <v>128540.03</v>
      </c>
      <c r="M104">
        <v>1</v>
      </c>
      <c r="N104" s="4">
        <f t="shared" si="2"/>
        <v>0.98703135271793008</v>
      </c>
      <c r="O104" s="4">
        <f t="shared" si="3"/>
        <v>1.1318845224804854</v>
      </c>
      <c r="P104" t="str" cm="1">
        <f t="array" ref="P104">_xlfn.IFS(AND(F104&gt;15,F104&lt;=30), "Youngsters", AND(F104&gt;30,F104&lt;=50), "Adults", AND(F104&gt;50,F104&lt;=70),"Old person", AND(F104&gt;70, F104&lt;92), "Senior Citizens")</f>
        <v>Adults</v>
      </c>
      <c r="Q104" t="str" cm="1">
        <f t="array" ref="Q104">_xlfn.IFS(G104=0,"No Tenure Period",AND(G104&gt;0,G104&lt;=3),"Less Tenure Period",AND(G104&gt;3,G104&lt;=7),"More Tenure Period",AND(G104&gt;7,G104&lt;=10),"Large Tenure Period")</f>
        <v>Large Tenure Period</v>
      </c>
      <c r="R104" t="str" cm="1">
        <f t="array" ref="R104">_xlfn.IFS(AND(C104&gt;300,C104&lt;=525),"1 Star",AND(C104&gt;525,C104&lt;=600),"2 Star",AND(C104&gt;600,C104&lt;=700),"3 Star",AND(C104&gt;700,C104&lt;=750),"4 Star",AND(C104&gt;750,C104&lt;=900),"5 Star")</f>
        <v>1 Star</v>
      </c>
      <c r="S104" cm="1">
        <f t="array" ref="S104">_xlfn.IFS(E104="Male",1,E104="Female",2)</f>
        <v>2</v>
      </c>
      <c r="T104" cm="1">
        <f t="array" ref="T104">_xlfn.IFS(D104="France",1,D104="Germany",2,D104="Spain",3)</f>
        <v>2</v>
      </c>
    </row>
    <row r="105" spans="1:20" x14ac:dyDescent="0.3">
      <c r="A105">
        <v>105</v>
      </c>
      <c r="B105" t="s">
        <v>15</v>
      </c>
      <c r="C105" s="5">
        <v>397</v>
      </c>
      <c r="D105" t="s">
        <v>23</v>
      </c>
      <c r="E105" t="s">
        <v>25</v>
      </c>
      <c r="F105">
        <v>75</v>
      </c>
      <c r="G105" s="5">
        <v>9</v>
      </c>
      <c r="H105" s="4">
        <v>46.68</v>
      </c>
      <c r="I105" s="5">
        <v>3</v>
      </c>
      <c r="J105">
        <v>1</v>
      </c>
      <c r="K105">
        <v>0</v>
      </c>
      <c r="L105" s="4">
        <v>61080.02</v>
      </c>
      <c r="M105">
        <v>1</v>
      </c>
      <c r="N105" s="4">
        <f t="shared" si="2"/>
        <v>-1.7832114493453539</v>
      </c>
      <c r="O105" s="4">
        <f t="shared" si="3"/>
        <v>-0.51659130510968965</v>
      </c>
      <c r="P105" t="str" cm="1">
        <f t="array" ref="P105">_xlfn.IFS(AND(F105&gt;15,F105&lt;=30), "Youngsters", AND(F105&gt;30,F105&lt;=50), "Adults", AND(F105&gt;50,F105&lt;=70),"Old person", AND(F105&gt;70, F105&lt;92), "Senior Citizens")</f>
        <v>Senior Citizens</v>
      </c>
      <c r="Q105" t="str" cm="1">
        <f t="array" ref="Q105">_xlfn.IFS(G105=0,"No Tenure Period",AND(G105&gt;0,G105&lt;=3),"Less Tenure Period",AND(G105&gt;3,G105&lt;=7),"More Tenure Period",AND(G105&gt;7,G105&lt;=10),"Large Tenure Period")</f>
        <v>Large Tenure Period</v>
      </c>
      <c r="R105" t="str" cm="1">
        <f t="array" ref="R105">_xlfn.IFS(AND(C105&gt;300,C105&lt;=525),"1 Star",AND(C105&gt;525,C105&lt;=600),"2 Star",AND(C105&gt;600,C105&lt;=700),"3 Star",AND(C105&gt;700,C105&lt;=750),"4 Star",AND(C105&gt;750,C105&lt;=900),"5 Star")</f>
        <v>1 Star</v>
      </c>
      <c r="S105" cm="1">
        <f t="array" ref="S105">_xlfn.IFS(E105="Male",1,E105="Female",2)</f>
        <v>1</v>
      </c>
      <c r="T105" cm="1">
        <f t="array" ref="T105">_xlfn.IFS(D105="France",1,D105="Germany",2,D105="Spain",3)</f>
        <v>3</v>
      </c>
    </row>
    <row r="106" spans="1:20" x14ac:dyDescent="0.3">
      <c r="A106">
        <v>106</v>
      </c>
      <c r="B106" t="s">
        <v>12</v>
      </c>
      <c r="C106" s="5">
        <v>537</v>
      </c>
      <c r="D106" t="s">
        <v>24</v>
      </c>
      <c r="E106" t="s">
        <v>26</v>
      </c>
      <c r="F106">
        <v>39</v>
      </c>
      <c r="G106" s="5">
        <v>3</v>
      </c>
      <c r="H106" s="4">
        <v>238648.7</v>
      </c>
      <c r="I106" s="5">
        <v>1</v>
      </c>
      <c r="J106">
        <v>1</v>
      </c>
      <c r="K106">
        <v>1</v>
      </c>
      <c r="L106" s="4">
        <v>71498.5</v>
      </c>
      <c r="M106">
        <v>1</v>
      </c>
      <c r="N106" s="4">
        <f t="shared" si="2"/>
        <v>1.5319717120783087</v>
      </c>
      <c r="O106" s="4">
        <f t="shared" si="3"/>
        <v>-0.26200177213701892</v>
      </c>
      <c r="P106" t="str" cm="1">
        <f t="array" ref="P106">_xlfn.IFS(AND(F106&gt;15,F106&lt;=30), "Youngsters", AND(F106&gt;30,F106&lt;=50), "Adults", AND(F106&gt;50,F106&lt;=70),"Old person", AND(F106&gt;70, F106&lt;92), "Senior Citizens")</f>
        <v>Adults</v>
      </c>
      <c r="Q106" t="str" cm="1">
        <f t="array" ref="Q106">_xlfn.IFS(G106=0,"No Tenure Period",AND(G106&gt;0,G106&lt;=3),"Less Tenure Period",AND(G106&gt;3,G106&lt;=7),"More Tenure Period",AND(G106&gt;7,G106&lt;=10),"Large Tenure Period")</f>
        <v>Less Tenure Period</v>
      </c>
      <c r="R106" t="str" cm="1">
        <f t="array" ref="R106">_xlfn.IFS(AND(C106&gt;300,C106&lt;=525),"1 Star",AND(C106&gt;525,C106&lt;=600),"2 Star",AND(C106&gt;600,C106&lt;=700),"3 Star",AND(C106&gt;700,C106&lt;=750),"4 Star",AND(C106&gt;750,C106&lt;=900),"5 Star")</f>
        <v>2 Star</v>
      </c>
      <c r="S106" cm="1">
        <f t="array" ref="S106">_xlfn.IFS(E106="Male",1,E106="Female",2)</f>
        <v>2</v>
      </c>
      <c r="T106" cm="1">
        <f t="array" ref="T106">_xlfn.IFS(D106="France",1,D106="Germany",2,D106="Spain",3)</f>
        <v>1</v>
      </c>
    </row>
    <row r="107" spans="1:20" x14ac:dyDescent="0.3">
      <c r="A107">
        <v>107</v>
      </c>
      <c r="B107" t="s">
        <v>16</v>
      </c>
      <c r="C107" s="5">
        <v>520</v>
      </c>
      <c r="D107" t="s">
        <v>24</v>
      </c>
      <c r="E107" t="s">
        <v>25</v>
      </c>
      <c r="F107">
        <v>79</v>
      </c>
      <c r="G107" s="5">
        <v>9</v>
      </c>
      <c r="H107" s="4">
        <v>165628.62</v>
      </c>
      <c r="I107" s="5">
        <v>2</v>
      </c>
      <c r="J107">
        <v>0</v>
      </c>
      <c r="K107">
        <v>0</v>
      </c>
      <c r="L107" s="4">
        <v>144375.79999999999</v>
      </c>
      <c r="M107">
        <v>1</v>
      </c>
      <c r="N107" s="4">
        <f t="shared" si="2"/>
        <v>0.51741643018334071</v>
      </c>
      <c r="O107" s="4">
        <f t="shared" si="3"/>
        <v>1.5188528027442691</v>
      </c>
      <c r="P107" t="str" cm="1">
        <f t="array" ref="P107">_xlfn.IFS(AND(F107&gt;15,F107&lt;=30), "Youngsters", AND(F107&gt;30,F107&lt;=50), "Adults", AND(F107&gt;50,F107&lt;=70),"Old person", AND(F107&gt;70, F107&lt;92), "Senior Citizens")</f>
        <v>Senior Citizens</v>
      </c>
      <c r="Q107" t="str" cm="1">
        <f t="array" ref="Q107">_xlfn.IFS(G107=0,"No Tenure Period",AND(G107&gt;0,G107&lt;=3),"Less Tenure Period",AND(G107&gt;3,G107&lt;=7),"More Tenure Period",AND(G107&gt;7,G107&lt;=10),"Large Tenure Period")</f>
        <v>Large Tenure Period</v>
      </c>
      <c r="R107" t="str" cm="1">
        <f t="array" ref="R107">_xlfn.IFS(AND(C107&gt;300,C107&lt;=525),"1 Star",AND(C107&gt;525,C107&lt;=600),"2 Star",AND(C107&gt;600,C107&lt;=700),"3 Star",AND(C107&gt;700,C107&lt;=750),"4 Star",AND(C107&gt;750,C107&lt;=900),"5 Star")</f>
        <v>1 Star</v>
      </c>
      <c r="S107" cm="1">
        <f t="array" ref="S107">_xlfn.IFS(E107="Male",1,E107="Female",2)</f>
        <v>1</v>
      </c>
      <c r="T107" cm="1">
        <f t="array" ref="T107">_xlfn.IFS(D107="France",1,D107="Germany",2,D107="Spain",3)</f>
        <v>1</v>
      </c>
    </row>
    <row r="108" spans="1:20" x14ac:dyDescent="0.3">
      <c r="A108">
        <v>108</v>
      </c>
      <c r="B108" t="s">
        <v>13</v>
      </c>
      <c r="C108" s="5">
        <v>801</v>
      </c>
      <c r="D108" t="s">
        <v>23</v>
      </c>
      <c r="E108" t="s">
        <v>26</v>
      </c>
      <c r="F108">
        <v>59</v>
      </c>
      <c r="G108" s="5">
        <v>10</v>
      </c>
      <c r="H108" s="4">
        <v>77661.960000000006</v>
      </c>
      <c r="I108" s="5">
        <v>2</v>
      </c>
      <c r="J108">
        <v>0</v>
      </c>
      <c r="K108">
        <v>0</v>
      </c>
      <c r="L108" s="4">
        <v>74188.759999999995</v>
      </c>
      <c r="M108">
        <v>0</v>
      </c>
      <c r="N108" s="4">
        <f t="shared" si="2"/>
        <v>-0.70480955934801526</v>
      </c>
      <c r="O108" s="4">
        <f t="shared" si="3"/>
        <v>-0.19626166062602546</v>
      </c>
      <c r="P108" t="str" cm="1">
        <f t="array" ref="P108">_xlfn.IFS(AND(F108&gt;15,F108&lt;=30), "Youngsters", AND(F108&gt;30,F108&lt;=50), "Adults", AND(F108&gt;50,F108&lt;=70),"Old person", AND(F108&gt;70, F108&lt;92), "Senior Citizens")</f>
        <v>Old person</v>
      </c>
      <c r="Q108" t="str" cm="1">
        <f t="array" ref="Q108">_xlfn.IFS(G108=0,"No Tenure Period",AND(G108&gt;0,G108&lt;=3),"Less Tenure Period",AND(G108&gt;3,G108&lt;=7),"More Tenure Period",AND(G108&gt;7,G108&lt;=10),"Large Tenure Period")</f>
        <v>Large Tenure Period</v>
      </c>
      <c r="R108" t="str" cm="1">
        <f t="array" ref="R108">_xlfn.IFS(AND(C108&gt;300,C108&lt;=525),"1 Star",AND(C108&gt;525,C108&lt;=600),"2 Star",AND(C108&gt;600,C108&lt;=700),"3 Star",AND(C108&gt;700,C108&lt;=750),"4 Star",AND(C108&gt;750,C108&lt;=900),"5 Star")</f>
        <v>5 Star</v>
      </c>
      <c r="S108" cm="1">
        <f t="array" ref="S108">_xlfn.IFS(E108="Male",1,E108="Female",2)</f>
        <v>2</v>
      </c>
      <c r="T108" cm="1">
        <f t="array" ref="T108">_xlfn.IFS(D108="France",1,D108="Germany",2,D108="Spain",3)</f>
        <v>3</v>
      </c>
    </row>
    <row r="109" spans="1:20" x14ac:dyDescent="0.3">
      <c r="A109">
        <v>109</v>
      </c>
      <c r="B109" t="s">
        <v>17</v>
      </c>
      <c r="C109" s="5">
        <v>488</v>
      </c>
      <c r="D109" t="s">
        <v>22</v>
      </c>
      <c r="E109" t="s">
        <v>25</v>
      </c>
      <c r="F109">
        <v>59</v>
      </c>
      <c r="G109" s="5">
        <v>3</v>
      </c>
      <c r="H109" s="4">
        <v>122455.34</v>
      </c>
      <c r="I109" s="5">
        <v>4</v>
      </c>
      <c r="J109">
        <v>0</v>
      </c>
      <c r="K109">
        <v>1</v>
      </c>
      <c r="L109" s="4">
        <v>21425.94</v>
      </c>
      <c r="M109">
        <v>1</v>
      </c>
      <c r="N109" s="4">
        <f t="shared" si="2"/>
        <v>-8.2441571351721601E-2</v>
      </c>
      <c r="O109" s="4">
        <f t="shared" si="3"/>
        <v>-1.4855919374150657</v>
      </c>
      <c r="P109" t="str" cm="1">
        <f t="array" ref="P109">_xlfn.IFS(AND(F109&gt;15,F109&lt;=30), "Youngsters", AND(F109&gt;30,F109&lt;=50), "Adults", AND(F109&gt;50,F109&lt;=70),"Old person", AND(F109&gt;70, F109&lt;92), "Senior Citizens")</f>
        <v>Old person</v>
      </c>
      <c r="Q109" t="str" cm="1">
        <f t="array" ref="Q109">_xlfn.IFS(G109=0,"No Tenure Period",AND(G109&gt;0,G109&lt;=3),"Less Tenure Period",AND(G109&gt;3,G109&lt;=7),"More Tenure Period",AND(G109&gt;7,G109&lt;=10),"Large Tenure Period")</f>
        <v>Less Tenure Period</v>
      </c>
      <c r="R109" t="str" cm="1">
        <f t="array" ref="R109">_xlfn.IFS(AND(C109&gt;300,C109&lt;=525),"1 Star",AND(C109&gt;525,C109&lt;=600),"2 Star",AND(C109&gt;600,C109&lt;=700),"3 Star",AND(C109&gt;700,C109&lt;=750),"4 Star",AND(C109&gt;750,C109&lt;=900),"5 Star")</f>
        <v>1 Star</v>
      </c>
      <c r="S109" cm="1">
        <f t="array" ref="S109">_xlfn.IFS(E109="Male",1,E109="Female",2)</f>
        <v>1</v>
      </c>
      <c r="T109" cm="1">
        <f t="array" ref="T109">_xlfn.IFS(D109="France",1,D109="Germany",2,D109="Spain",3)</f>
        <v>2</v>
      </c>
    </row>
    <row r="110" spans="1:20" x14ac:dyDescent="0.3">
      <c r="A110">
        <v>110</v>
      </c>
      <c r="B110" t="s">
        <v>15</v>
      </c>
      <c r="C110" s="5">
        <v>592</v>
      </c>
      <c r="D110" t="s">
        <v>23</v>
      </c>
      <c r="E110" t="s">
        <v>25</v>
      </c>
      <c r="F110">
        <v>41</v>
      </c>
      <c r="G110" s="5">
        <v>4</v>
      </c>
      <c r="H110" s="4">
        <v>66018.19</v>
      </c>
      <c r="I110" s="5">
        <v>3</v>
      </c>
      <c r="J110">
        <v>0</v>
      </c>
      <c r="K110">
        <v>0</v>
      </c>
      <c r="L110" s="4">
        <v>102543.92</v>
      </c>
      <c r="M110">
        <v>0</v>
      </c>
      <c r="N110" s="4">
        <f t="shared" si="2"/>
        <v>-0.86659037846886766</v>
      </c>
      <c r="O110" s="4">
        <f t="shared" si="3"/>
        <v>0.49663470638387913</v>
      </c>
      <c r="P110" t="str" cm="1">
        <f t="array" ref="P110">_xlfn.IFS(AND(F110&gt;15,F110&lt;=30), "Youngsters", AND(F110&gt;30,F110&lt;=50), "Adults", AND(F110&gt;50,F110&lt;=70),"Old person", AND(F110&gt;70, F110&lt;92), "Senior Citizens")</f>
        <v>Adults</v>
      </c>
      <c r="Q110" t="str" cm="1">
        <f t="array" ref="Q110">_xlfn.IFS(G110=0,"No Tenure Period",AND(G110&gt;0,G110&lt;=3),"Less Tenure Period",AND(G110&gt;3,G110&lt;=7),"More Tenure Period",AND(G110&gt;7,G110&lt;=10),"Large Tenure Period")</f>
        <v>More Tenure Period</v>
      </c>
      <c r="R110" t="str" cm="1">
        <f t="array" ref="R110">_xlfn.IFS(AND(C110&gt;300,C110&lt;=525),"1 Star",AND(C110&gt;525,C110&lt;=600),"2 Star",AND(C110&gt;600,C110&lt;=700),"3 Star",AND(C110&gt;700,C110&lt;=750),"4 Star",AND(C110&gt;750,C110&lt;=900),"5 Star")</f>
        <v>2 Star</v>
      </c>
      <c r="S110" cm="1">
        <f t="array" ref="S110">_xlfn.IFS(E110="Male",1,E110="Female",2)</f>
        <v>1</v>
      </c>
      <c r="T110" cm="1">
        <f t="array" ref="T110">_xlfn.IFS(D110="France",1,D110="Germany",2,D110="Spain",3)</f>
        <v>3</v>
      </c>
    </row>
    <row r="111" spans="1:20" x14ac:dyDescent="0.3">
      <c r="A111">
        <v>111</v>
      </c>
      <c r="B111" t="s">
        <v>17</v>
      </c>
      <c r="C111" s="5">
        <v>663</v>
      </c>
      <c r="D111" t="s">
        <v>24</v>
      </c>
      <c r="E111" t="s">
        <v>26</v>
      </c>
      <c r="F111">
        <v>70</v>
      </c>
      <c r="G111" s="5">
        <v>6</v>
      </c>
      <c r="H111" s="4">
        <v>108982.82</v>
      </c>
      <c r="I111" s="5">
        <v>4</v>
      </c>
      <c r="J111">
        <v>0</v>
      </c>
      <c r="K111">
        <v>0</v>
      </c>
      <c r="L111" s="4">
        <v>110349.05</v>
      </c>
      <c r="M111">
        <v>1</v>
      </c>
      <c r="N111" s="4">
        <f t="shared" si="2"/>
        <v>-0.26963140086759696</v>
      </c>
      <c r="O111" s="4">
        <f t="shared" si="3"/>
        <v>0.68736352685394586</v>
      </c>
      <c r="P111" t="str" cm="1">
        <f t="array" ref="P111">_xlfn.IFS(AND(F111&gt;15,F111&lt;=30), "Youngsters", AND(F111&gt;30,F111&lt;=50), "Adults", AND(F111&gt;50,F111&lt;=70),"Old person", AND(F111&gt;70, F111&lt;92), "Senior Citizens")</f>
        <v>Old person</v>
      </c>
      <c r="Q111" t="str" cm="1">
        <f t="array" ref="Q111">_xlfn.IFS(G111=0,"No Tenure Period",AND(G111&gt;0,G111&lt;=3),"Less Tenure Period",AND(G111&gt;3,G111&lt;=7),"More Tenure Period",AND(G111&gt;7,G111&lt;=10),"Large Tenure Period")</f>
        <v>More Tenure Period</v>
      </c>
      <c r="R111" t="str" cm="1">
        <f t="array" ref="R111">_xlfn.IFS(AND(C111&gt;300,C111&lt;=525),"1 Star",AND(C111&gt;525,C111&lt;=600),"2 Star",AND(C111&gt;600,C111&lt;=700),"3 Star",AND(C111&gt;700,C111&lt;=750),"4 Star",AND(C111&gt;750,C111&lt;=900),"5 Star")</f>
        <v>3 Star</v>
      </c>
      <c r="S111" cm="1">
        <f t="array" ref="S111">_xlfn.IFS(E111="Male",1,E111="Female",2)</f>
        <v>2</v>
      </c>
      <c r="T111" cm="1">
        <f t="array" ref="T111">_xlfn.IFS(D111="France",1,D111="Germany",2,D111="Spain",3)</f>
        <v>1</v>
      </c>
    </row>
    <row r="112" spans="1:20" x14ac:dyDescent="0.3">
      <c r="A112">
        <v>112</v>
      </c>
      <c r="B112" t="s">
        <v>16</v>
      </c>
      <c r="C112" s="5">
        <v>825</v>
      </c>
      <c r="D112" t="s">
        <v>24</v>
      </c>
      <c r="E112" t="s">
        <v>25</v>
      </c>
      <c r="F112">
        <v>41</v>
      </c>
      <c r="G112" s="5">
        <v>5</v>
      </c>
      <c r="H112" s="4">
        <v>159554.78</v>
      </c>
      <c r="I112" s="5">
        <v>3</v>
      </c>
      <c r="J112">
        <v>0</v>
      </c>
      <c r="K112">
        <v>1</v>
      </c>
      <c r="L112" s="4">
        <v>75419.12</v>
      </c>
      <c r="M112">
        <v>0</v>
      </c>
      <c r="N112" s="4">
        <f t="shared" si="2"/>
        <v>0.43302530854412963</v>
      </c>
      <c r="O112" s="4">
        <f t="shared" si="3"/>
        <v>-0.16619616376004739</v>
      </c>
      <c r="P112" t="str" cm="1">
        <f t="array" ref="P112">_xlfn.IFS(AND(F112&gt;15,F112&lt;=30), "Youngsters", AND(F112&gt;30,F112&lt;=50), "Adults", AND(F112&gt;50,F112&lt;=70),"Old person", AND(F112&gt;70, F112&lt;92), "Senior Citizens")</f>
        <v>Adults</v>
      </c>
      <c r="Q112" t="str" cm="1">
        <f t="array" ref="Q112">_xlfn.IFS(G112=0,"No Tenure Period",AND(G112&gt;0,G112&lt;=3),"Less Tenure Period",AND(G112&gt;3,G112&lt;=7),"More Tenure Period",AND(G112&gt;7,G112&lt;=10),"Large Tenure Period")</f>
        <v>More Tenure Period</v>
      </c>
      <c r="R112" t="str" cm="1">
        <f t="array" ref="R112">_xlfn.IFS(AND(C112&gt;300,C112&lt;=525),"1 Star",AND(C112&gt;525,C112&lt;=600),"2 Star",AND(C112&gt;600,C112&lt;=700),"3 Star",AND(C112&gt;700,C112&lt;=750),"4 Star",AND(C112&gt;750,C112&lt;=900),"5 Star")</f>
        <v>5 Star</v>
      </c>
      <c r="S112" cm="1">
        <f t="array" ref="S112">_xlfn.IFS(E112="Male",1,E112="Female",2)</f>
        <v>1</v>
      </c>
      <c r="T112" cm="1">
        <f t="array" ref="T112">_xlfn.IFS(D112="France",1,D112="Germany",2,D112="Spain",3)</f>
        <v>1</v>
      </c>
    </row>
    <row r="113" spans="1:20" x14ac:dyDescent="0.3">
      <c r="A113">
        <v>113</v>
      </c>
      <c r="B113" t="s">
        <v>17</v>
      </c>
      <c r="C113" s="5">
        <v>695</v>
      </c>
      <c r="D113" t="s">
        <v>23</v>
      </c>
      <c r="E113" t="s">
        <v>25</v>
      </c>
      <c r="F113">
        <v>90</v>
      </c>
      <c r="G113" s="5">
        <v>7</v>
      </c>
      <c r="H113" s="4">
        <v>168519.32</v>
      </c>
      <c r="I113" s="5">
        <v>2</v>
      </c>
      <c r="J113">
        <v>1</v>
      </c>
      <c r="K113">
        <v>0</v>
      </c>
      <c r="L113" s="4">
        <v>108422.12</v>
      </c>
      <c r="M113">
        <v>0</v>
      </c>
      <c r="N113" s="4">
        <f t="shared" si="2"/>
        <v>0.55758038170700108</v>
      </c>
      <c r="O113" s="4">
        <f t="shared" si="3"/>
        <v>0.64027640773762284</v>
      </c>
      <c r="P113" t="str" cm="1">
        <f t="array" ref="P113">_xlfn.IFS(AND(F113&gt;15,F113&lt;=30), "Youngsters", AND(F113&gt;30,F113&lt;=50), "Adults", AND(F113&gt;50,F113&lt;=70),"Old person", AND(F113&gt;70, F113&lt;92), "Senior Citizens")</f>
        <v>Senior Citizens</v>
      </c>
      <c r="Q113" t="str" cm="1">
        <f t="array" ref="Q113">_xlfn.IFS(G113=0,"No Tenure Period",AND(G113&gt;0,G113&lt;=3),"Less Tenure Period",AND(G113&gt;3,G113&lt;=7),"More Tenure Period",AND(G113&gt;7,G113&lt;=10),"Large Tenure Period")</f>
        <v>More Tenure Period</v>
      </c>
      <c r="R113" t="str" cm="1">
        <f t="array" ref="R113">_xlfn.IFS(AND(C113&gt;300,C113&lt;=525),"1 Star",AND(C113&gt;525,C113&lt;=600),"2 Star",AND(C113&gt;600,C113&lt;=700),"3 Star",AND(C113&gt;700,C113&lt;=750),"4 Star",AND(C113&gt;750,C113&lt;=900),"5 Star")</f>
        <v>3 Star</v>
      </c>
      <c r="S113" cm="1">
        <f t="array" ref="S113">_xlfn.IFS(E113="Male",1,E113="Female",2)</f>
        <v>1</v>
      </c>
      <c r="T113" cm="1">
        <f t="array" ref="T113">_xlfn.IFS(D113="France",1,D113="Germany",2,D113="Spain",3)</f>
        <v>3</v>
      </c>
    </row>
    <row r="114" spans="1:20" x14ac:dyDescent="0.3">
      <c r="A114">
        <v>114</v>
      </c>
      <c r="B114" t="s">
        <v>14</v>
      </c>
      <c r="C114" s="5">
        <v>737</v>
      </c>
      <c r="D114" t="s">
        <v>24</v>
      </c>
      <c r="E114" t="s">
        <v>26</v>
      </c>
      <c r="F114">
        <v>59</v>
      </c>
      <c r="G114" s="5">
        <v>1</v>
      </c>
      <c r="H114" s="4">
        <v>80693.34</v>
      </c>
      <c r="I114" s="5">
        <v>4</v>
      </c>
      <c r="J114">
        <v>0</v>
      </c>
      <c r="K114">
        <v>1</v>
      </c>
      <c r="L114" s="4">
        <v>65451.93</v>
      </c>
      <c r="M114">
        <v>0</v>
      </c>
      <c r="N114" s="4">
        <f t="shared" si="2"/>
        <v>-0.66269097237261398</v>
      </c>
      <c r="O114" s="4">
        <f t="shared" si="3"/>
        <v>-0.40975782027326924</v>
      </c>
      <c r="P114" t="str" cm="1">
        <f t="array" ref="P114">_xlfn.IFS(AND(F114&gt;15,F114&lt;=30), "Youngsters", AND(F114&gt;30,F114&lt;=50), "Adults", AND(F114&gt;50,F114&lt;=70),"Old person", AND(F114&gt;70, F114&lt;92), "Senior Citizens")</f>
        <v>Old person</v>
      </c>
      <c r="Q114" t="str" cm="1">
        <f t="array" ref="Q114">_xlfn.IFS(G114=0,"No Tenure Period",AND(G114&gt;0,G114&lt;=3),"Less Tenure Period",AND(G114&gt;3,G114&lt;=7),"More Tenure Period",AND(G114&gt;7,G114&lt;=10),"Large Tenure Period")</f>
        <v>Less Tenure Period</v>
      </c>
      <c r="R114" t="str" cm="1">
        <f t="array" ref="R114">_xlfn.IFS(AND(C114&gt;300,C114&lt;=525),"1 Star",AND(C114&gt;525,C114&lt;=600),"2 Star",AND(C114&gt;600,C114&lt;=700),"3 Star",AND(C114&gt;700,C114&lt;=750),"4 Star",AND(C114&gt;750,C114&lt;=900),"5 Star")</f>
        <v>4 Star</v>
      </c>
      <c r="S114" cm="1">
        <f t="array" ref="S114">_xlfn.IFS(E114="Male",1,E114="Female",2)</f>
        <v>2</v>
      </c>
      <c r="T114" cm="1">
        <f t="array" ref="T114">_xlfn.IFS(D114="France",1,D114="Germany",2,D114="Spain",3)</f>
        <v>1</v>
      </c>
    </row>
    <row r="115" spans="1:20" x14ac:dyDescent="0.3">
      <c r="A115">
        <v>115</v>
      </c>
      <c r="B115" t="s">
        <v>14</v>
      </c>
      <c r="C115" s="5">
        <v>475</v>
      </c>
      <c r="D115" t="s">
        <v>23</v>
      </c>
      <c r="E115" t="s">
        <v>26</v>
      </c>
      <c r="F115">
        <v>78</v>
      </c>
      <c r="G115" s="5">
        <v>5</v>
      </c>
      <c r="H115" s="4">
        <v>5741.56</v>
      </c>
      <c r="I115" s="5">
        <v>3</v>
      </c>
      <c r="J115">
        <v>0</v>
      </c>
      <c r="K115">
        <v>1</v>
      </c>
      <c r="L115" s="4">
        <v>136090.56</v>
      </c>
      <c r="M115">
        <v>0</v>
      </c>
      <c r="N115" s="4">
        <f t="shared" si="2"/>
        <v>-1.704085672110407</v>
      </c>
      <c r="O115" s="4">
        <f t="shared" si="3"/>
        <v>1.3163918504588603</v>
      </c>
      <c r="P115" t="str" cm="1">
        <f t="array" ref="P115">_xlfn.IFS(AND(F115&gt;15,F115&lt;=30), "Youngsters", AND(F115&gt;30,F115&lt;=50), "Adults", AND(F115&gt;50,F115&lt;=70),"Old person", AND(F115&gt;70, F115&lt;92), "Senior Citizens")</f>
        <v>Senior Citizens</v>
      </c>
      <c r="Q115" t="str" cm="1">
        <f t="array" ref="Q115">_xlfn.IFS(G115=0,"No Tenure Period",AND(G115&gt;0,G115&lt;=3),"Less Tenure Period",AND(G115&gt;3,G115&lt;=7),"More Tenure Period",AND(G115&gt;7,G115&lt;=10),"Large Tenure Period")</f>
        <v>More Tenure Period</v>
      </c>
      <c r="R115" t="str" cm="1">
        <f t="array" ref="R115">_xlfn.IFS(AND(C115&gt;300,C115&lt;=525),"1 Star",AND(C115&gt;525,C115&lt;=600),"2 Star",AND(C115&gt;600,C115&lt;=700),"3 Star",AND(C115&gt;700,C115&lt;=750),"4 Star",AND(C115&gt;750,C115&lt;=900),"5 Star")</f>
        <v>1 Star</v>
      </c>
      <c r="S115" cm="1">
        <f t="array" ref="S115">_xlfn.IFS(E115="Male",1,E115="Female",2)</f>
        <v>2</v>
      </c>
      <c r="T115" cm="1">
        <f t="array" ref="T115">_xlfn.IFS(D115="France",1,D115="Germany",2,D115="Spain",3)</f>
        <v>3</v>
      </c>
    </row>
    <row r="116" spans="1:20" x14ac:dyDescent="0.3">
      <c r="A116">
        <v>116</v>
      </c>
      <c r="B116" t="s">
        <v>17</v>
      </c>
      <c r="C116" s="5">
        <v>556</v>
      </c>
      <c r="D116" t="s">
        <v>24</v>
      </c>
      <c r="E116" t="s">
        <v>25</v>
      </c>
      <c r="F116">
        <v>65</v>
      </c>
      <c r="G116" s="5">
        <v>7</v>
      </c>
      <c r="H116" s="4">
        <v>94298.58</v>
      </c>
      <c r="I116" s="5">
        <v>1</v>
      </c>
      <c r="J116">
        <v>1</v>
      </c>
      <c r="K116">
        <v>0</v>
      </c>
      <c r="L116" s="4">
        <v>117883.52</v>
      </c>
      <c r="M116">
        <v>1</v>
      </c>
      <c r="N116" s="4">
        <f t="shared" si="2"/>
        <v>-0.47365710520280679</v>
      </c>
      <c r="O116" s="4">
        <f t="shared" si="3"/>
        <v>0.87147840719125014</v>
      </c>
      <c r="P116" t="str" cm="1">
        <f t="array" ref="P116">_xlfn.IFS(AND(F116&gt;15,F116&lt;=30), "Youngsters", AND(F116&gt;30,F116&lt;=50), "Adults", AND(F116&gt;50,F116&lt;=70),"Old person", AND(F116&gt;70, F116&lt;92), "Senior Citizens")</f>
        <v>Old person</v>
      </c>
      <c r="Q116" t="str" cm="1">
        <f t="array" ref="Q116">_xlfn.IFS(G116=0,"No Tenure Period",AND(G116&gt;0,G116&lt;=3),"Less Tenure Period",AND(G116&gt;3,G116&lt;=7),"More Tenure Period",AND(G116&gt;7,G116&lt;=10),"Large Tenure Period")</f>
        <v>More Tenure Period</v>
      </c>
      <c r="R116" t="str" cm="1">
        <f t="array" ref="R116">_xlfn.IFS(AND(C116&gt;300,C116&lt;=525),"1 Star",AND(C116&gt;525,C116&lt;=600),"2 Star",AND(C116&gt;600,C116&lt;=700),"3 Star",AND(C116&gt;700,C116&lt;=750),"4 Star",AND(C116&gt;750,C116&lt;=900),"5 Star")</f>
        <v>2 Star</v>
      </c>
      <c r="S116" cm="1">
        <f t="array" ref="S116">_xlfn.IFS(E116="Male",1,E116="Female",2)</f>
        <v>1</v>
      </c>
      <c r="T116" cm="1">
        <f t="array" ref="T116">_xlfn.IFS(D116="France",1,D116="Germany",2,D116="Spain",3)</f>
        <v>1</v>
      </c>
    </row>
    <row r="117" spans="1:20" x14ac:dyDescent="0.3">
      <c r="A117">
        <v>117</v>
      </c>
      <c r="B117" t="s">
        <v>14</v>
      </c>
      <c r="C117" s="5">
        <v>688</v>
      </c>
      <c r="D117" t="s">
        <v>22</v>
      </c>
      <c r="E117" t="s">
        <v>25</v>
      </c>
      <c r="F117">
        <v>33</v>
      </c>
      <c r="G117" s="5">
        <v>6</v>
      </c>
      <c r="H117" s="4">
        <v>93844.5</v>
      </c>
      <c r="I117" s="5">
        <v>4</v>
      </c>
      <c r="J117">
        <v>1</v>
      </c>
      <c r="K117">
        <v>0</v>
      </c>
      <c r="L117" s="4">
        <v>49103.38</v>
      </c>
      <c r="M117">
        <v>1</v>
      </c>
      <c r="N117" s="4">
        <f t="shared" si="2"/>
        <v>-0.47996618158841015</v>
      </c>
      <c r="O117" s="4">
        <f t="shared" si="3"/>
        <v>-0.80925656762224474</v>
      </c>
      <c r="P117" t="str" cm="1">
        <f t="array" ref="P117">_xlfn.IFS(AND(F117&gt;15,F117&lt;=30), "Youngsters", AND(F117&gt;30,F117&lt;=50), "Adults", AND(F117&gt;50,F117&lt;=70),"Old person", AND(F117&gt;70, F117&lt;92), "Senior Citizens")</f>
        <v>Adults</v>
      </c>
      <c r="Q117" t="str" cm="1">
        <f t="array" ref="Q117">_xlfn.IFS(G117=0,"No Tenure Period",AND(G117&gt;0,G117&lt;=3),"Less Tenure Period",AND(G117&gt;3,G117&lt;=7),"More Tenure Period",AND(G117&gt;7,G117&lt;=10),"Large Tenure Period")</f>
        <v>More Tenure Period</v>
      </c>
      <c r="R117" t="str" cm="1">
        <f t="array" ref="R117">_xlfn.IFS(AND(C117&gt;300,C117&lt;=525),"1 Star",AND(C117&gt;525,C117&lt;=600),"2 Star",AND(C117&gt;600,C117&lt;=700),"3 Star",AND(C117&gt;700,C117&lt;=750),"4 Star",AND(C117&gt;750,C117&lt;=900),"5 Star")</f>
        <v>3 Star</v>
      </c>
      <c r="S117" cm="1">
        <f t="array" ref="S117">_xlfn.IFS(E117="Male",1,E117="Female",2)</f>
        <v>1</v>
      </c>
      <c r="T117" cm="1">
        <f t="array" ref="T117">_xlfn.IFS(D117="France",1,D117="Germany",2,D117="Spain",3)</f>
        <v>2</v>
      </c>
    </row>
    <row r="118" spans="1:20" x14ac:dyDescent="0.3">
      <c r="A118">
        <v>118</v>
      </c>
      <c r="B118" t="s">
        <v>18</v>
      </c>
      <c r="C118" s="5">
        <v>547</v>
      </c>
      <c r="D118" t="s">
        <v>24</v>
      </c>
      <c r="E118" t="s">
        <v>25</v>
      </c>
      <c r="F118">
        <v>54</v>
      </c>
      <c r="G118" s="5">
        <v>6</v>
      </c>
      <c r="H118" s="4">
        <v>103006.1</v>
      </c>
      <c r="I118" s="5">
        <v>2</v>
      </c>
      <c r="J118">
        <v>1</v>
      </c>
      <c r="K118">
        <v>1</v>
      </c>
      <c r="L118" s="4">
        <v>76101.240000000005</v>
      </c>
      <c r="M118">
        <v>1</v>
      </c>
      <c r="N118" s="4">
        <f t="shared" si="2"/>
        <v>-0.35267311821996489</v>
      </c>
      <c r="O118" s="4">
        <f t="shared" si="3"/>
        <v>-0.14952764664130067</v>
      </c>
      <c r="P118" t="str" cm="1">
        <f t="array" ref="P118">_xlfn.IFS(AND(F118&gt;15,F118&lt;=30), "Youngsters", AND(F118&gt;30,F118&lt;=50), "Adults", AND(F118&gt;50,F118&lt;=70),"Old person", AND(F118&gt;70, F118&lt;92), "Senior Citizens")</f>
        <v>Old person</v>
      </c>
      <c r="Q118" t="str" cm="1">
        <f t="array" ref="Q118">_xlfn.IFS(G118=0,"No Tenure Period",AND(G118&gt;0,G118&lt;=3),"Less Tenure Period",AND(G118&gt;3,G118&lt;=7),"More Tenure Period",AND(G118&gt;7,G118&lt;=10),"Large Tenure Period")</f>
        <v>More Tenure Period</v>
      </c>
      <c r="R118" t="str" cm="1">
        <f t="array" ref="R118">_xlfn.IFS(AND(C118&gt;300,C118&lt;=525),"1 Star",AND(C118&gt;525,C118&lt;=600),"2 Star",AND(C118&gt;600,C118&lt;=700),"3 Star",AND(C118&gt;700,C118&lt;=750),"4 Star",AND(C118&gt;750,C118&lt;=900),"5 Star")</f>
        <v>2 Star</v>
      </c>
      <c r="S118" cm="1">
        <f t="array" ref="S118">_xlfn.IFS(E118="Male",1,E118="Female",2)</f>
        <v>1</v>
      </c>
      <c r="T118" cm="1">
        <f t="array" ref="T118">_xlfn.IFS(D118="France",1,D118="Germany",2,D118="Spain",3)</f>
        <v>1</v>
      </c>
    </row>
    <row r="119" spans="1:20" x14ac:dyDescent="0.3">
      <c r="A119">
        <v>119</v>
      </c>
      <c r="B119" t="s">
        <v>21</v>
      </c>
      <c r="C119" s="5">
        <v>536</v>
      </c>
      <c r="D119" t="s">
        <v>23</v>
      </c>
      <c r="E119" t="s">
        <v>26</v>
      </c>
      <c r="F119">
        <v>83</v>
      </c>
      <c r="G119" s="5">
        <v>6</v>
      </c>
      <c r="H119" s="4">
        <v>241431.37</v>
      </c>
      <c r="I119" s="5">
        <v>4</v>
      </c>
      <c r="J119">
        <v>1</v>
      </c>
      <c r="K119">
        <v>1</v>
      </c>
      <c r="L119" s="4">
        <v>111107.96</v>
      </c>
      <c r="M119">
        <v>0</v>
      </c>
      <c r="N119" s="4">
        <f t="shared" si="2"/>
        <v>1.5706346736399868</v>
      </c>
      <c r="O119" s="4">
        <f t="shared" si="3"/>
        <v>0.70590851062012772</v>
      </c>
      <c r="P119" t="str" cm="1">
        <f t="array" ref="P119">_xlfn.IFS(AND(F119&gt;15,F119&lt;=30), "Youngsters", AND(F119&gt;30,F119&lt;=50), "Adults", AND(F119&gt;50,F119&lt;=70),"Old person", AND(F119&gt;70, F119&lt;92), "Senior Citizens")</f>
        <v>Senior Citizens</v>
      </c>
      <c r="Q119" t="str" cm="1">
        <f t="array" ref="Q119">_xlfn.IFS(G119=0,"No Tenure Period",AND(G119&gt;0,G119&lt;=3),"Less Tenure Period",AND(G119&gt;3,G119&lt;=7),"More Tenure Period",AND(G119&gt;7,G119&lt;=10),"Large Tenure Period")</f>
        <v>More Tenure Period</v>
      </c>
      <c r="R119" t="str" cm="1">
        <f t="array" ref="R119">_xlfn.IFS(AND(C119&gt;300,C119&lt;=525),"1 Star",AND(C119&gt;525,C119&lt;=600),"2 Star",AND(C119&gt;600,C119&lt;=700),"3 Star",AND(C119&gt;700,C119&lt;=750),"4 Star",AND(C119&gt;750,C119&lt;=900),"5 Star")</f>
        <v>2 Star</v>
      </c>
      <c r="S119" cm="1">
        <f t="array" ref="S119">_xlfn.IFS(E119="Male",1,E119="Female",2)</f>
        <v>2</v>
      </c>
      <c r="T119" cm="1">
        <f t="array" ref="T119">_xlfn.IFS(D119="France",1,D119="Germany",2,D119="Spain",3)</f>
        <v>3</v>
      </c>
    </row>
    <row r="120" spans="1:20" x14ac:dyDescent="0.3">
      <c r="A120">
        <v>120</v>
      </c>
      <c r="B120" t="s">
        <v>17</v>
      </c>
      <c r="C120" s="5">
        <v>738</v>
      </c>
      <c r="D120" t="s">
        <v>23</v>
      </c>
      <c r="E120" t="s">
        <v>26</v>
      </c>
      <c r="F120">
        <v>60</v>
      </c>
      <c r="G120" s="5">
        <v>1</v>
      </c>
      <c r="H120" s="4">
        <v>242524.24</v>
      </c>
      <c r="I120" s="5">
        <v>2</v>
      </c>
      <c r="J120">
        <v>1</v>
      </c>
      <c r="K120">
        <v>0</v>
      </c>
      <c r="L120" s="4">
        <v>84784.47</v>
      </c>
      <c r="M120">
        <v>0</v>
      </c>
      <c r="N120" s="4">
        <f t="shared" si="2"/>
        <v>1.5858192232998141</v>
      </c>
      <c r="O120" s="4">
        <f t="shared" si="3"/>
        <v>6.2658725112955366E-2</v>
      </c>
      <c r="P120" t="str" cm="1">
        <f t="array" ref="P120">_xlfn.IFS(AND(F120&gt;15,F120&lt;=30), "Youngsters", AND(F120&gt;30,F120&lt;=50), "Adults", AND(F120&gt;50,F120&lt;=70),"Old person", AND(F120&gt;70, F120&lt;92), "Senior Citizens")</f>
        <v>Old person</v>
      </c>
      <c r="Q120" t="str" cm="1">
        <f t="array" ref="Q120">_xlfn.IFS(G120=0,"No Tenure Period",AND(G120&gt;0,G120&lt;=3),"Less Tenure Period",AND(G120&gt;3,G120&lt;=7),"More Tenure Period",AND(G120&gt;7,G120&lt;=10),"Large Tenure Period")</f>
        <v>Less Tenure Period</v>
      </c>
      <c r="R120" t="str" cm="1">
        <f t="array" ref="R120">_xlfn.IFS(AND(C120&gt;300,C120&lt;=525),"1 Star",AND(C120&gt;525,C120&lt;=600),"2 Star",AND(C120&gt;600,C120&lt;=700),"3 Star",AND(C120&gt;700,C120&lt;=750),"4 Star",AND(C120&gt;750,C120&lt;=900),"5 Star")</f>
        <v>4 Star</v>
      </c>
      <c r="S120" cm="1">
        <f t="array" ref="S120">_xlfn.IFS(E120="Male",1,E120="Female",2)</f>
        <v>2</v>
      </c>
      <c r="T120" cm="1">
        <f t="array" ref="T120">_xlfn.IFS(D120="France",1,D120="Germany",2,D120="Spain",3)</f>
        <v>3</v>
      </c>
    </row>
    <row r="121" spans="1:20" x14ac:dyDescent="0.3">
      <c r="A121">
        <v>121</v>
      </c>
      <c r="B121" t="s">
        <v>16</v>
      </c>
      <c r="C121" s="5">
        <v>367</v>
      </c>
      <c r="D121" t="s">
        <v>22</v>
      </c>
      <c r="E121" t="s">
        <v>25</v>
      </c>
      <c r="F121">
        <v>18</v>
      </c>
      <c r="G121" s="5">
        <v>8</v>
      </c>
      <c r="H121" s="4">
        <v>37178.53</v>
      </c>
      <c r="I121" s="5">
        <v>1</v>
      </c>
      <c r="J121">
        <v>1</v>
      </c>
      <c r="K121">
        <v>0</v>
      </c>
      <c r="L121" s="4">
        <v>82791.570000000007</v>
      </c>
      <c r="M121">
        <v>1</v>
      </c>
      <c r="N121" s="4">
        <f t="shared" si="2"/>
        <v>-1.2672942585667124</v>
      </c>
      <c r="O121" s="4">
        <f t="shared" si="3"/>
        <v>1.3959540561923575E-2</v>
      </c>
      <c r="P121" t="str" cm="1">
        <f t="array" ref="P121">_xlfn.IFS(AND(F121&gt;15,F121&lt;=30), "Youngsters", AND(F121&gt;30,F121&lt;=50), "Adults", AND(F121&gt;50,F121&lt;=70),"Old person", AND(F121&gt;70, F121&lt;92), "Senior Citizens")</f>
        <v>Youngsters</v>
      </c>
      <c r="Q121" t="str" cm="1">
        <f t="array" ref="Q121">_xlfn.IFS(G121=0,"No Tenure Period",AND(G121&gt;0,G121&lt;=3),"Less Tenure Period",AND(G121&gt;3,G121&lt;=7),"More Tenure Period",AND(G121&gt;7,G121&lt;=10),"Large Tenure Period")</f>
        <v>Large Tenure Period</v>
      </c>
      <c r="R121" t="str" cm="1">
        <f t="array" ref="R121">_xlfn.IFS(AND(C121&gt;300,C121&lt;=525),"1 Star",AND(C121&gt;525,C121&lt;=600),"2 Star",AND(C121&gt;600,C121&lt;=700),"3 Star",AND(C121&gt;700,C121&lt;=750),"4 Star",AND(C121&gt;750,C121&lt;=900),"5 Star")</f>
        <v>1 Star</v>
      </c>
      <c r="S121" cm="1">
        <f t="array" ref="S121">_xlfn.IFS(E121="Male",1,E121="Female",2)</f>
        <v>1</v>
      </c>
      <c r="T121" cm="1">
        <f t="array" ref="T121">_xlfn.IFS(D121="France",1,D121="Germany",2,D121="Spain",3)</f>
        <v>2</v>
      </c>
    </row>
    <row r="122" spans="1:20" x14ac:dyDescent="0.3">
      <c r="A122">
        <v>122</v>
      </c>
      <c r="B122" t="s">
        <v>21</v>
      </c>
      <c r="C122" s="5">
        <v>547</v>
      </c>
      <c r="D122" t="s">
        <v>24</v>
      </c>
      <c r="E122" t="s">
        <v>25</v>
      </c>
      <c r="F122">
        <v>24</v>
      </c>
      <c r="G122" s="5">
        <v>4</v>
      </c>
      <c r="H122" s="4">
        <v>228358.15</v>
      </c>
      <c r="I122" s="5">
        <v>2</v>
      </c>
      <c r="J122">
        <v>0</v>
      </c>
      <c r="K122">
        <v>0</v>
      </c>
      <c r="L122" s="4">
        <v>127955.4</v>
      </c>
      <c r="M122">
        <v>1</v>
      </c>
      <c r="N122" s="4">
        <f t="shared" si="2"/>
        <v>1.3889927964690096</v>
      </c>
      <c r="O122" s="4">
        <f t="shared" si="3"/>
        <v>1.1175983042738169</v>
      </c>
      <c r="P122" t="str" cm="1">
        <f t="array" ref="P122">_xlfn.IFS(AND(F122&gt;15,F122&lt;=30), "Youngsters", AND(F122&gt;30,F122&lt;=50), "Adults", AND(F122&gt;50,F122&lt;=70),"Old person", AND(F122&gt;70, F122&lt;92), "Senior Citizens")</f>
        <v>Youngsters</v>
      </c>
      <c r="Q122" t="str" cm="1">
        <f t="array" ref="Q122">_xlfn.IFS(G122=0,"No Tenure Period",AND(G122&gt;0,G122&lt;=3),"Less Tenure Period",AND(G122&gt;3,G122&lt;=7),"More Tenure Period",AND(G122&gt;7,G122&lt;=10),"Large Tenure Period")</f>
        <v>More Tenure Period</v>
      </c>
      <c r="R122" t="str" cm="1">
        <f t="array" ref="R122">_xlfn.IFS(AND(C122&gt;300,C122&lt;=525),"1 Star",AND(C122&gt;525,C122&lt;=600),"2 Star",AND(C122&gt;600,C122&lt;=700),"3 Star",AND(C122&gt;700,C122&lt;=750),"4 Star",AND(C122&gt;750,C122&lt;=900),"5 Star")</f>
        <v>2 Star</v>
      </c>
      <c r="S122" cm="1">
        <f t="array" ref="S122">_xlfn.IFS(E122="Male",1,E122="Female",2)</f>
        <v>1</v>
      </c>
      <c r="T122" cm="1">
        <f t="array" ref="T122">_xlfn.IFS(D122="France",1,D122="Germany",2,D122="Spain",3)</f>
        <v>1</v>
      </c>
    </row>
    <row r="123" spans="1:20" x14ac:dyDescent="0.3">
      <c r="A123">
        <v>123</v>
      </c>
      <c r="B123" t="s">
        <v>18</v>
      </c>
      <c r="C123" s="5">
        <v>797</v>
      </c>
      <c r="D123" t="s">
        <v>23</v>
      </c>
      <c r="E123" t="s">
        <v>25</v>
      </c>
      <c r="F123">
        <v>85</v>
      </c>
      <c r="G123" s="5">
        <v>2</v>
      </c>
      <c r="H123" s="4">
        <v>244614.91</v>
      </c>
      <c r="I123" s="5">
        <v>2</v>
      </c>
      <c r="J123">
        <v>1</v>
      </c>
      <c r="K123">
        <v>1</v>
      </c>
      <c r="L123" s="4">
        <v>101378.44</v>
      </c>
      <c r="M123">
        <v>0</v>
      </c>
      <c r="N123" s="4">
        <f t="shared" si="2"/>
        <v>1.61486740143382</v>
      </c>
      <c r="O123" s="4">
        <f t="shared" si="3"/>
        <v>0.46815463934060725</v>
      </c>
      <c r="P123" t="str" cm="1">
        <f t="array" ref="P123">_xlfn.IFS(AND(F123&gt;15,F123&lt;=30), "Youngsters", AND(F123&gt;30,F123&lt;=50), "Adults", AND(F123&gt;50,F123&lt;=70),"Old person", AND(F123&gt;70, F123&lt;92), "Senior Citizens")</f>
        <v>Senior Citizens</v>
      </c>
      <c r="Q123" t="str" cm="1">
        <f t="array" ref="Q123">_xlfn.IFS(G123=0,"No Tenure Period",AND(G123&gt;0,G123&lt;=3),"Less Tenure Period",AND(G123&gt;3,G123&lt;=7),"More Tenure Period",AND(G123&gt;7,G123&lt;=10),"Large Tenure Period")</f>
        <v>Less Tenure Period</v>
      </c>
      <c r="R123" t="str" cm="1">
        <f t="array" ref="R123">_xlfn.IFS(AND(C123&gt;300,C123&lt;=525),"1 Star",AND(C123&gt;525,C123&lt;=600),"2 Star",AND(C123&gt;600,C123&lt;=700),"3 Star",AND(C123&gt;700,C123&lt;=750),"4 Star",AND(C123&gt;750,C123&lt;=900),"5 Star")</f>
        <v>5 Star</v>
      </c>
      <c r="S123" cm="1">
        <f t="array" ref="S123">_xlfn.IFS(E123="Male",1,E123="Female",2)</f>
        <v>1</v>
      </c>
      <c r="T123" cm="1">
        <f t="array" ref="T123">_xlfn.IFS(D123="France",1,D123="Germany",2,D123="Spain",3)</f>
        <v>3</v>
      </c>
    </row>
    <row r="124" spans="1:20" x14ac:dyDescent="0.3">
      <c r="A124">
        <v>124</v>
      </c>
      <c r="B124" t="s">
        <v>19</v>
      </c>
      <c r="C124" s="5">
        <v>700</v>
      </c>
      <c r="D124" t="s">
        <v>24</v>
      </c>
      <c r="E124" t="s">
        <v>25</v>
      </c>
      <c r="F124">
        <v>49</v>
      </c>
      <c r="G124" s="5">
        <v>0</v>
      </c>
      <c r="H124" s="4">
        <v>64161.88</v>
      </c>
      <c r="I124" s="5">
        <v>1</v>
      </c>
      <c r="J124">
        <v>1</v>
      </c>
      <c r="K124">
        <v>1</v>
      </c>
      <c r="L124" s="4">
        <v>141665.95000000001</v>
      </c>
      <c r="M124">
        <v>1</v>
      </c>
      <c r="N124" s="4">
        <f t="shared" si="2"/>
        <v>-0.89238231289751324</v>
      </c>
      <c r="O124" s="4">
        <f t="shared" si="3"/>
        <v>1.4526339833074622</v>
      </c>
      <c r="P124" t="str" cm="1">
        <f t="array" ref="P124">_xlfn.IFS(AND(F124&gt;15,F124&lt;=30), "Youngsters", AND(F124&gt;30,F124&lt;=50), "Adults", AND(F124&gt;50,F124&lt;=70),"Old person", AND(F124&gt;70, F124&lt;92), "Senior Citizens")</f>
        <v>Adults</v>
      </c>
      <c r="Q124" t="str" cm="1">
        <f t="array" ref="Q124">_xlfn.IFS(G124=0,"No Tenure Period",AND(G124&gt;0,G124&lt;=3),"Less Tenure Period",AND(G124&gt;3,G124&lt;=7),"More Tenure Period",AND(G124&gt;7,G124&lt;=10),"Large Tenure Period")</f>
        <v>No Tenure Period</v>
      </c>
      <c r="R124" t="str" cm="1">
        <f t="array" ref="R124">_xlfn.IFS(AND(C124&gt;300,C124&lt;=525),"1 Star",AND(C124&gt;525,C124&lt;=600),"2 Star",AND(C124&gt;600,C124&lt;=700),"3 Star",AND(C124&gt;700,C124&lt;=750),"4 Star",AND(C124&gt;750,C124&lt;=900),"5 Star")</f>
        <v>3 Star</v>
      </c>
      <c r="S124" cm="1">
        <f t="array" ref="S124">_xlfn.IFS(E124="Male",1,E124="Female",2)</f>
        <v>1</v>
      </c>
      <c r="T124" cm="1">
        <f t="array" ref="T124">_xlfn.IFS(D124="France",1,D124="Germany",2,D124="Spain",3)</f>
        <v>1</v>
      </c>
    </row>
    <row r="125" spans="1:20" x14ac:dyDescent="0.3">
      <c r="A125">
        <v>125</v>
      </c>
      <c r="B125" t="s">
        <v>20</v>
      </c>
      <c r="C125" s="5">
        <v>502</v>
      </c>
      <c r="D125" t="s">
        <v>22</v>
      </c>
      <c r="E125" t="s">
        <v>26</v>
      </c>
      <c r="F125">
        <v>47</v>
      </c>
      <c r="G125" s="5">
        <v>2</v>
      </c>
      <c r="H125" s="4">
        <v>185255.98</v>
      </c>
      <c r="I125" s="5">
        <v>3</v>
      </c>
      <c r="J125">
        <v>0</v>
      </c>
      <c r="K125">
        <v>1</v>
      </c>
      <c r="L125" s="4">
        <v>48022.06</v>
      </c>
      <c r="M125">
        <v>1</v>
      </c>
      <c r="N125" s="4">
        <f t="shared" si="2"/>
        <v>0.79012281119051075</v>
      </c>
      <c r="O125" s="4">
        <f t="shared" si="3"/>
        <v>-0.83568007218279561</v>
      </c>
      <c r="P125" t="str" cm="1">
        <f t="array" ref="P125">_xlfn.IFS(AND(F125&gt;15,F125&lt;=30), "Youngsters", AND(F125&gt;30,F125&lt;=50), "Adults", AND(F125&gt;50,F125&lt;=70),"Old person", AND(F125&gt;70, F125&lt;92), "Senior Citizens")</f>
        <v>Adults</v>
      </c>
      <c r="Q125" t="str" cm="1">
        <f t="array" ref="Q125">_xlfn.IFS(G125=0,"No Tenure Period",AND(G125&gt;0,G125&lt;=3),"Less Tenure Period",AND(G125&gt;3,G125&lt;=7),"More Tenure Period",AND(G125&gt;7,G125&lt;=10),"Large Tenure Period")</f>
        <v>Less Tenure Period</v>
      </c>
      <c r="R125" t="str" cm="1">
        <f t="array" ref="R125">_xlfn.IFS(AND(C125&gt;300,C125&lt;=525),"1 Star",AND(C125&gt;525,C125&lt;=600),"2 Star",AND(C125&gt;600,C125&lt;=700),"3 Star",AND(C125&gt;700,C125&lt;=750),"4 Star",AND(C125&gt;750,C125&lt;=900),"5 Star")</f>
        <v>1 Star</v>
      </c>
      <c r="S125" cm="1">
        <f t="array" ref="S125">_xlfn.IFS(E125="Male",1,E125="Female",2)</f>
        <v>2</v>
      </c>
      <c r="T125" cm="1">
        <f t="array" ref="T125">_xlfn.IFS(D125="France",1,D125="Germany",2,D125="Spain",3)</f>
        <v>2</v>
      </c>
    </row>
    <row r="126" spans="1:20" x14ac:dyDescent="0.3">
      <c r="A126">
        <v>126</v>
      </c>
      <c r="B126" t="s">
        <v>17</v>
      </c>
      <c r="C126" s="5">
        <v>481</v>
      </c>
      <c r="D126" t="s">
        <v>23</v>
      </c>
      <c r="E126" t="s">
        <v>25</v>
      </c>
      <c r="F126">
        <v>34</v>
      </c>
      <c r="G126" s="5">
        <v>8</v>
      </c>
      <c r="H126" s="4">
        <v>43863.71</v>
      </c>
      <c r="I126" s="5">
        <v>2</v>
      </c>
      <c r="J126">
        <v>0</v>
      </c>
      <c r="K126">
        <v>0</v>
      </c>
      <c r="L126" s="4">
        <v>23962.59</v>
      </c>
      <c r="M126">
        <v>0</v>
      </c>
      <c r="N126" s="4">
        <f t="shared" si="2"/>
        <v>-1.1744090593253724</v>
      </c>
      <c r="O126" s="4">
        <f t="shared" si="3"/>
        <v>-1.4236054922891814</v>
      </c>
      <c r="P126" t="str" cm="1">
        <f t="array" ref="P126">_xlfn.IFS(AND(F126&gt;15,F126&lt;=30), "Youngsters", AND(F126&gt;30,F126&lt;=50), "Adults", AND(F126&gt;50,F126&lt;=70),"Old person", AND(F126&gt;70, F126&lt;92), "Senior Citizens")</f>
        <v>Adults</v>
      </c>
      <c r="Q126" t="str" cm="1">
        <f t="array" ref="Q126">_xlfn.IFS(G126=0,"No Tenure Period",AND(G126&gt;0,G126&lt;=3),"Less Tenure Period",AND(G126&gt;3,G126&lt;=7),"More Tenure Period",AND(G126&gt;7,G126&lt;=10),"Large Tenure Period")</f>
        <v>Large Tenure Period</v>
      </c>
      <c r="R126" t="str" cm="1">
        <f t="array" ref="R126">_xlfn.IFS(AND(C126&gt;300,C126&lt;=525),"1 Star",AND(C126&gt;525,C126&lt;=600),"2 Star",AND(C126&gt;600,C126&lt;=700),"3 Star",AND(C126&gt;700,C126&lt;=750),"4 Star",AND(C126&gt;750,C126&lt;=900),"5 Star")</f>
        <v>1 Star</v>
      </c>
      <c r="S126" cm="1">
        <f t="array" ref="S126">_xlfn.IFS(E126="Male",1,E126="Female",2)</f>
        <v>1</v>
      </c>
      <c r="T126" cm="1">
        <f t="array" ref="T126">_xlfn.IFS(D126="France",1,D126="Germany",2,D126="Spain",3)</f>
        <v>3</v>
      </c>
    </row>
    <row r="127" spans="1:20" x14ac:dyDescent="0.3">
      <c r="A127">
        <v>127</v>
      </c>
      <c r="B127" t="s">
        <v>14</v>
      </c>
      <c r="C127" s="5">
        <v>675</v>
      </c>
      <c r="D127" t="s">
        <v>22</v>
      </c>
      <c r="E127" t="s">
        <v>25</v>
      </c>
      <c r="F127">
        <v>85</v>
      </c>
      <c r="G127" s="5">
        <v>3</v>
      </c>
      <c r="H127" s="4">
        <v>117991.41</v>
      </c>
      <c r="I127" s="5">
        <v>1</v>
      </c>
      <c r="J127">
        <v>1</v>
      </c>
      <c r="K127">
        <v>1</v>
      </c>
      <c r="L127" s="4">
        <v>36037.629999999997</v>
      </c>
      <c r="M127">
        <v>0</v>
      </c>
      <c r="N127" s="4">
        <f t="shared" si="2"/>
        <v>-0.14446428838393241</v>
      </c>
      <c r="O127" s="4">
        <f t="shared" si="3"/>
        <v>-1.128535693793977</v>
      </c>
      <c r="P127" t="str" cm="1">
        <f t="array" ref="P127">_xlfn.IFS(AND(F127&gt;15,F127&lt;=30), "Youngsters", AND(F127&gt;30,F127&lt;=50), "Adults", AND(F127&gt;50,F127&lt;=70),"Old person", AND(F127&gt;70, F127&lt;92), "Senior Citizens")</f>
        <v>Senior Citizens</v>
      </c>
      <c r="Q127" t="str" cm="1">
        <f t="array" ref="Q127">_xlfn.IFS(G127=0,"No Tenure Period",AND(G127&gt;0,G127&lt;=3),"Less Tenure Period",AND(G127&gt;3,G127&lt;=7),"More Tenure Period",AND(G127&gt;7,G127&lt;=10),"Large Tenure Period")</f>
        <v>Less Tenure Period</v>
      </c>
      <c r="R127" t="str" cm="1">
        <f t="array" ref="R127">_xlfn.IFS(AND(C127&gt;300,C127&lt;=525),"1 Star",AND(C127&gt;525,C127&lt;=600),"2 Star",AND(C127&gt;600,C127&lt;=700),"3 Star",AND(C127&gt;700,C127&lt;=750),"4 Star",AND(C127&gt;750,C127&lt;=900),"5 Star")</f>
        <v>3 Star</v>
      </c>
      <c r="S127" cm="1">
        <f t="array" ref="S127">_xlfn.IFS(E127="Male",1,E127="Female",2)</f>
        <v>1</v>
      </c>
      <c r="T127" cm="1">
        <f t="array" ref="T127">_xlfn.IFS(D127="France",1,D127="Germany",2,D127="Spain",3)</f>
        <v>2</v>
      </c>
    </row>
    <row r="128" spans="1:20" x14ac:dyDescent="0.3">
      <c r="A128">
        <v>128</v>
      </c>
      <c r="B128" t="s">
        <v>13</v>
      </c>
      <c r="C128" s="5">
        <v>774</v>
      </c>
      <c r="D128" t="s">
        <v>23</v>
      </c>
      <c r="E128" t="s">
        <v>26</v>
      </c>
      <c r="F128">
        <v>44</v>
      </c>
      <c r="G128" s="5">
        <v>7</v>
      </c>
      <c r="H128" s="4">
        <v>151801.15</v>
      </c>
      <c r="I128" s="5">
        <v>1</v>
      </c>
      <c r="J128">
        <v>0</v>
      </c>
      <c r="K128">
        <v>0</v>
      </c>
      <c r="L128" s="4">
        <v>36575.879999999997</v>
      </c>
      <c r="M128">
        <v>1</v>
      </c>
      <c r="N128" s="4">
        <f t="shared" si="2"/>
        <v>0.32529485590207163</v>
      </c>
      <c r="O128" s="4">
        <f t="shared" si="3"/>
        <v>-1.1153828330962035</v>
      </c>
      <c r="P128" t="str" cm="1">
        <f t="array" ref="P128">_xlfn.IFS(AND(F128&gt;15,F128&lt;=30), "Youngsters", AND(F128&gt;30,F128&lt;=50), "Adults", AND(F128&gt;50,F128&lt;=70),"Old person", AND(F128&gt;70, F128&lt;92), "Senior Citizens")</f>
        <v>Adults</v>
      </c>
      <c r="Q128" t="str" cm="1">
        <f t="array" ref="Q128">_xlfn.IFS(G128=0,"No Tenure Period",AND(G128&gt;0,G128&lt;=3),"Less Tenure Period",AND(G128&gt;3,G128&lt;=7),"More Tenure Period",AND(G128&gt;7,G128&lt;=10),"Large Tenure Period")</f>
        <v>More Tenure Period</v>
      </c>
      <c r="R128" t="str" cm="1">
        <f t="array" ref="R128">_xlfn.IFS(AND(C128&gt;300,C128&lt;=525),"1 Star",AND(C128&gt;525,C128&lt;=600),"2 Star",AND(C128&gt;600,C128&lt;=700),"3 Star",AND(C128&gt;700,C128&lt;=750),"4 Star",AND(C128&gt;750,C128&lt;=900),"5 Star")</f>
        <v>5 Star</v>
      </c>
      <c r="S128" cm="1">
        <f t="array" ref="S128">_xlfn.IFS(E128="Male",1,E128="Female",2)</f>
        <v>2</v>
      </c>
      <c r="T128" cm="1">
        <f t="array" ref="T128">_xlfn.IFS(D128="France",1,D128="Germany",2,D128="Spain",3)</f>
        <v>3</v>
      </c>
    </row>
    <row r="129" spans="1:20" x14ac:dyDescent="0.3">
      <c r="A129">
        <v>129</v>
      </c>
      <c r="B129" t="s">
        <v>13</v>
      </c>
      <c r="C129" s="5">
        <v>514</v>
      </c>
      <c r="D129" t="s">
        <v>24</v>
      </c>
      <c r="E129" t="s">
        <v>26</v>
      </c>
      <c r="F129">
        <v>24</v>
      </c>
      <c r="G129" s="5">
        <v>2</v>
      </c>
      <c r="H129" s="4">
        <v>44897.120000000003</v>
      </c>
      <c r="I129" s="5">
        <v>3</v>
      </c>
      <c r="J129">
        <v>0</v>
      </c>
      <c r="K129">
        <v>0</v>
      </c>
      <c r="L129" s="4">
        <v>87587.83</v>
      </c>
      <c r="M129">
        <v>0</v>
      </c>
      <c r="N129" s="4">
        <f t="shared" si="2"/>
        <v>-1.1600506585421484</v>
      </c>
      <c r="O129" s="4">
        <f t="shared" si="3"/>
        <v>0.13116258682351833</v>
      </c>
      <c r="P129" t="str" cm="1">
        <f t="array" ref="P129">_xlfn.IFS(AND(F129&gt;15,F129&lt;=30), "Youngsters", AND(F129&gt;30,F129&lt;=50), "Adults", AND(F129&gt;50,F129&lt;=70),"Old person", AND(F129&gt;70, F129&lt;92), "Senior Citizens")</f>
        <v>Youngsters</v>
      </c>
      <c r="Q129" t="str" cm="1">
        <f t="array" ref="Q129">_xlfn.IFS(G129=0,"No Tenure Period",AND(G129&gt;0,G129&lt;=3),"Less Tenure Period",AND(G129&gt;3,G129&lt;=7),"More Tenure Period",AND(G129&gt;7,G129&lt;=10),"Large Tenure Period")</f>
        <v>Less Tenure Period</v>
      </c>
      <c r="R129" t="str" cm="1">
        <f t="array" ref="R129">_xlfn.IFS(AND(C129&gt;300,C129&lt;=525),"1 Star",AND(C129&gt;525,C129&lt;=600),"2 Star",AND(C129&gt;600,C129&lt;=700),"3 Star",AND(C129&gt;700,C129&lt;=750),"4 Star",AND(C129&gt;750,C129&lt;=900),"5 Star")</f>
        <v>1 Star</v>
      </c>
      <c r="S129" cm="1">
        <f t="array" ref="S129">_xlfn.IFS(E129="Male",1,E129="Female",2)</f>
        <v>2</v>
      </c>
      <c r="T129" cm="1">
        <f t="array" ref="T129">_xlfn.IFS(D129="France",1,D129="Germany",2,D129="Spain",3)</f>
        <v>1</v>
      </c>
    </row>
    <row r="130" spans="1:20" x14ac:dyDescent="0.3">
      <c r="A130">
        <v>130</v>
      </c>
      <c r="B130" t="s">
        <v>19</v>
      </c>
      <c r="C130" s="5">
        <v>408</v>
      </c>
      <c r="D130" t="s">
        <v>23</v>
      </c>
      <c r="E130" t="s">
        <v>26</v>
      </c>
      <c r="F130">
        <v>29</v>
      </c>
      <c r="G130" s="5">
        <v>1</v>
      </c>
      <c r="H130" s="4">
        <v>136796.01999999999</v>
      </c>
      <c r="I130" s="5">
        <v>4</v>
      </c>
      <c r="J130">
        <v>1</v>
      </c>
      <c r="K130">
        <v>0</v>
      </c>
      <c r="L130" s="4">
        <v>81668.89</v>
      </c>
      <c r="M130">
        <v>0</v>
      </c>
      <c r="N130" s="4">
        <f t="shared" ref="N130:N193" si="4">(H130-$X$4)/$X$7</f>
        <v>0.11681064310717136</v>
      </c>
      <c r="O130" s="4">
        <f t="shared" ref="O130:O193" si="5">(L130-$Y$5)/$Y$8</f>
        <v>-1.3474651074261332E-2</v>
      </c>
      <c r="P130" t="str" cm="1">
        <f t="array" ref="P130">_xlfn.IFS(AND(F130&gt;15,F130&lt;=30), "Youngsters", AND(F130&gt;30,F130&lt;=50), "Adults", AND(F130&gt;50,F130&lt;=70),"Old person", AND(F130&gt;70, F130&lt;92), "Senior Citizens")</f>
        <v>Youngsters</v>
      </c>
      <c r="Q130" t="str" cm="1">
        <f t="array" ref="Q130">_xlfn.IFS(G130=0,"No Tenure Period",AND(G130&gt;0,G130&lt;=3),"Less Tenure Period",AND(G130&gt;3,G130&lt;=7),"More Tenure Period",AND(G130&gt;7,G130&lt;=10),"Large Tenure Period")</f>
        <v>Less Tenure Period</v>
      </c>
      <c r="R130" t="str" cm="1">
        <f t="array" ref="R130">_xlfn.IFS(AND(C130&gt;300,C130&lt;=525),"1 Star",AND(C130&gt;525,C130&lt;=600),"2 Star",AND(C130&gt;600,C130&lt;=700),"3 Star",AND(C130&gt;700,C130&lt;=750),"4 Star",AND(C130&gt;750,C130&lt;=900),"5 Star")</f>
        <v>1 Star</v>
      </c>
      <c r="S130" cm="1">
        <f t="array" ref="S130">_xlfn.IFS(E130="Male",1,E130="Female",2)</f>
        <v>2</v>
      </c>
      <c r="T130" cm="1">
        <f t="array" ref="T130">_xlfn.IFS(D130="France",1,D130="Germany",2,D130="Spain",3)</f>
        <v>3</v>
      </c>
    </row>
    <row r="131" spans="1:20" x14ac:dyDescent="0.3">
      <c r="A131">
        <v>131</v>
      </c>
      <c r="B131" t="s">
        <v>13</v>
      </c>
      <c r="C131" s="5">
        <v>527</v>
      </c>
      <c r="D131" t="s">
        <v>22</v>
      </c>
      <c r="E131" t="s">
        <v>26</v>
      </c>
      <c r="F131">
        <v>73</v>
      </c>
      <c r="G131" s="5">
        <v>4</v>
      </c>
      <c r="H131" s="4">
        <v>184707.82</v>
      </c>
      <c r="I131" s="5">
        <v>4</v>
      </c>
      <c r="J131">
        <v>0</v>
      </c>
      <c r="K131">
        <v>0</v>
      </c>
      <c r="L131" s="4">
        <v>93162.76</v>
      </c>
      <c r="M131">
        <v>0</v>
      </c>
      <c r="N131" s="4">
        <f t="shared" si="4"/>
        <v>0.7825065688730064</v>
      </c>
      <c r="O131" s="4">
        <f t="shared" si="5"/>
        <v>0.26739347895512761</v>
      </c>
      <c r="P131" t="str" cm="1">
        <f t="array" ref="P131">_xlfn.IFS(AND(F131&gt;15,F131&lt;=30), "Youngsters", AND(F131&gt;30,F131&lt;=50), "Adults", AND(F131&gt;50,F131&lt;=70),"Old person", AND(F131&gt;70, F131&lt;92), "Senior Citizens")</f>
        <v>Senior Citizens</v>
      </c>
      <c r="Q131" t="str" cm="1">
        <f t="array" ref="Q131">_xlfn.IFS(G131=0,"No Tenure Period",AND(G131&gt;0,G131&lt;=3),"Less Tenure Period",AND(G131&gt;3,G131&lt;=7),"More Tenure Period",AND(G131&gt;7,G131&lt;=10),"Large Tenure Period")</f>
        <v>More Tenure Period</v>
      </c>
      <c r="R131" t="str" cm="1">
        <f t="array" ref="R131">_xlfn.IFS(AND(C131&gt;300,C131&lt;=525),"1 Star",AND(C131&gt;525,C131&lt;=600),"2 Star",AND(C131&gt;600,C131&lt;=700),"3 Star",AND(C131&gt;700,C131&lt;=750),"4 Star",AND(C131&gt;750,C131&lt;=900),"5 Star")</f>
        <v>2 Star</v>
      </c>
      <c r="S131" cm="1">
        <f t="array" ref="S131">_xlfn.IFS(E131="Male",1,E131="Female",2)</f>
        <v>2</v>
      </c>
      <c r="T131" cm="1">
        <f t="array" ref="T131">_xlfn.IFS(D131="France",1,D131="Germany",2,D131="Spain",3)</f>
        <v>2</v>
      </c>
    </row>
    <row r="132" spans="1:20" x14ac:dyDescent="0.3">
      <c r="A132">
        <v>132</v>
      </c>
      <c r="B132" t="s">
        <v>19</v>
      </c>
      <c r="C132" s="5">
        <v>789</v>
      </c>
      <c r="D132" t="s">
        <v>23</v>
      </c>
      <c r="E132" t="s">
        <v>25</v>
      </c>
      <c r="F132">
        <v>61</v>
      </c>
      <c r="G132" s="5">
        <v>4</v>
      </c>
      <c r="H132" s="4">
        <v>166854.44</v>
      </c>
      <c r="I132" s="5">
        <v>4</v>
      </c>
      <c r="J132">
        <v>0</v>
      </c>
      <c r="K132">
        <v>1</v>
      </c>
      <c r="L132" s="4">
        <v>38147.910000000003</v>
      </c>
      <c r="M132">
        <v>1</v>
      </c>
      <c r="N132" s="4">
        <f t="shared" si="4"/>
        <v>0.53444821316211177</v>
      </c>
      <c r="O132" s="4">
        <f t="shared" si="5"/>
        <v>-1.0769681715026669</v>
      </c>
      <c r="P132" t="str" cm="1">
        <f t="array" ref="P132">_xlfn.IFS(AND(F132&gt;15,F132&lt;=30), "Youngsters", AND(F132&gt;30,F132&lt;=50), "Adults", AND(F132&gt;50,F132&lt;=70),"Old person", AND(F132&gt;70, F132&lt;92), "Senior Citizens")</f>
        <v>Old person</v>
      </c>
      <c r="Q132" t="str" cm="1">
        <f t="array" ref="Q132">_xlfn.IFS(G132=0,"No Tenure Period",AND(G132&gt;0,G132&lt;=3),"Less Tenure Period",AND(G132&gt;3,G132&lt;=7),"More Tenure Period",AND(G132&gt;7,G132&lt;=10),"Large Tenure Period")</f>
        <v>More Tenure Period</v>
      </c>
      <c r="R132" t="str" cm="1">
        <f t="array" ref="R132">_xlfn.IFS(AND(C132&gt;300,C132&lt;=525),"1 Star",AND(C132&gt;525,C132&lt;=600),"2 Star",AND(C132&gt;600,C132&lt;=700),"3 Star",AND(C132&gt;700,C132&lt;=750),"4 Star",AND(C132&gt;750,C132&lt;=900),"5 Star")</f>
        <v>5 Star</v>
      </c>
      <c r="S132" cm="1">
        <f t="array" ref="S132">_xlfn.IFS(E132="Male",1,E132="Female",2)</f>
        <v>1</v>
      </c>
      <c r="T132" cm="1">
        <f t="array" ref="T132">_xlfn.IFS(D132="France",1,D132="Germany",2,D132="Spain",3)</f>
        <v>3</v>
      </c>
    </row>
    <row r="133" spans="1:20" x14ac:dyDescent="0.3">
      <c r="A133">
        <v>133</v>
      </c>
      <c r="B133" t="s">
        <v>14</v>
      </c>
      <c r="C133" s="5">
        <v>502</v>
      </c>
      <c r="D133" t="s">
        <v>22</v>
      </c>
      <c r="E133" t="s">
        <v>25</v>
      </c>
      <c r="F133">
        <v>85</v>
      </c>
      <c r="G133" s="5">
        <v>10</v>
      </c>
      <c r="H133" s="4">
        <v>157686.62</v>
      </c>
      <c r="I133" s="5">
        <v>3</v>
      </c>
      <c r="J133">
        <v>1</v>
      </c>
      <c r="K133">
        <v>0</v>
      </c>
      <c r="L133" s="4">
        <v>43499.67</v>
      </c>
      <c r="M133">
        <v>0</v>
      </c>
      <c r="N133" s="4">
        <f t="shared" si="4"/>
        <v>0.40706872789638304</v>
      </c>
      <c r="O133" s="4">
        <f t="shared" si="5"/>
        <v>-0.9461907376560964</v>
      </c>
      <c r="P133" t="str" cm="1">
        <f t="array" ref="P133">_xlfn.IFS(AND(F133&gt;15,F133&lt;=30), "Youngsters", AND(F133&gt;30,F133&lt;=50), "Adults", AND(F133&gt;50,F133&lt;=70),"Old person", AND(F133&gt;70, F133&lt;92), "Senior Citizens")</f>
        <v>Senior Citizens</v>
      </c>
      <c r="Q133" t="str" cm="1">
        <f t="array" ref="Q133">_xlfn.IFS(G133=0,"No Tenure Period",AND(G133&gt;0,G133&lt;=3),"Less Tenure Period",AND(G133&gt;3,G133&lt;=7),"More Tenure Period",AND(G133&gt;7,G133&lt;=10),"Large Tenure Period")</f>
        <v>Large Tenure Period</v>
      </c>
      <c r="R133" t="str" cm="1">
        <f t="array" ref="R133">_xlfn.IFS(AND(C133&gt;300,C133&lt;=525),"1 Star",AND(C133&gt;525,C133&lt;=600),"2 Star",AND(C133&gt;600,C133&lt;=700),"3 Star",AND(C133&gt;700,C133&lt;=750),"4 Star",AND(C133&gt;750,C133&lt;=900),"5 Star")</f>
        <v>1 Star</v>
      </c>
      <c r="S133" cm="1">
        <f t="array" ref="S133">_xlfn.IFS(E133="Male",1,E133="Female",2)</f>
        <v>1</v>
      </c>
      <c r="T133" cm="1">
        <f t="array" ref="T133">_xlfn.IFS(D133="France",1,D133="Germany",2,D133="Spain",3)</f>
        <v>2</v>
      </c>
    </row>
    <row r="134" spans="1:20" x14ac:dyDescent="0.3">
      <c r="A134">
        <v>134</v>
      </c>
      <c r="B134" t="s">
        <v>14</v>
      </c>
      <c r="C134" s="5">
        <v>511</v>
      </c>
      <c r="D134" t="s">
        <v>23</v>
      </c>
      <c r="E134" t="s">
        <v>26</v>
      </c>
      <c r="F134">
        <v>38</v>
      </c>
      <c r="G134" s="5">
        <v>4</v>
      </c>
      <c r="H134" s="4">
        <v>30108.06</v>
      </c>
      <c r="I134" s="5">
        <v>2</v>
      </c>
      <c r="J134">
        <v>1</v>
      </c>
      <c r="K134">
        <v>1</v>
      </c>
      <c r="L134" s="4">
        <v>17973.88</v>
      </c>
      <c r="M134">
        <v>1</v>
      </c>
      <c r="N134" s="4">
        <f t="shared" si="4"/>
        <v>-1.3655327524711278</v>
      </c>
      <c r="O134" s="4">
        <f t="shared" si="5"/>
        <v>-1.5699476537185608</v>
      </c>
      <c r="P134" t="str" cm="1">
        <f t="array" ref="P134">_xlfn.IFS(AND(F134&gt;15,F134&lt;=30), "Youngsters", AND(F134&gt;30,F134&lt;=50), "Adults", AND(F134&gt;50,F134&lt;=70),"Old person", AND(F134&gt;70, F134&lt;92), "Senior Citizens")</f>
        <v>Adults</v>
      </c>
      <c r="Q134" t="str" cm="1">
        <f t="array" ref="Q134">_xlfn.IFS(G134=0,"No Tenure Period",AND(G134&gt;0,G134&lt;=3),"Less Tenure Period",AND(G134&gt;3,G134&lt;=7),"More Tenure Period",AND(G134&gt;7,G134&lt;=10),"Large Tenure Period")</f>
        <v>More Tenure Period</v>
      </c>
      <c r="R134" t="str" cm="1">
        <f t="array" ref="R134">_xlfn.IFS(AND(C134&gt;300,C134&lt;=525),"1 Star",AND(C134&gt;525,C134&lt;=600),"2 Star",AND(C134&gt;600,C134&lt;=700),"3 Star",AND(C134&gt;700,C134&lt;=750),"4 Star",AND(C134&gt;750,C134&lt;=900),"5 Star")</f>
        <v>1 Star</v>
      </c>
      <c r="S134" cm="1">
        <f t="array" ref="S134">_xlfn.IFS(E134="Male",1,E134="Female",2)</f>
        <v>2</v>
      </c>
      <c r="T134" cm="1">
        <f t="array" ref="T134">_xlfn.IFS(D134="France",1,D134="Germany",2,D134="Spain",3)</f>
        <v>3</v>
      </c>
    </row>
    <row r="135" spans="1:20" x14ac:dyDescent="0.3">
      <c r="A135">
        <v>135</v>
      </c>
      <c r="B135" t="s">
        <v>20</v>
      </c>
      <c r="C135" s="5">
        <v>752</v>
      </c>
      <c r="D135" t="s">
        <v>22</v>
      </c>
      <c r="E135" t="s">
        <v>26</v>
      </c>
      <c r="F135">
        <v>32</v>
      </c>
      <c r="G135" s="5">
        <v>2</v>
      </c>
      <c r="H135" s="4">
        <v>239097.38</v>
      </c>
      <c r="I135" s="5">
        <v>1</v>
      </c>
      <c r="J135">
        <v>1</v>
      </c>
      <c r="K135">
        <v>1</v>
      </c>
      <c r="L135" s="4">
        <v>13545.02</v>
      </c>
      <c r="M135">
        <v>1</v>
      </c>
      <c r="N135" s="4">
        <f t="shared" si="4"/>
        <v>1.5382057598071066</v>
      </c>
      <c r="O135" s="4">
        <f t="shared" si="5"/>
        <v>-1.6781727881912805</v>
      </c>
      <c r="P135" t="str" cm="1">
        <f t="array" ref="P135">_xlfn.IFS(AND(F135&gt;15,F135&lt;=30), "Youngsters", AND(F135&gt;30,F135&lt;=50), "Adults", AND(F135&gt;50,F135&lt;=70),"Old person", AND(F135&gt;70, F135&lt;92), "Senior Citizens")</f>
        <v>Adults</v>
      </c>
      <c r="Q135" t="str" cm="1">
        <f t="array" ref="Q135">_xlfn.IFS(G135=0,"No Tenure Period",AND(G135&gt;0,G135&lt;=3),"Less Tenure Period",AND(G135&gt;3,G135&lt;=7),"More Tenure Period",AND(G135&gt;7,G135&lt;=10),"Large Tenure Period")</f>
        <v>Less Tenure Period</v>
      </c>
      <c r="R135" t="str" cm="1">
        <f t="array" ref="R135">_xlfn.IFS(AND(C135&gt;300,C135&lt;=525),"1 Star",AND(C135&gt;525,C135&lt;=600),"2 Star",AND(C135&gt;600,C135&lt;=700),"3 Star",AND(C135&gt;700,C135&lt;=750),"4 Star",AND(C135&gt;750,C135&lt;=900),"5 Star")</f>
        <v>5 Star</v>
      </c>
      <c r="S135" cm="1">
        <f t="array" ref="S135">_xlfn.IFS(E135="Male",1,E135="Female",2)</f>
        <v>2</v>
      </c>
      <c r="T135" cm="1">
        <f t="array" ref="T135">_xlfn.IFS(D135="France",1,D135="Germany",2,D135="Spain",3)</f>
        <v>2</v>
      </c>
    </row>
    <row r="136" spans="1:20" x14ac:dyDescent="0.3">
      <c r="A136">
        <v>136</v>
      </c>
      <c r="B136" t="s">
        <v>20</v>
      </c>
      <c r="C136" s="5">
        <v>703</v>
      </c>
      <c r="D136" t="s">
        <v>24</v>
      </c>
      <c r="E136" t="s">
        <v>25</v>
      </c>
      <c r="F136">
        <v>32</v>
      </c>
      <c r="G136" s="5">
        <v>4</v>
      </c>
      <c r="H136" s="4">
        <v>35229.26</v>
      </c>
      <c r="I136" s="5">
        <v>2</v>
      </c>
      <c r="J136">
        <v>1</v>
      </c>
      <c r="K136">
        <v>0</v>
      </c>
      <c r="L136" s="4">
        <v>59763.13</v>
      </c>
      <c r="M136">
        <v>1</v>
      </c>
      <c r="N136" s="4">
        <f t="shared" si="4"/>
        <v>-1.2943777974280695</v>
      </c>
      <c r="O136" s="4">
        <f t="shared" si="5"/>
        <v>-0.54877127858723906</v>
      </c>
      <c r="P136" t="str" cm="1">
        <f t="array" ref="P136">_xlfn.IFS(AND(F136&gt;15,F136&lt;=30), "Youngsters", AND(F136&gt;30,F136&lt;=50), "Adults", AND(F136&gt;50,F136&lt;=70),"Old person", AND(F136&gt;70, F136&lt;92), "Senior Citizens")</f>
        <v>Adults</v>
      </c>
      <c r="Q136" t="str" cm="1">
        <f t="array" ref="Q136">_xlfn.IFS(G136=0,"No Tenure Period",AND(G136&gt;0,G136&lt;=3),"Less Tenure Period",AND(G136&gt;3,G136&lt;=7),"More Tenure Period",AND(G136&gt;7,G136&lt;=10),"Large Tenure Period")</f>
        <v>More Tenure Period</v>
      </c>
      <c r="R136" t="str" cm="1">
        <f t="array" ref="R136">_xlfn.IFS(AND(C136&gt;300,C136&lt;=525),"1 Star",AND(C136&gt;525,C136&lt;=600),"2 Star",AND(C136&gt;600,C136&lt;=700),"3 Star",AND(C136&gt;700,C136&lt;=750),"4 Star",AND(C136&gt;750,C136&lt;=900),"5 Star")</f>
        <v>4 Star</v>
      </c>
      <c r="S136" cm="1">
        <f t="array" ref="S136">_xlfn.IFS(E136="Male",1,E136="Female",2)</f>
        <v>1</v>
      </c>
      <c r="T136" cm="1">
        <f t="array" ref="T136">_xlfn.IFS(D136="France",1,D136="Germany",2,D136="Spain",3)</f>
        <v>1</v>
      </c>
    </row>
    <row r="137" spans="1:20" x14ac:dyDescent="0.3">
      <c r="A137">
        <v>137</v>
      </c>
      <c r="B137" t="s">
        <v>20</v>
      </c>
      <c r="C137" s="5">
        <v>812</v>
      </c>
      <c r="D137" t="s">
        <v>23</v>
      </c>
      <c r="E137" t="s">
        <v>25</v>
      </c>
      <c r="F137">
        <v>81</v>
      </c>
      <c r="G137" s="5">
        <v>8</v>
      </c>
      <c r="H137" s="4">
        <v>153059.5</v>
      </c>
      <c r="I137" s="5">
        <v>4</v>
      </c>
      <c r="J137">
        <v>0</v>
      </c>
      <c r="K137">
        <v>1</v>
      </c>
      <c r="L137" s="4">
        <v>114484.04</v>
      </c>
      <c r="M137">
        <v>1</v>
      </c>
      <c r="N137" s="4">
        <f t="shared" si="4"/>
        <v>0.34277861706711749</v>
      </c>
      <c r="O137" s="4">
        <f t="shared" si="5"/>
        <v>0.78840755371262983</v>
      </c>
      <c r="P137" t="str" cm="1">
        <f t="array" ref="P137">_xlfn.IFS(AND(F137&gt;15,F137&lt;=30), "Youngsters", AND(F137&gt;30,F137&lt;=50), "Adults", AND(F137&gt;50,F137&lt;=70),"Old person", AND(F137&gt;70, F137&lt;92), "Senior Citizens")</f>
        <v>Senior Citizens</v>
      </c>
      <c r="Q137" t="str" cm="1">
        <f t="array" ref="Q137">_xlfn.IFS(G137=0,"No Tenure Period",AND(G137&gt;0,G137&lt;=3),"Less Tenure Period",AND(G137&gt;3,G137&lt;=7),"More Tenure Period",AND(G137&gt;7,G137&lt;=10),"Large Tenure Period")</f>
        <v>Large Tenure Period</v>
      </c>
      <c r="R137" t="str" cm="1">
        <f t="array" ref="R137">_xlfn.IFS(AND(C137&gt;300,C137&lt;=525),"1 Star",AND(C137&gt;525,C137&lt;=600),"2 Star",AND(C137&gt;600,C137&lt;=700),"3 Star",AND(C137&gt;700,C137&lt;=750),"4 Star",AND(C137&gt;750,C137&lt;=900),"5 Star")</f>
        <v>5 Star</v>
      </c>
      <c r="S137" cm="1">
        <f t="array" ref="S137">_xlfn.IFS(E137="Male",1,E137="Female",2)</f>
        <v>1</v>
      </c>
      <c r="T137" cm="1">
        <f t="array" ref="T137">_xlfn.IFS(D137="France",1,D137="Germany",2,D137="Spain",3)</f>
        <v>3</v>
      </c>
    </row>
    <row r="138" spans="1:20" x14ac:dyDescent="0.3">
      <c r="A138">
        <v>138</v>
      </c>
      <c r="B138" t="s">
        <v>17</v>
      </c>
      <c r="C138" s="5">
        <v>591</v>
      </c>
      <c r="D138" t="s">
        <v>24</v>
      </c>
      <c r="E138" t="s">
        <v>25</v>
      </c>
      <c r="F138">
        <v>61</v>
      </c>
      <c r="G138" s="5">
        <v>7</v>
      </c>
      <c r="H138" s="4">
        <v>32382.85</v>
      </c>
      <c r="I138" s="5">
        <v>4</v>
      </c>
      <c r="J138">
        <v>0</v>
      </c>
      <c r="K138">
        <v>1</v>
      </c>
      <c r="L138" s="4">
        <v>108015.6</v>
      </c>
      <c r="M138">
        <v>0</v>
      </c>
      <c r="N138" s="4">
        <f t="shared" si="4"/>
        <v>-1.3339263750239672</v>
      </c>
      <c r="O138" s="4">
        <f t="shared" si="5"/>
        <v>0.63034254627759723</v>
      </c>
      <c r="P138" t="str" cm="1">
        <f t="array" ref="P138">_xlfn.IFS(AND(F138&gt;15,F138&lt;=30), "Youngsters", AND(F138&gt;30,F138&lt;=50), "Adults", AND(F138&gt;50,F138&lt;=70),"Old person", AND(F138&gt;70, F138&lt;92), "Senior Citizens")</f>
        <v>Old person</v>
      </c>
      <c r="Q138" t="str" cm="1">
        <f t="array" ref="Q138">_xlfn.IFS(G138=0,"No Tenure Period",AND(G138&gt;0,G138&lt;=3),"Less Tenure Period",AND(G138&gt;3,G138&lt;=7),"More Tenure Period",AND(G138&gt;7,G138&lt;=10),"Large Tenure Period")</f>
        <v>More Tenure Period</v>
      </c>
      <c r="R138" t="str" cm="1">
        <f t="array" ref="R138">_xlfn.IFS(AND(C138&gt;300,C138&lt;=525),"1 Star",AND(C138&gt;525,C138&lt;=600),"2 Star",AND(C138&gt;600,C138&lt;=700),"3 Star",AND(C138&gt;700,C138&lt;=750),"4 Star",AND(C138&gt;750,C138&lt;=900),"5 Star")</f>
        <v>2 Star</v>
      </c>
      <c r="S138" cm="1">
        <f t="array" ref="S138">_xlfn.IFS(E138="Male",1,E138="Female",2)</f>
        <v>1</v>
      </c>
      <c r="T138" cm="1">
        <f t="array" ref="T138">_xlfn.IFS(D138="France",1,D138="Germany",2,D138="Spain",3)</f>
        <v>1</v>
      </c>
    </row>
    <row r="139" spans="1:20" x14ac:dyDescent="0.3">
      <c r="A139">
        <v>139</v>
      </c>
      <c r="B139" t="s">
        <v>14</v>
      </c>
      <c r="C139" s="5">
        <v>485</v>
      </c>
      <c r="D139" t="s">
        <v>23</v>
      </c>
      <c r="E139" t="s">
        <v>26</v>
      </c>
      <c r="F139">
        <v>45</v>
      </c>
      <c r="G139" s="5">
        <v>10</v>
      </c>
      <c r="H139" s="4">
        <v>134925.82999999999</v>
      </c>
      <c r="I139" s="5">
        <v>1</v>
      </c>
      <c r="J139">
        <v>1</v>
      </c>
      <c r="K139">
        <v>0</v>
      </c>
      <c r="L139" s="4">
        <v>103143.51</v>
      </c>
      <c r="M139">
        <v>1</v>
      </c>
      <c r="N139" s="4">
        <f t="shared" si="4"/>
        <v>9.0825857242144203E-2</v>
      </c>
      <c r="O139" s="4">
        <f t="shared" si="5"/>
        <v>0.51128649225620237</v>
      </c>
      <c r="P139" t="str" cm="1">
        <f t="array" ref="P139">_xlfn.IFS(AND(F139&gt;15,F139&lt;=30), "Youngsters", AND(F139&gt;30,F139&lt;=50), "Adults", AND(F139&gt;50,F139&lt;=70),"Old person", AND(F139&gt;70, F139&lt;92), "Senior Citizens")</f>
        <v>Adults</v>
      </c>
      <c r="Q139" t="str" cm="1">
        <f t="array" ref="Q139">_xlfn.IFS(G139=0,"No Tenure Period",AND(G139&gt;0,G139&lt;=3),"Less Tenure Period",AND(G139&gt;3,G139&lt;=7),"More Tenure Period",AND(G139&gt;7,G139&lt;=10),"Large Tenure Period")</f>
        <v>Large Tenure Period</v>
      </c>
      <c r="R139" t="str" cm="1">
        <f t="array" ref="R139">_xlfn.IFS(AND(C139&gt;300,C139&lt;=525),"1 Star",AND(C139&gt;525,C139&lt;=600),"2 Star",AND(C139&gt;600,C139&lt;=700),"3 Star",AND(C139&gt;700,C139&lt;=750),"4 Star",AND(C139&gt;750,C139&lt;=900),"5 Star")</f>
        <v>1 Star</v>
      </c>
      <c r="S139" cm="1">
        <f t="array" ref="S139">_xlfn.IFS(E139="Male",1,E139="Female",2)</f>
        <v>2</v>
      </c>
      <c r="T139" cm="1">
        <f t="array" ref="T139">_xlfn.IFS(D139="France",1,D139="Germany",2,D139="Spain",3)</f>
        <v>3</v>
      </c>
    </row>
    <row r="140" spans="1:20" x14ac:dyDescent="0.3">
      <c r="A140">
        <v>140</v>
      </c>
      <c r="B140" t="s">
        <v>17</v>
      </c>
      <c r="C140" s="5">
        <v>787</v>
      </c>
      <c r="D140" t="s">
        <v>23</v>
      </c>
      <c r="E140" t="s">
        <v>26</v>
      </c>
      <c r="F140">
        <v>38</v>
      </c>
      <c r="G140" s="5">
        <v>9</v>
      </c>
      <c r="H140" s="4">
        <v>216858.41</v>
      </c>
      <c r="I140" s="5">
        <v>1</v>
      </c>
      <c r="J140">
        <v>0</v>
      </c>
      <c r="K140">
        <v>1</v>
      </c>
      <c r="L140" s="4">
        <v>13005.86</v>
      </c>
      <c r="M140">
        <v>0</v>
      </c>
      <c r="N140" s="4">
        <f t="shared" si="4"/>
        <v>1.2292131583555095</v>
      </c>
      <c r="O140" s="4">
        <f t="shared" si="5"/>
        <v>-1.6913478859596254</v>
      </c>
      <c r="P140" t="str" cm="1">
        <f t="array" ref="P140">_xlfn.IFS(AND(F140&gt;15,F140&lt;=30), "Youngsters", AND(F140&gt;30,F140&lt;=50), "Adults", AND(F140&gt;50,F140&lt;=70),"Old person", AND(F140&gt;70, F140&lt;92), "Senior Citizens")</f>
        <v>Adults</v>
      </c>
      <c r="Q140" t="str" cm="1">
        <f t="array" ref="Q140">_xlfn.IFS(G140=0,"No Tenure Period",AND(G140&gt;0,G140&lt;=3),"Less Tenure Period",AND(G140&gt;3,G140&lt;=7),"More Tenure Period",AND(G140&gt;7,G140&lt;=10),"Large Tenure Period")</f>
        <v>Large Tenure Period</v>
      </c>
      <c r="R140" t="str" cm="1">
        <f t="array" ref="R140">_xlfn.IFS(AND(C140&gt;300,C140&lt;=525),"1 Star",AND(C140&gt;525,C140&lt;=600),"2 Star",AND(C140&gt;600,C140&lt;=700),"3 Star",AND(C140&gt;700,C140&lt;=750),"4 Star",AND(C140&gt;750,C140&lt;=900),"5 Star")</f>
        <v>5 Star</v>
      </c>
      <c r="S140" cm="1">
        <f t="array" ref="S140">_xlfn.IFS(E140="Male",1,E140="Female",2)</f>
        <v>2</v>
      </c>
      <c r="T140" cm="1">
        <f t="array" ref="T140">_xlfn.IFS(D140="France",1,D140="Germany",2,D140="Spain",3)</f>
        <v>3</v>
      </c>
    </row>
    <row r="141" spans="1:20" x14ac:dyDescent="0.3">
      <c r="A141">
        <v>141</v>
      </c>
      <c r="B141" t="s">
        <v>13</v>
      </c>
      <c r="C141" s="5">
        <v>585</v>
      </c>
      <c r="D141" t="s">
        <v>24</v>
      </c>
      <c r="E141" t="s">
        <v>26</v>
      </c>
      <c r="F141">
        <v>41</v>
      </c>
      <c r="G141" s="5">
        <v>8</v>
      </c>
      <c r="H141" s="4">
        <v>157571.35999999999</v>
      </c>
      <c r="I141" s="5">
        <v>2</v>
      </c>
      <c r="J141">
        <v>0</v>
      </c>
      <c r="K141">
        <v>0</v>
      </c>
      <c r="L141" s="4">
        <v>142792.82999999999</v>
      </c>
      <c r="M141">
        <v>1</v>
      </c>
      <c r="N141" s="4">
        <f t="shared" si="4"/>
        <v>0.40546728289945588</v>
      </c>
      <c r="O141" s="4">
        <f t="shared" si="5"/>
        <v>1.4801708075770519</v>
      </c>
      <c r="P141" t="str" cm="1">
        <f t="array" ref="P141">_xlfn.IFS(AND(F141&gt;15,F141&lt;=30), "Youngsters", AND(F141&gt;30,F141&lt;=50), "Adults", AND(F141&gt;50,F141&lt;=70),"Old person", AND(F141&gt;70, F141&lt;92), "Senior Citizens")</f>
        <v>Adults</v>
      </c>
      <c r="Q141" t="str" cm="1">
        <f t="array" ref="Q141">_xlfn.IFS(G141=0,"No Tenure Period",AND(G141&gt;0,G141&lt;=3),"Less Tenure Period",AND(G141&gt;3,G141&lt;=7),"More Tenure Period",AND(G141&gt;7,G141&lt;=10),"Large Tenure Period")</f>
        <v>Large Tenure Period</v>
      </c>
      <c r="R141" t="str" cm="1">
        <f t="array" ref="R141">_xlfn.IFS(AND(C141&gt;300,C141&lt;=525),"1 Star",AND(C141&gt;525,C141&lt;=600),"2 Star",AND(C141&gt;600,C141&lt;=700),"3 Star",AND(C141&gt;700,C141&lt;=750),"4 Star",AND(C141&gt;750,C141&lt;=900),"5 Star")</f>
        <v>2 Star</v>
      </c>
      <c r="S141" cm="1">
        <f t="array" ref="S141">_xlfn.IFS(E141="Male",1,E141="Female",2)</f>
        <v>2</v>
      </c>
      <c r="T141" cm="1">
        <f t="array" ref="T141">_xlfn.IFS(D141="France",1,D141="Germany",2,D141="Spain",3)</f>
        <v>1</v>
      </c>
    </row>
    <row r="142" spans="1:20" x14ac:dyDescent="0.3">
      <c r="A142">
        <v>142</v>
      </c>
      <c r="B142" t="s">
        <v>20</v>
      </c>
      <c r="C142" s="5">
        <v>396</v>
      </c>
      <c r="D142" t="s">
        <v>22</v>
      </c>
      <c r="E142" t="s">
        <v>25</v>
      </c>
      <c r="F142">
        <v>52</v>
      </c>
      <c r="G142" s="5">
        <v>9</v>
      </c>
      <c r="H142" s="4">
        <v>227146.67</v>
      </c>
      <c r="I142" s="5">
        <v>2</v>
      </c>
      <c r="J142">
        <v>0</v>
      </c>
      <c r="K142">
        <v>0</v>
      </c>
      <c r="L142" s="4">
        <v>57655.65</v>
      </c>
      <c r="M142">
        <v>1</v>
      </c>
      <c r="N142" s="4">
        <f t="shared" si="4"/>
        <v>1.3721602562566448</v>
      </c>
      <c r="O142" s="4">
        <f t="shared" si="5"/>
        <v>-0.60027037912294512</v>
      </c>
      <c r="P142" t="str" cm="1">
        <f t="array" ref="P142">_xlfn.IFS(AND(F142&gt;15,F142&lt;=30), "Youngsters", AND(F142&gt;30,F142&lt;=50), "Adults", AND(F142&gt;50,F142&lt;=70),"Old person", AND(F142&gt;70, F142&lt;92), "Senior Citizens")</f>
        <v>Old person</v>
      </c>
      <c r="Q142" t="str" cm="1">
        <f t="array" ref="Q142">_xlfn.IFS(G142=0,"No Tenure Period",AND(G142&gt;0,G142&lt;=3),"Less Tenure Period",AND(G142&gt;3,G142&lt;=7),"More Tenure Period",AND(G142&gt;7,G142&lt;=10),"Large Tenure Period")</f>
        <v>Large Tenure Period</v>
      </c>
      <c r="R142" t="str" cm="1">
        <f t="array" ref="R142">_xlfn.IFS(AND(C142&gt;300,C142&lt;=525),"1 Star",AND(C142&gt;525,C142&lt;=600),"2 Star",AND(C142&gt;600,C142&lt;=700),"3 Star",AND(C142&gt;700,C142&lt;=750),"4 Star",AND(C142&gt;750,C142&lt;=900),"5 Star")</f>
        <v>1 Star</v>
      </c>
      <c r="S142" cm="1">
        <f t="array" ref="S142">_xlfn.IFS(E142="Male",1,E142="Female",2)</f>
        <v>1</v>
      </c>
      <c r="T142" cm="1">
        <f t="array" ref="T142">_xlfn.IFS(D142="France",1,D142="Germany",2,D142="Spain",3)</f>
        <v>2</v>
      </c>
    </row>
    <row r="143" spans="1:20" x14ac:dyDescent="0.3">
      <c r="A143">
        <v>143</v>
      </c>
      <c r="B143" t="s">
        <v>20</v>
      </c>
      <c r="C143" s="5">
        <v>846</v>
      </c>
      <c r="D143" t="s">
        <v>24</v>
      </c>
      <c r="E143" t="s">
        <v>25</v>
      </c>
      <c r="F143">
        <v>50</v>
      </c>
      <c r="G143" s="5">
        <v>5</v>
      </c>
      <c r="H143" s="4">
        <v>164636.07</v>
      </c>
      <c r="I143" s="5">
        <v>4</v>
      </c>
      <c r="J143">
        <v>1</v>
      </c>
      <c r="K143">
        <v>0</v>
      </c>
      <c r="L143" s="4">
        <v>70775.05</v>
      </c>
      <c r="M143">
        <v>0</v>
      </c>
      <c r="N143" s="4">
        <f t="shared" si="4"/>
        <v>0.50362574623661216</v>
      </c>
      <c r="O143" s="4">
        <f t="shared" si="5"/>
        <v>-0.27968024324116059</v>
      </c>
      <c r="P143" t="str" cm="1">
        <f t="array" ref="P143">_xlfn.IFS(AND(F143&gt;15,F143&lt;=30), "Youngsters", AND(F143&gt;30,F143&lt;=50), "Adults", AND(F143&gt;50,F143&lt;=70),"Old person", AND(F143&gt;70, F143&lt;92), "Senior Citizens")</f>
        <v>Adults</v>
      </c>
      <c r="Q143" t="str" cm="1">
        <f t="array" ref="Q143">_xlfn.IFS(G143=0,"No Tenure Period",AND(G143&gt;0,G143&lt;=3),"Less Tenure Period",AND(G143&gt;3,G143&lt;=7),"More Tenure Period",AND(G143&gt;7,G143&lt;=10),"Large Tenure Period")</f>
        <v>More Tenure Period</v>
      </c>
      <c r="R143" t="str" cm="1">
        <f t="array" ref="R143">_xlfn.IFS(AND(C143&gt;300,C143&lt;=525),"1 Star",AND(C143&gt;525,C143&lt;=600),"2 Star",AND(C143&gt;600,C143&lt;=700),"3 Star",AND(C143&gt;700,C143&lt;=750),"4 Star",AND(C143&gt;750,C143&lt;=900),"5 Star")</f>
        <v>5 Star</v>
      </c>
      <c r="S143" cm="1">
        <f t="array" ref="S143">_xlfn.IFS(E143="Male",1,E143="Female",2)</f>
        <v>1</v>
      </c>
      <c r="T143" cm="1">
        <f t="array" ref="T143">_xlfn.IFS(D143="France",1,D143="Germany",2,D143="Spain",3)</f>
        <v>1</v>
      </c>
    </row>
    <row r="144" spans="1:20" x14ac:dyDescent="0.3">
      <c r="A144">
        <v>144</v>
      </c>
      <c r="B144" t="s">
        <v>14</v>
      </c>
      <c r="C144" s="5">
        <v>477</v>
      </c>
      <c r="D144" t="s">
        <v>24</v>
      </c>
      <c r="E144" t="s">
        <v>25</v>
      </c>
      <c r="F144">
        <v>83</v>
      </c>
      <c r="G144" s="5">
        <v>9</v>
      </c>
      <c r="H144" s="4">
        <v>113849.92</v>
      </c>
      <c r="I144" s="5">
        <v>1</v>
      </c>
      <c r="J144">
        <v>1</v>
      </c>
      <c r="K144">
        <v>1</v>
      </c>
      <c r="L144" s="4">
        <v>122175.46</v>
      </c>
      <c r="M144">
        <v>1</v>
      </c>
      <c r="N144" s="4">
        <f t="shared" si="4"/>
        <v>-0.20200696095311058</v>
      </c>
      <c r="O144" s="4">
        <f t="shared" si="5"/>
        <v>0.97635771781494229</v>
      </c>
      <c r="P144" t="str" cm="1">
        <f t="array" ref="P144">_xlfn.IFS(AND(F144&gt;15,F144&lt;=30), "Youngsters", AND(F144&gt;30,F144&lt;=50), "Adults", AND(F144&gt;50,F144&lt;=70),"Old person", AND(F144&gt;70, F144&lt;92), "Senior Citizens")</f>
        <v>Senior Citizens</v>
      </c>
      <c r="Q144" t="str" cm="1">
        <f t="array" ref="Q144">_xlfn.IFS(G144=0,"No Tenure Period",AND(G144&gt;0,G144&lt;=3),"Less Tenure Period",AND(G144&gt;3,G144&lt;=7),"More Tenure Period",AND(G144&gt;7,G144&lt;=10),"Large Tenure Period")</f>
        <v>Large Tenure Period</v>
      </c>
      <c r="R144" t="str" cm="1">
        <f t="array" ref="R144">_xlfn.IFS(AND(C144&gt;300,C144&lt;=525),"1 Star",AND(C144&gt;525,C144&lt;=600),"2 Star",AND(C144&gt;600,C144&lt;=700),"3 Star",AND(C144&gt;700,C144&lt;=750),"4 Star",AND(C144&gt;750,C144&lt;=900),"5 Star")</f>
        <v>1 Star</v>
      </c>
      <c r="S144" cm="1">
        <f t="array" ref="S144">_xlfn.IFS(E144="Male",1,E144="Female",2)</f>
        <v>1</v>
      </c>
      <c r="T144" cm="1">
        <f t="array" ref="T144">_xlfn.IFS(D144="France",1,D144="Germany",2,D144="Spain",3)</f>
        <v>1</v>
      </c>
    </row>
    <row r="145" spans="1:20" x14ac:dyDescent="0.3">
      <c r="A145">
        <v>145</v>
      </c>
      <c r="B145" t="s">
        <v>20</v>
      </c>
      <c r="C145" s="5">
        <v>767</v>
      </c>
      <c r="D145" t="s">
        <v>23</v>
      </c>
      <c r="E145" t="s">
        <v>26</v>
      </c>
      <c r="F145">
        <v>40</v>
      </c>
      <c r="G145" s="5">
        <v>1</v>
      </c>
      <c r="H145" s="4">
        <v>116715.57</v>
      </c>
      <c r="I145" s="5">
        <v>1</v>
      </c>
      <c r="J145">
        <v>0</v>
      </c>
      <c r="K145">
        <v>0</v>
      </c>
      <c r="L145" s="4">
        <v>22814.14</v>
      </c>
      <c r="M145">
        <v>0</v>
      </c>
      <c r="N145" s="4">
        <f t="shared" si="4"/>
        <v>-0.16219105903185382</v>
      </c>
      <c r="O145" s="4">
        <f t="shared" si="5"/>
        <v>-1.4516694084403343</v>
      </c>
      <c r="P145" t="str" cm="1">
        <f t="array" ref="P145">_xlfn.IFS(AND(F145&gt;15,F145&lt;=30), "Youngsters", AND(F145&gt;30,F145&lt;=50), "Adults", AND(F145&gt;50,F145&lt;=70),"Old person", AND(F145&gt;70, F145&lt;92), "Senior Citizens")</f>
        <v>Adults</v>
      </c>
      <c r="Q145" t="str" cm="1">
        <f t="array" ref="Q145">_xlfn.IFS(G145=0,"No Tenure Period",AND(G145&gt;0,G145&lt;=3),"Less Tenure Period",AND(G145&gt;3,G145&lt;=7),"More Tenure Period",AND(G145&gt;7,G145&lt;=10),"Large Tenure Period")</f>
        <v>Less Tenure Period</v>
      </c>
      <c r="R145" t="str" cm="1">
        <f t="array" ref="R145">_xlfn.IFS(AND(C145&gt;300,C145&lt;=525),"1 Star",AND(C145&gt;525,C145&lt;=600),"2 Star",AND(C145&gt;600,C145&lt;=700),"3 Star",AND(C145&gt;700,C145&lt;=750),"4 Star",AND(C145&gt;750,C145&lt;=900),"5 Star")</f>
        <v>5 Star</v>
      </c>
      <c r="S145" cm="1">
        <f t="array" ref="S145">_xlfn.IFS(E145="Male",1,E145="Female",2)</f>
        <v>2</v>
      </c>
      <c r="T145" cm="1">
        <f t="array" ref="T145">_xlfn.IFS(D145="France",1,D145="Germany",2,D145="Spain",3)</f>
        <v>3</v>
      </c>
    </row>
    <row r="146" spans="1:20" x14ac:dyDescent="0.3">
      <c r="A146">
        <v>146</v>
      </c>
      <c r="B146" t="s">
        <v>17</v>
      </c>
      <c r="C146" s="5">
        <v>687</v>
      </c>
      <c r="D146" t="s">
        <v>22</v>
      </c>
      <c r="E146" t="s">
        <v>26</v>
      </c>
      <c r="F146">
        <v>39</v>
      </c>
      <c r="G146" s="5">
        <v>8</v>
      </c>
      <c r="H146" s="4">
        <v>52909.38</v>
      </c>
      <c r="I146" s="5">
        <v>4</v>
      </c>
      <c r="J146">
        <v>0</v>
      </c>
      <c r="K146">
        <v>1</v>
      </c>
      <c r="L146" s="4">
        <v>34759.360000000001</v>
      </c>
      <c r="M146">
        <v>0</v>
      </c>
      <c r="N146" s="4">
        <f t="shared" si="4"/>
        <v>-1.0487267500649762</v>
      </c>
      <c r="O146" s="4">
        <f t="shared" si="5"/>
        <v>-1.1597719357710192</v>
      </c>
      <c r="P146" t="str" cm="1">
        <f t="array" ref="P146">_xlfn.IFS(AND(F146&gt;15,F146&lt;=30), "Youngsters", AND(F146&gt;30,F146&lt;=50), "Adults", AND(F146&gt;50,F146&lt;=70),"Old person", AND(F146&gt;70, F146&lt;92), "Senior Citizens")</f>
        <v>Adults</v>
      </c>
      <c r="Q146" t="str" cm="1">
        <f t="array" ref="Q146">_xlfn.IFS(G146=0,"No Tenure Period",AND(G146&gt;0,G146&lt;=3),"Less Tenure Period",AND(G146&gt;3,G146&lt;=7),"More Tenure Period",AND(G146&gt;7,G146&lt;=10),"Large Tenure Period")</f>
        <v>Large Tenure Period</v>
      </c>
      <c r="R146" t="str" cm="1">
        <f t="array" ref="R146">_xlfn.IFS(AND(C146&gt;300,C146&lt;=525),"1 Star",AND(C146&gt;525,C146&lt;=600),"2 Star",AND(C146&gt;600,C146&lt;=700),"3 Star",AND(C146&gt;700,C146&lt;=750),"4 Star",AND(C146&gt;750,C146&lt;=900),"5 Star")</f>
        <v>3 Star</v>
      </c>
      <c r="S146" cm="1">
        <f t="array" ref="S146">_xlfn.IFS(E146="Male",1,E146="Female",2)</f>
        <v>2</v>
      </c>
      <c r="T146" cm="1">
        <f t="array" ref="T146">_xlfn.IFS(D146="France",1,D146="Germany",2,D146="Spain",3)</f>
        <v>2</v>
      </c>
    </row>
    <row r="147" spans="1:20" x14ac:dyDescent="0.3">
      <c r="A147">
        <v>147</v>
      </c>
      <c r="B147" t="s">
        <v>20</v>
      </c>
      <c r="C147" s="5">
        <v>507</v>
      </c>
      <c r="D147" t="s">
        <v>22</v>
      </c>
      <c r="E147" t="s">
        <v>25</v>
      </c>
      <c r="F147">
        <v>75</v>
      </c>
      <c r="G147" s="5">
        <v>8</v>
      </c>
      <c r="H147" s="4">
        <v>238465.26</v>
      </c>
      <c r="I147" s="5">
        <v>4</v>
      </c>
      <c r="J147">
        <v>0</v>
      </c>
      <c r="K147">
        <v>1</v>
      </c>
      <c r="L147" s="4">
        <v>55585.67</v>
      </c>
      <c r="M147">
        <v>0</v>
      </c>
      <c r="N147" s="4">
        <f t="shared" si="4"/>
        <v>1.5294229608182333</v>
      </c>
      <c r="O147" s="4">
        <f t="shared" si="5"/>
        <v>-0.65085311686038572</v>
      </c>
      <c r="P147" t="str" cm="1">
        <f t="array" ref="P147">_xlfn.IFS(AND(F147&gt;15,F147&lt;=30), "Youngsters", AND(F147&gt;30,F147&lt;=50), "Adults", AND(F147&gt;50,F147&lt;=70),"Old person", AND(F147&gt;70, F147&lt;92), "Senior Citizens")</f>
        <v>Senior Citizens</v>
      </c>
      <c r="Q147" t="str" cm="1">
        <f t="array" ref="Q147">_xlfn.IFS(G147=0,"No Tenure Period",AND(G147&gt;0,G147&lt;=3),"Less Tenure Period",AND(G147&gt;3,G147&lt;=7),"More Tenure Period",AND(G147&gt;7,G147&lt;=10),"Large Tenure Period")</f>
        <v>Large Tenure Period</v>
      </c>
      <c r="R147" t="str" cm="1">
        <f t="array" ref="R147">_xlfn.IFS(AND(C147&gt;300,C147&lt;=525),"1 Star",AND(C147&gt;525,C147&lt;=600),"2 Star",AND(C147&gt;600,C147&lt;=700),"3 Star",AND(C147&gt;700,C147&lt;=750),"4 Star",AND(C147&gt;750,C147&lt;=900),"5 Star")</f>
        <v>1 Star</v>
      </c>
      <c r="S147" cm="1">
        <f t="array" ref="S147">_xlfn.IFS(E147="Male",1,E147="Female",2)</f>
        <v>1</v>
      </c>
      <c r="T147" cm="1">
        <f t="array" ref="T147">_xlfn.IFS(D147="France",1,D147="Germany",2,D147="Spain",3)</f>
        <v>2</v>
      </c>
    </row>
    <row r="148" spans="1:20" x14ac:dyDescent="0.3">
      <c r="A148">
        <v>148</v>
      </c>
      <c r="B148" t="s">
        <v>18</v>
      </c>
      <c r="C148" s="5">
        <v>362</v>
      </c>
      <c r="D148" t="s">
        <v>24</v>
      </c>
      <c r="E148" t="s">
        <v>25</v>
      </c>
      <c r="F148">
        <v>86</v>
      </c>
      <c r="G148" s="5">
        <v>6</v>
      </c>
      <c r="H148" s="4">
        <v>77731.5</v>
      </c>
      <c r="I148" s="5">
        <v>4</v>
      </c>
      <c r="J148">
        <v>0</v>
      </c>
      <c r="K148">
        <v>1</v>
      </c>
      <c r="L148" s="4">
        <v>128074.02</v>
      </c>
      <c r="M148">
        <v>1</v>
      </c>
      <c r="N148" s="4">
        <f t="shared" si="4"/>
        <v>-0.70384335697870848</v>
      </c>
      <c r="O148" s="4">
        <f t="shared" si="5"/>
        <v>1.1204969430772911</v>
      </c>
      <c r="P148" t="str" cm="1">
        <f t="array" ref="P148">_xlfn.IFS(AND(F148&gt;15,F148&lt;=30), "Youngsters", AND(F148&gt;30,F148&lt;=50), "Adults", AND(F148&gt;50,F148&lt;=70),"Old person", AND(F148&gt;70, F148&lt;92), "Senior Citizens")</f>
        <v>Senior Citizens</v>
      </c>
      <c r="Q148" t="str" cm="1">
        <f t="array" ref="Q148">_xlfn.IFS(G148=0,"No Tenure Period",AND(G148&gt;0,G148&lt;=3),"Less Tenure Period",AND(G148&gt;3,G148&lt;=7),"More Tenure Period",AND(G148&gt;7,G148&lt;=10),"Large Tenure Period")</f>
        <v>More Tenure Period</v>
      </c>
      <c r="R148" t="str" cm="1">
        <f t="array" ref="R148">_xlfn.IFS(AND(C148&gt;300,C148&lt;=525),"1 Star",AND(C148&gt;525,C148&lt;=600),"2 Star",AND(C148&gt;600,C148&lt;=700),"3 Star",AND(C148&gt;700,C148&lt;=750),"4 Star",AND(C148&gt;750,C148&lt;=900),"5 Star")</f>
        <v>1 Star</v>
      </c>
      <c r="S148" cm="1">
        <f t="array" ref="S148">_xlfn.IFS(E148="Male",1,E148="Female",2)</f>
        <v>1</v>
      </c>
      <c r="T148" cm="1">
        <f t="array" ref="T148">_xlfn.IFS(D148="France",1,D148="Germany",2,D148="Spain",3)</f>
        <v>1</v>
      </c>
    </row>
    <row r="149" spans="1:20" x14ac:dyDescent="0.3">
      <c r="A149">
        <v>149</v>
      </c>
      <c r="B149" t="s">
        <v>14</v>
      </c>
      <c r="C149" s="5">
        <v>468</v>
      </c>
      <c r="D149" t="s">
        <v>24</v>
      </c>
      <c r="E149" t="s">
        <v>26</v>
      </c>
      <c r="F149">
        <v>63</v>
      </c>
      <c r="G149" s="5">
        <v>0</v>
      </c>
      <c r="H149" s="4">
        <v>99986.47</v>
      </c>
      <c r="I149" s="5">
        <v>4</v>
      </c>
      <c r="J149">
        <v>1</v>
      </c>
      <c r="K149">
        <v>1</v>
      </c>
      <c r="L149" s="4">
        <v>106009.52</v>
      </c>
      <c r="M149">
        <v>1</v>
      </c>
      <c r="N149" s="4">
        <f t="shared" si="4"/>
        <v>-0.39462844839583577</v>
      </c>
      <c r="O149" s="4">
        <f t="shared" si="5"/>
        <v>0.58132129074840144</v>
      </c>
      <c r="P149" t="str" cm="1">
        <f t="array" ref="P149">_xlfn.IFS(AND(F149&gt;15,F149&lt;=30), "Youngsters", AND(F149&gt;30,F149&lt;=50), "Adults", AND(F149&gt;50,F149&lt;=70),"Old person", AND(F149&gt;70, F149&lt;92), "Senior Citizens")</f>
        <v>Old person</v>
      </c>
      <c r="Q149" t="str" cm="1">
        <f t="array" ref="Q149">_xlfn.IFS(G149=0,"No Tenure Period",AND(G149&gt;0,G149&lt;=3),"Less Tenure Period",AND(G149&gt;3,G149&lt;=7),"More Tenure Period",AND(G149&gt;7,G149&lt;=10),"Large Tenure Period")</f>
        <v>No Tenure Period</v>
      </c>
      <c r="R149" t="str" cm="1">
        <f t="array" ref="R149">_xlfn.IFS(AND(C149&gt;300,C149&lt;=525),"1 Star",AND(C149&gt;525,C149&lt;=600),"2 Star",AND(C149&gt;600,C149&lt;=700),"3 Star",AND(C149&gt;700,C149&lt;=750),"4 Star",AND(C149&gt;750,C149&lt;=900),"5 Star")</f>
        <v>1 Star</v>
      </c>
      <c r="S149" cm="1">
        <f t="array" ref="S149">_xlfn.IFS(E149="Male",1,E149="Female",2)</f>
        <v>2</v>
      </c>
      <c r="T149" cm="1">
        <f t="array" ref="T149">_xlfn.IFS(D149="France",1,D149="Germany",2,D149="Spain",3)</f>
        <v>1</v>
      </c>
    </row>
    <row r="150" spans="1:20" x14ac:dyDescent="0.3">
      <c r="A150">
        <v>150</v>
      </c>
      <c r="B150" t="s">
        <v>13</v>
      </c>
      <c r="C150" s="5">
        <v>652</v>
      </c>
      <c r="D150" t="s">
        <v>22</v>
      </c>
      <c r="E150" t="s">
        <v>26</v>
      </c>
      <c r="F150">
        <v>57</v>
      </c>
      <c r="G150" s="5">
        <v>0</v>
      </c>
      <c r="H150" s="4">
        <v>7447.39</v>
      </c>
      <c r="I150" s="5">
        <v>2</v>
      </c>
      <c r="J150">
        <v>0</v>
      </c>
      <c r="K150">
        <v>0</v>
      </c>
      <c r="L150" s="4">
        <v>60175.22</v>
      </c>
      <c r="M150">
        <v>1</v>
      </c>
      <c r="N150" s="4">
        <f t="shared" si="4"/>
        <v>-1.6803845362514089</v>
      </c>
      <c r="O150" s="4">
        <f t="shared" si="5"/>
        <v>-0.53870130670624405</v>
      </c>
      <c r="P150" t="str" cm="1">
        <f t="array" ref="P150">_xlfn.IFS(AND(F150&gt;15,F150&lt;=30), "Youngsters", AND(F150&gt;30,F150&lt;=50), "Adults", AND(F150&gt;50,F150&lt;=70),"Old person", AND(F150&gt;70, F150&lt;92), "Senior Citizens")</f>
        <v>Old person</v>
      </c>
      <c r="Q150" t="str" cm="1">
        <f t="array" ref="Q150">_xlfn.IFS(G150=0,"No Tenure Period",AND(G150&gt;0,G150&lt;=3),"Less Tenure Period",AND(G150&gt;3,G150&lt;=7),"More Tenure Period",AND(G150&gt;7,G150&lt;=10),"Large Tenure Period")</f>
        <v>No Tenure Period</v>
      </c>
      <c r="R150" t="str" cm="1">
        <f t="array" ref="R150">_xlfn.IFS(AND(C150&gt;300,C150&lt;=525),"1 Star",AND(C150&gt;525,C150&lt;=600),"2 Star",AND(C150&gt;600,C150&lt;=700),"3 Star",AND(C150&gt;700,C150&lt;=750),"4 Star",AND(C150&gt;750,C150&lt;=900),"5 Star")</f>
        <v>3 Star</v>
      </c>
      <c r="S150" cm="1">
        <f t="array" ref="S150">_xlfn.IFS(E150="Male",1,E150="Female",2)</f>
        <v>2</v>
      </c>
      <c r="T150" cm="1">
        <f t="array" ref="T150">_xlfn.IFS(D150="France",1,D150="Germany",2,D150="Spain",3)</f>
        <v>2</v>
      </c>
    </row>
    <row r="151" spans="1:20" x14ac:dyDescent="0.3">
      <c r="A151">
        <v>151</v>
      </c>
      <c r="B151" t="s">
        <v>18</v>
      </c>
      <c r="C151" s="5">
        <v>724</v>
      </c>
      <c r="D151" t="s">
        <v>24</v>
      </c>
      <c r="E151" t="s">
        <v>26</v>
      </c>
      <c r="F151">
        <v>42</v>
      </c>
      <c r="G151" s="5">
        <v>2</v>
      </c>
      <c r="H151" s="4">
        <v>97001.53</v>
      </c>
      <c r="I151" s="5">
        <v>3</v>
      </c>
      <c r="J151">
        <v>0</v>
      </c>
      <c r="K151">
        <v>0</v>
      </c>
      <c r="L151" s="4">
        <v>140671.21</v>
      </c>
      <c r="M151">
        <v>0</v>
      </c>
      <c r="N151" s="4">
        <f t="shared" si="4"/>
        <v>-0.43610178892270957</v>
      </c>
      <c r="O151" s="4">
        <f t="shared" si="5"/>
        <v>1.4283261771755467</v>
      </c>
      <c r="P151" t="str" cm="1">
        <f t="array" ref="P151">_xlfn.IFS(AND(F151&gt;15,F151&lt;=30), "Youngsters", AND(F151&gt;30,F151&lt;=50), "Adults", AND(F151&gt;50,F151&lt;=70),"Old person", AND(F151&gt;70, F151&lt;92), "Senior Citizens")</f>
        <v>Adults</v>
      </c>
      <c r="Q151" t="str" cm="1">
        <f t="array" ref="Q151">_xlfn.IFS(G151=0,"No Tenure Period",AND(G151&gt;0,G151&lt;=3),"Less Tenure Period",AND(G151&gt;3,G151&lt;=7),"More Tenure Period",AND(G151&gt;7,G151&lt;=10),"Large Tenure Period")</f>
        <v>Less Tenure Period</v>
      </c>
      <c r="R151" t="str" cm="1">
        <f t="array" ref="R151">_xlfn.IFS(AND(C151&gt;300,C151&lt;=525),"1 Star",AND(C151&gt;525,C151&lt;=600),"2 Star",AND(C151&gt;600,C151&lt;=700),"3 Star",AND(C151&gt;700,C151&lt;=750),"4 Star",AND(C151&gt;750,C151&lt;=900),"5 Star")</f>
        <v>4 Star</v>
      </c>
      <c r="S151" cm="1">
        <f t="array" ref="S151">_xlfn.IFS(E151="Male",1,E151="Female",2)</f>
        <v>2</v>
      </c>
      <c r="T151" cm="1">
        <f t="array" ref="T151">_xlfn.IFS(D151="France",1,D151="Germany",2,D151="Spain",3)</f>
        <v>1</v>
      </c>
    </row>
    <row r="152" spans="1:20" x14ac:dyDescent="0.3">
      <c r="A152">
        <v>152</v>
      </c>
      <c r="B152" t="s">
        <v>14</v>
      </c>
      <c r="C152" s="5">
        <v>638</v>
      </c>
      <c r="D152" t="s">
        <v>23</v>
      </c>
      <c r="E152" t="s">
        <v>25</v>
      </c>
      <c r="F152">
        <v>35</v>
      </c>
      <c r="G152" s="5">
        <v>3</v>
      </c>
      <c r="H152" s="4">
        <v>29176.44</v>
      </c>
      <c r="I152" s="5">
        <v>4</v>
      </c>
      <c r="J152">
        <v>1</v>
      </c>
      <c r="K152">
        <v>1</v>
      </c>
      <c r="L152" s="4">
        <v>119718.19</v>
      </c>
      <c r="M152">
        <v>0</v>
      </c>
      <c r="N152" s="4">
        <f t="shared" si="4"/>
        <v>-1.3784768630735673</v>
      </c>
      <c r="O152" s="4">
        <f t="shared" si="5"/>
        <v>0.91631102946042653</v>
      </c>
      <c r="P152" t="str" cm="1">
        <f t="array" ref="P152">_xlfn.IFS(AND(F152&gt;15,F152&lt;=30), "Youngsters", AND(F152&gt;30,F152&lt;=50), "Adults", AND(F152&gt;50,F152&lt;=70),"Old person", AND(F152&gt;70, F152&lt;92), "Senior Citizens")</f>
        <v>Adults</v>
      </c>
      <c r="Q152" t="str" cm="1">
        <f t="array" ref="Q152">_xlfn.IFS(G152=0,"No Tenure Period",AND(G152&gt;0,G152&lt;=3),"Less Tenure Period",AND(G152&gt;3,G152&lt;=7),"More Tenure Period",AND(G152&gt;7,G152&lt;=10),"Large Tenure Period")</f>
        <v>Less Tenure Period</v>
      </c>
      <c r="R152" t="str" cm="1">
        <f t="array" ref="R152">_xlfn.IFS(AND(C152&gt;300,C152&lt;=525),"1 Star",AND(C152&gt;525,C152&lt;=600),"2 Star",AND(C152&gt;600,C152&lt;=700),"3 Star",AND(C152&gt;700,C152&lt;=750),"4 Star",AND(C152&gt;750,C152&lt;=900),"5 Star")</f>
        <v>3 Star</v>
      </c>
      <c r="S152" cm="1">
        <f t="array" ref="S152">_xlfn.IFS(E152="Male",1,E152="Female",2)</f>
        <v>1</v>
      </c>
      <c r="T152" cm="1">
        <f t="array" ref="T152">_xlfn.IFS(D152="France",1,D152="Germany",2,D152="Spain",3)</f>
        <v>3</v>
      </c>
    </row>
    <row r="153" spans="1:20" x14ac:dyDescent="0.3">
      <c r="A153">
        <v>153</v>
      </c>
      <c r="B153" t="s">
        <v>19</v>
      </c>
      <c r="C153" s="5">
        <v>640</v>
      </c>
      <c r="D153" t="s">
        <v>23</v>
      </c>
      <c r="E153" t="s">
        <v>25</v>
      </c>
      <c r="F153">
        <v>70</v>
      </c>
      <c r="G153" s="5">
        <v>2</v>
      </c>
      <c r="H153" s="4">
        <v>47856.39</v>
      </c>
      <c r="I153" s="5">
        <v>1</v>
      </c>
      <c r="J153">
        <v>0</v>
      </c>
      <c r="K153">
        <v>1</v>
      </c>
      <c r="L153" s="4">
        <v>11462.63</v>
      </c>
      <c r="M153">
        <v>1</v>
      </c>
      <c r="N153" s="4">
        <f t="shared" si="4"/>
        <v>-1.1189339820190149</v>
      </c>
      <c r="O153" s="4">
        <f t="shared" si="5"/>
        <v>-1.7290587809240938</v>
      </c>
      <c r="P153" t="str" cm="1">
        <f t="array" ref="P153">_xlfn.IFS(AND(F153&gt;15,F153&lt;=30), "Youngsters", AND(F153&gt;30,F153&lt;=50), "Adults", AND(F153&gt;50,F153&lt;=70),"Old person", AND(F153&gt;70, F153&lt;92), "Senior Citizens")</f>
        <v>Old person</v>
      </c>
      <c r="Q153" t="str" cm="1">
        <f t="array" ref="Q153">_xlfn.IFS(G153=0,"No Tenure Period",AND(G153&gt;0,G153&lt;=3),"Less Tenure Period",AND(G153&gt;3,G153&lt;=7),"More Tenure Period",AND(G153&gt;7,G153&lt;=10),"Large Tenure Period")</f>
        <v>Less Tenure Period</v>
      </c>
      <c r="R153" t="str" cm="1">
        <f t="array" ref="R153">_xlfn.IFS(AND(C153&gt;300,C153&lt;=525),"1 Star",AND(C153&gt;525,C153&lt;=600),"2 Star",AND(C153&gt;600,C153&lt;=700),"3 Star",AND(C153&gt;700,C153&lt;=750),"4 Star",AND(C153&gt;750,C153&lt;=900),"5 Star")</f>
        <v>3 Star</v>
      </c>
      <c r="S153" cm="1">
        <f t="array" ref="S153">_xlfn.IFS(E153="Male",1,E153="Female",2)</f>
        <v>1</v>
      </c>
      <c r="T153" cm="1">
        <f t="array" ref="T153">_xlfn.IFS(D153="France",1,D153="Germany",2,D153="Spain",3)</f>
        <v>3</v>
      </c>
    </row>
    <row r="154" spans="1:20" x14ac:dyDescent="0.3">
      <c r="A154">
        <v>154</v>
      </c>
      <c r="B154" t="s">
        <v>16</v>
      </c>
      <c r="C154" s="5">
        <v>465</v>
      </c>
      <c r="D154" t="s">
        <v>24</v>
      </c>
      <c r="E154" t="s">
        <v>26</v>
      </c>
      <c r="F154">
        <v>26</v>
      </c>
      <c r="G154" s="5">
        <v>1</v>
      </c>
      <c r="H154" s="4">
        <v>197384.58</v>
      </c>
      <c r="I154" s="5">
        <v>3</v>
      </c>
      <c r="J154">
        <v>0</v>
      </c>
      <c r="K154">
        <v>0</v>
      </c>
      <c r="L154" s="4">
        <v>73040.67</v>
      </c>
      <c r="M154">
        <v>1</v>
      </c>
      <c r="N154" s="4">
        <f t="shared" si="4"/>
        <v>0.95863995321488649</v>
      </c>
      <c r="O154" s="4">
        <f t="shared" si="5"/>
        <v>-0.22431677969431493</v>
      </c>
      <c r="P154" t="str" cm="1">
        <f t="array" ref="P154">_xlfn.IFS(AND(F154&gt;15,F154&lt;=30), "Youngsters", AND(F154&gt;30,F154&lt;=50), "Adults", AND(F154&gt;50,F154&lt;=70),"Old person", AND(F154&gt;70, F154&lt;92), "Senior Citizens")</f>
        <v>Youngsters</v>
      </c>
      <c r="Q154" t="str" cm="1">
        <f t="array" ref="Q154">_xlfn.IFS(G154=0,"No Tenure Period",AND(G154&gt;0,G154&lt;=3),"Less Tenure Period",AND(G154&gt;3,G154&lt;=7),"More Tenure Period",AND(G154&gt;7,G154&lt;=10),"Large Tenure Period")</f>
        <v>Less Tenure Period</v>
      </c>
      <c r="R154" t="str" cm="1">
        <f t="array" ref="R154">_xlfn.IFS(AND(C154&gt;300,C154&lt;=525),"1 Star",AND(C154&gt;525,C154&lt;=600),"2 Star",AND(C154&gt;600,C154&lt;=700),"3 Star",AND(C154&gt;700,C154&lt;=750),"4 Star",AND(C154&gt;750,C154&lt;=900),"5 Star")</f>
        <v>1 Star</v>
      </c>
      <c r="S154" cm="1">
        <f t="array" ref="S154">_xlfn.IFS(E154="Male",1,E154="Female",2)</f>
        <v>2</v>
      </c>
      <c r="T154" cm="1">
        <f t="array" ref="T154">_xlfn.IFS(D154="France",1,D154="Germany",2,D154="Spain",3)</f>
        <v>1</v>
      </c>
    </row>
    <row r="155" spans="1:20" x14ac:dyDescent="0.3">
      <c r="A155">
        <v>155</v>
      </c>
      <c r="B155" t="s">
        <v>20</v>
      </c>
      <c r="C155" s="5">
        <v>437</v>
      </c>
      <c r="D155" t="s">
        <v>23</v>
      </c>
      <c r="E155" t="s">
        <v>25</v>
      </c>
      <c r="F155">
        <v>23</v>
      </c>
      <c r="G155" s="5">
        <v>9</v>
      </c>
      <c r="H155" s="4">
        <v>118047.52</v>
      </c>
      <c r="I155" s="5">
        <v>4</v>
      </c>
      <c r="J155">
        <v>0</v>
      </c>
      <c r="K155">
        <v>1</v>
      </c>
      <c r="L155" s="4">
        <v>69509.759999999995</v>
      </c>
      <c r="M155">
        <v>1</v>
      </c>
      <c r="N155" s="4">
        <f t="shared" si="4"/>
        <v>-0.14368468506294008</v>
      </c>
      <c r="O155" s="4">
        <f t="shared" si="5"/>
        <v>-0.31059930150829673</v>
      </c>
      <c r="P155" t="str" cm="1">
        <f t="array" ref="P155">_xlfn.IFS(AND(F155&gt;15,F155&lt;=30), "Youngsters", AND(F155&gt;30,F155&lt;=50), "Adults", AND(F155&gt;50,F155&lt;=70),"Old person", AND(F155&gt;70, F155&lt;92), "Senior Citizens")</f>
        <v>Youngsters</v>
      </c>
      <c r="Q155" t="str" cm="1">
        <f t="array" ref="Q155">_xlfn.IFS(G155=0,"No Tenure Period",AND(G155&gt;0,G155&lt;=3),"Less Tenure Period",AND(G155&gt;3,G155&lt;=7),"More Tenure Period",AND(G155&gt;7,G155&lt;=10),"Large Tenure Period")</f>
        <v>Large Tenure Period</v>
      </c>
      <c r="R155" t="str" cm="1">
        <f t="array" ref="R155">_xlfn.IFS(AND(C155&gt;300,C155&lt;=525),"1 Star",AND(C155&gt;525,C155&lt;=600),"2 Star",AND(C155&gt;600,C155&lt;=700),"3 Star",AND(C155&gt;700,C155&lt;=750),"4 Star",AND(C155&gt;750,C155&lt;=900),"5 Star")</f>
        <v>1 Star</v>
      </c>
      <c r="S155" cm="1">
        <f t="array" ref="S155">_xlfn.IFS(E155="Male",1,E155="Female",2)</f>
        <v>1</v>
      </c>
      <c r="T155" cm="1">
        <f t="array" ref="T155">_xlfn.IFS(D155="France",1,D155="Germany",2,D155="Spain",3)</f>
        <v>3</v>
      </c>
    </row>
    <row r="156" spans="1:20" x14ac:dyDescent="0.3">
      <c r="A156">
        <v>156</v>
      </c>
      <c r="B156" t="s">
        <v>13</v>
      </c>
      <c r="C156" s="5">
        <v>474</v>
      </c>
      <c r="D156" t="s">
        <v>22</v>
      </c>
      <c r="E156" t="s">
        <v>26</v>
      </c>
      <c r="F156">
        <v>28</v>
      </c>
      <c r="G156" s="5">
        <v>5</v>
      </c>
      <c r="H156" s="4">
        <v>209434.77</v>
      </c>
      <c r="I156" s="5">
        <v>2</v>
      </c>
      <c r="J156">
        <v>0</v>
      </c>
      <c r="K156">
        <v>0</v>
      </c>
      <c r="L156" s="4">
        <v>42983.99</v>
      </c>
      <c r="M156">
        <v>0</v>
      </c>
      <c r="N156" s="4">
        <f t="shared" si="4"/>
        <v>1.1260676513540548</v>
      </c>
      <c r="O156" s="4">
        <f t="shared" si="5"/>
        <v>-0.95879207013102052</v>
      </c>
      <c r="P156" t="str" cm="1">
        <f t="array" ref="P156">_xlfn.IFS(AND(F156&gt;15,F156&lt;=30), "Youngsters", AND(F156&gt;30,F156&lt;=50), "Adults", AND(F156&gt;50,F156&lt;=70),"Old person", AND(F156&gt;70, F156&lt;92), "Senior Citizens")</f>
        <v>Youngsters</v>
      </c>
      <c r="Q156" t="str" cm="1">
        <f t="array" ref="Q156">_xlfn.IFS(G156=0,"No Tenure Period",AND(G156&gt;0,G156&lt;=3),"Less Tenure Period",AND(G156&gt;3,G156&lt;=7),"More Tenure Period",AND(G156&gt;7,G156&lt;=10),"Large Tenure Period")</f>
        <v>More Tenure Period</v>
      </c>
      <c r="R156" t="str" cm="1">
        <f t="array" ref="R156">_xlfn.IFS(AND(C156&gt;300,C156&lt;=525),"1 Star",AND(C156&gt;525,C156&lt;=600),"2 Star",AND(C156&gt;600,C156&lt;=700),"3 Star",AND(C156&gt;700,C156&lt;=750),"4 Star",AND(C156&gt;750,C156&lt;=900),"5 Star")</f>
        <v>1 Star</v>
      </c>
      <c r="S156" cm="1">
        <f t="array" ref="S156">_xlfn.IFS(E156="Male",1,E156="Female",2)</f>
        <v>2</v>
      </c>
      <c r="T156" cm="1">
        <f t="array" ref="T156">_xlfn.IFS(D156="France",1,D156="Germany",2,D156="Spain",3)</f>
        <v>2</v>
      </c>
    </row>
    <row r="157" spans="1:20" x14ac:dyDescent="0.3">
      <c r="A157">
        <v>157</v>
      </c>
      <c r="B157" t="s">
        <v>20</v>
      </c>
      <c r="C157" s="5">
        <v>759</v>
      </c>
      <c r="D157" t="s">
        <v>24</v>
      </c>
      <c r="E157" t="s">
        <v>25</v>
      </c>
      <c r="F157">
        <v>80</v>
      </c>
      <c r="G157" s="5">
        <v>6</v>
      </c>
      <c r="H157" s="4">
        <v>80712.23</v>
      </c>
      <c r="I157" s="5">
        <v>4</v>
      </c>
      <c r="J157">
        <v>1</v>
      </c>
      <c r="K157">
        <v>0</v>
      </c>
      <c r="L157" s="4">
        <v>49445.48</v>
      </c>
      <c r="M157">
        <v>1</v>
      </c>
      <c r="N157" s="4">
        <f t="shared" si="4"/>
        <v>-0.66242851101575173</v>
      </c>
      <c r="O157" s="4">
        <f t="shared" si="5"/>
        <v>-0.80089689526793273</v>
      </c>
      <c r="P157" t="str" cm="1">
        <f t="array" ref="P157">_xlfn.IFS(AND(F157&gt;15,F157&lt;=30), "Youngsters", AND(F157&gt;30,F157&lt;=50), "Adults", AND(F157&gt;50,F157&lt;=70),"Old person", AND(F157&gt;70, F157&lt;92), "Senior Citizens")</f>
        <v>Senior Citizens</v>
      </c>
      <c r="Q157" t="str" cm="1">
        <f t="array" ref="Q157">_xlfn.IFS(G157=0,"No Tenure Period",AND(G157&gt;0,G157&lt;=3),"Less Tenure Period",AND(G157&gt;3,G157&lt;=7),"More Tenure Period",AND(G157&gt;7,G157&lt;=10),"Large Tenure Period")</f>
        <v>More Tenure Period</v>
      </c>
      <c r="R157" t="str" cm="1">
        <f t="array" ref="R157">_xlfn.IFS(AND(C157&gt;300,C157&lt;=525),"1 Star",AND(C157&gt;525,C157&lt;=600),"2 Star",AND(C157&gt;600,C157&lt;=700),"3 Star",AND(C157&gt;700,C157&lt;=750),"4 Star",AND(C157&gt;750,C157&lt;=900),"5 Star")</f>
        <v>5 Star</v>
      </c>
      <c r="S157" cm="1">
        <f t="array" ref="S157">_xlfn.IFS(E157="Male",1,E157="Female",2)</f>
        <v>1</v>
      </c>
      <c r="T157" cm="1">
        <f t="array" ref="T157">_xlfn.IFS(D157="France",1,D157="Germany",2,D157="Spain",3)</f>
        <v>1</v>
      </c>
    </row>
    <row r="158" spans="1:20" x14ac:dyDescent="0.3">
      <c r="A158">
        <v>158</v>
      </c>
      <c r="B158" t="s">
        <v>12</v>
      </c>
      <c r="C158" s="5">
        <v>524</v>
      </c>
      <c r="D158" t="s">
        <v>23</v>
      </c>
      <c r="E158" t="s">
        <v>25</v>
      </c>
      <c r="F158">
        <v>47</v>
      </c>
      <c r="G158" s="5">
        <v>1</v>
      </c>
      <c r="H158" s="4">
        <v>95799.03</v>
      </c>
      <c r="I158" s="5">
        <v>4</v>
      </c>
      <c r="J158">
        <v>0</v>
      </c>
      <c r="K158">
        <v>1</v>
      </c>
      <c r="L158" s="4">
        <v>105598.56</v>
      </c>
      <c r="M158">
        <v>0</v>
      </c>
      <c r="N158" s="4">
        <f t="shared" si="4"/>
        <v>-0.45280955925764621</v>
      </c>
      <c r="O158" s="4">
        <f t="shared" si="5"/>
        <v>0.57127893193306079</v>
      </c>
      <c r="P158" t="str" cm="1">
        <f t="array" ref="P158">_xlfn.IFS(AND(F158&gt;15,F158&lt;=30), "Youngsters", AND(F158&gt;30,F158&lt;=50), "Adults", AND(F158&gt;50,F158&lt;=70),"Old person", AND(F158&gt;70, F158&lt;92), "Senior Citizens")</f>
        <v>Adults</v>
      </c>
      <c r="Q158" t="str" cm="1">
        <f t="array" ref="Q158">_xlfn.IFS(G158=0,"No Tenure Period",AND(G158&gt;0,G158&lt;=3),"Less Tenure Period",AND(G158&gt;3,G158&lt;=7),"More Tenure Period",AND(G158&gt;7,G158&lt;=10),"Large Tenure Period")</f>
        <v>Less Tenure Period</v>
      </c>
      <c r="R158" t="str" cm="1">
        <f t="array" ref="R158">_xlfn.IFS(AND(C158&gt;300,C158&lt;=525),"1 Star",AND(C158&gt;525,C158&lt;=600),"2 Star",AND(C158&gt;600,C158&lt;=700),"3 Star",AND(C158&gt;700,C158&lt;=750),"4 Star",AND(C158&gt;750,C158&lt;=900),"5 Star")</f>
        <v>1 Star</v>
      </c>
      <c r="S158" cm="1">
        <f t="array" ref="S158">_xlfn.IFS(E158="Male",1,E158="Female",2)</f>
        <v>1</v>
      </c>
      <c r="T158" cm="1">
        <f t="array" ref="T158">_xlfn.IFS(D158="France",1,D158="Germany",2,D158="Spain",3)</f>
        <v>3</v>
      </c>
    </row>
    <row r="159" spans="1:20" x14ac:dyDescent="0.3">
      <c r="A159">
        <v>159</v>
      </c>
      <c r="B159" t="s">
        <v>16</v>
      </c>
      <c r="C159" s="5">
        <v>848</v>
      </c>
      <c r="D159" t="s">
        <v>24</v>
      </c>
      <c r="E159" t="s">
        <v>25</v>
      </c>
      <c r="F159">
        <v>29</v>
      </c>
      <c r="G159" s="5">
        <v>10</v>
      </c>
      <c r="H159" s="4">
        <v>208033.65</v>
      </c>
      <c r="I159" s="5">
        <v>4</v>
      </c>
      <c r="J159">
        <v>1</v>
      </c>
      <c r="K159">
        <v>1</v>
      </c>
      <c r="L159" s="4">
        <v>43662.79</v>
      </c>
      <c r="M159">
        <v>1</v>
      </c>
      <c r="N159" s="4">
        <f t="shared" si="4"/>
        <v>1.1066002158682451</v>
      </c>
      <c r="O159" s="4">
        <f t="shared" si="5"/>
        <v>-0.9422046816653471</v>
      </c>
      <c r="P159" t="str" cm="1">
        <f t="array" ref="P159">_xlfn.IFS(AND(F159&gt;15,F159&lt;=30), "Youngsters", AND(F159&gt;30,F159&lt;=50), "Adults", AND(F159&gt;50,F159&lt;=70),"Old person", AND(F159&gt;70, F159&lt;92), "Senior Citizens")</f>
        <v>Youngsters</v>
      </c>
      <c r="Q159" t="str" cm="1">
        <f t="array" ref="Q159">_xlfn.IFS(G159=0,"No Tenure Period",AND(G159&gt;0,G159&lt;=3),"Less Tenure Period",AND(G159&gt;3,G159&lt;=7),"More Tenure Period",AND(G159&gt;7,G159&lt;=10),"Large Tenure Period")</f>
        <v>Large Tenure Period</v>
      </c>
      <c r="R159" t="str" cm="1">
        <f t="array" ref="R159">_xlfn.IFS(AND(C159&gt;300,C159&lt;=525),"1 Star",AND(C159&gt;525,C159&lt;=600),"2 Star",AND(C159&gt;600,C159&lt;=700),"3 Star",AND(C159&gt;700,C159&lt;=750),"4 Star",AND(C159&gt;750,C159&lt;=900),"5 Star")</f>
        <v>5 Star</v>
      </c>
      <c r="S159" cm="1">
        <f t="array" ref="S159">_xlfn.IFS(E159="Male",1,E159="Female",2)</f>
        <v>1</v>
      </c>
      <c r="T159" cm="1">
        <f t="array" ref="T159">_xlfn.IFS(D159="France",1,D159="Germany",2,D159="Spain",3)</f>
        <v>1</v>
      </c>
    </row>
    <row r="160" spans="1:20" x14ac:dyDescent="0.3">
      <c r="A160">
        <v>160</v>
      </c>
      <c r="B160" t="s">
        <v>13</v>
      </c>
      <c r="C160" s="5">
        <v>713</v>
      </c>
      <c r="D160" t="s">
        <v>22</v>
      </c>
      <c r="E160" t="s">
        <v>26</v>
      </c>
      <c r="F160">
        <v>48</v>
      </c>
      <c r="G160" s="5">
        <v>8</v>
      </c>
      <c r="H160" s="4">
        <v>16907.88</v>
      </c>
      <c r="I160" s="5">
        <v>3</v>
      </c>
      <c r="J160">
        <v>0</v>
      </c>
      <c r="K160">
        <v>0</v>
      </c>
      <c r="L160" s="4">
        <v>113646.28</v>
      </c>
      <c r="M160">
        <v>1</v>
      </c>
      <c r="N160" s="4">
        <f t="shared" si="4"/>
        <v>-1.5489386367287772</v>
      </c>
      <c r="O160" s="4">
        <f t="shared" si="5"/>
        <v>0.76793576443596145</v>
      </c>
      <c r="P160" t="str" cm="1">
        <f t="array" ref="P160">_xlfn.IFS(AND(F160&gt;15,F160&lt;=30), "Youngsters", AND(F160&gt;30,F160&lt;=50), "Adults", AND(F160&gt;50,F160&lt;=70),"Old person", AND(F160&gt;70, F160&lt;92), "Senior Citizens")</f>
        <v>Adults</v>
      </c>
      <c r="Q160" t="str" cm="1">
        <f t="array" ref="Q160">_xlfn.IFS(G160=0,"No Tenure Period",AND(G160&gt;0,G160&lt;=3),"Less Tenure Period",AND(G160&gt;3,G160&lt;=7),"More Tenure Period",AND(G160&gt;7,G160&lt;=10),"Large Tenure Period")</f>
        <v>Large Tenure Period</v>
      </c>
      <c r="R160" t="str" cm="1">
        <f t="array" ref="R160">_xlfn.IFS(AND(C160&gt;300,C160&lt;=525),"1 Star",AND(C160&gt;525,C160&lt;=600),"2 Star",AND(C160&gt;600,C160&lt;=700),"3 Star",AND(C160&gt;700,C160&lt;=750),"4 Star",AND(C160&gt;750,C160&lt;=900),"5 Star")</f>
        <v>4 Star</v>
      </c>
      <c r="S160" cm="1">
        <f t="array" ref="S160">_xlfn.IFS(E160="Male",1,E160="Female",2)</f>
        <v>2</v>
      </c>
      <c r="T160" cm="1">
        <f t="array" ref="T160">_xlfn.IFS(D160="France",1,D160="Germany",2,D160="Spain",3)</f>
        <v>2</v>
      </c>
    </row>
    <row r="161" spans="1:20" x14ac:dyDescent="0.3">
      <c r="A161">
        <v>161</v>
      </c>
      <c r="B161" t="s">
        <v>16</v>
      </c>
      <c r="C161" s="5">
        <v>402</v>
      </c>
      <c r="D161" t="s">
        <v>23</v>
      </c>
      <c r="E161" t="s">
        <v>25</v>
      </c>
      <c r="F161">
        <v>89</v>
      </c>
      <c r="G161" s="5">
        <v>7</v>
      </c>
      <c r="H161" s="4">
        <v>205105.61</v>
      </c>
      <c r="I161" s="5">
        <v>3</v>
      </c>
      <c r="J161">
        <v>1</v>
      </c>
      <c r="K161">
        <v>0</v>
      </c>
      <c r="L161" s="4">
        <v>75716.98</v>
      </c>
      <c r="M161">
        <v>1</v>
      </c>
      <c r="N161" s="4">
        <f t="shared" si="4"/>
        <v>1.0659174550769703</v>
      </c>
      <c r="O161" s="4">
        <f t="shared" si="5"/>
        <v>-0.15891755514427622</v>
      </c>
      <c r="P161" t="str" cm="1">
        <f t="array" ref="P161">_xlfn.IFS(AND(F161&gt;15,F161&lt;=30), "Youngsters", AND(F161&gt;30,F161&lt;=50), "Adults", AND(F161&gt;50,F161&lt;=70),"Old person", AND(F161&gt;70, F161&lt;92), "Senior Citizens")</f>
        <v>Senior Citizens</v>
      </c>
      <c r="Q161" t="str" cm="1">
        <f t="array" ref="Q161">_xlfn.IFS(G161=0,"No Tenure Period",AND(G161&gt;0,G161&lt;=3),"Less Tenure Period",AND(G161&gt;3,G161&lt;=7),"More Tenure Period",AND(G161&gt;7,G161&lt;=10),"Large Tenure Period")</f>
        <v>More Tenure Period</v>
      </c>
      <c r="R161" t="str" cm="1">
        <f t="array" ref="R161">_xlfn.IFS(AND(C161&gt;300,C161&lt;=525),"1 Star",AND(C161&gt;525,C161&lt;=600),"2 Star",AND(C161&gt;600,C161&lt;=700),"3 Star",AND(C161&gt;700,C161&lt;=750),"4 Star",AND(C161&gt;750,C161&lt;=900),"5 Star")</f>
        <v>1 Star</v>
      </c>
      <c r="S161" cm="1">
        <f t="array" ref="S161">_xlfn.IFS(E161="Male",1,E161="Female",2)</f>
        <v>1</v>
      </c>
      <c r="T161" cm="1">
        <f t="array" ref="T161">_xlfn.IFS(D161="France",1,D161="Germany",2,D161="Spain",3)</f>
        <v>3</v>
      </c>
    </row>
    <row r="162" spans="1:20" x14ac:dyDescent="0.3">
      <c r="A162">
        <v>162</v>
      </c>
      <c r="B162" t="s">
        <v>19</v>
      </c>
      <c r="C162" s="5">
        <v>839</v>
      </c>
      <c r="D162" t="s">
        <v>22</v>
      </c>
      <c r="E162" t="s">
        <v>26</v>
      </c>
      <c r="F162">
        <v>76</v>
      </c>
      <c r="G162" s="5">
        <v>7</v>
      </c>
      <c r="H162" s="4">
        <v>51347.49</v>
      </c>
      <c r="I162" s="5">
        <v>4</v>
      </c>
      <c r="J162">
        <v>0</v>
      </c>
      <c r="K162">
        <v>1</v>
      </c>
      <c r="L162" s="4">
        <v>21151.48</v>
      </c>
      <c r="M162">
        <v>0</v>
      </c>
      <c r="N162" s="4">
        <f t="shared" si="4"/>
        <v>-1.0704279553942355</v>
      </c>
      <c r="O162" s="4">
        <f t="shared" si="5"/>
        <v>-1.4922987356447193</v>
      </c>
      <c r="P162" t="str" cm="1">
        <f t="array" ref="P162">_xlfn.IFS(AND(F162&gt;15,F162&lt;=30), "Youngsters", AND(F162&gt;30,F162&lt;=50), "Adults", AND(F162&gt;50,F162&lt;=70),"Old person", AND(F162&gt;70, F162&lt;92), "Senior Citizens")</f>
        <v>Senior Citizens</v>
      </c>
      <c r="Q162" t="str" cm="1">
        <f t="array" ref="Q162">_xlfn.IFS(G162=0,"No Tenure Period",AND(G162&gt;0,G162&lt;=3),"Less Tenure Period",AND(G162&gt;3,G162&lt;=7),"More Tenure Period",AND(G162&gt;7,G162&lt;=10),"Large Tenure Period")</f>
        <v>More Tenure Period</v>
      </c>
      <c r="R162" t="str" cm="1">
        <f t="array" ref="R162">_xlfn.IFS(AND(C162&gt;300,C162&lt;=525),"1 Star",AND(C162&gt;525,C162&lt;=600),"2 Star",AND(C162&gt;600,C162&lt;=700),"3 Star",AND(C162&gt;700,C162&lt;=750),"4 Star",AND(C162&gt;750,C162&lt;=900),"5 Star")</f>
        <v>5 Star</v>
      </c>
      <c r="S162" cm="1">
        <f t="array" ref="S162">_xlfn.IFS(E162="Male",1,E162="Female",2)</f>
        <v>2</v>
      </c>
      <c r="T162" cm="1">
        <f t="array" ref="T162">_xlfn.IFS(D162="France",1,D162="Germany",2,D162="Spain",3)</f>
        <v>2</v>
      </c>
    </row>
    <row r="163" spans="1:20" x14ac:dyDescent="0.3">
      <c r="A163">
        <v>163</v>
      </c>
      <c r="B163" t="s">
        <v>12</v>
      </c>
      <c r="C163" s="5">
        <v>460</v>
      </c>
      <c r="D163" t="s">
        <v>24</v>
      </c>
      <c r="E163" t="s">
        <v>25</v>
      </c>
      <c r="F163">
        <v>60</v>
      </c>
      <c r="G163" s="5">
        <v>3</v>
      </c>
      <c r="H163" s="4">
        <v>163732.6</v>
      </c>
      <c r="I163" s="5">
        <v>1</v>
      </c>
      <c r="J163">
        <v>1</v>
      </c>
      <c r="K163">
        <v>0</v>
      </c>
      <c r="L163" s="4">
        <v>66914.649999999994</v>
      </c>
      <c r="M163">
        <v>0</v>
      </c>
      <c r="N163" s="4">
        <f t="shared" si="4"/>
        <v>0.4910727572432606</v>
      </c>
      <c r="O163" s="4">
        <f t="shared" si="5"/>
        <v>-0.37401429514582424</v>
      </c>
      <c r="P163" t="str" cm="1">
        <f t="array" ref="P163">_xlfn.IFS(AND(F163&gt;15,F163&lt;=30), "Youngsters", AND(F163&gt;30,F163&lt;=50), "Adults", AND(F163&gt;50,F163&lt;=70),"Old person", AND(F163&gt;70, F163&lt;92), "Senior Citizens")</f>
        <v>Old person</v>
      </c>
      <c r="Q163" t="str" cm="1">
        <f t="array" ref="Q163">_xlfn.IFS(G163=0,"No Tenure Period",AND(G163&gt;0,G163&lt;=3),"Less Tenure Period",AND(G163&gt;3,G163&lt;=7),"More Tenure Period",AND(G163&gt;7,G163&lt;=10),"Large Tenure Period")</f>
        <v>Less Tenure Period</v>
      </c>
      <c r="R163" t="str" cm="1">
        <f t="array" ref="R163">_xlfn.IFS(AND(C163&gt;300,C163&lt;=525),"1 Star",AND(C163&gt;525,C163&lt;=600),"2 Star",AND(C163&gt;600,C163&lt;=700),"3 Star",AND(C163&gt;700,C163&lt;=750),"4 Star",AND(C163&gt;750,C163&lt;=900),"5 Star")</f>
        <v>1 Star</v>
      </c>
      <c r="S163" cm="1">
        <f t="array" ref="S163">_xlfn.IFS(E163="Male",1,E163="Female",2)</f>
        <v>1</v>
      </c>
      <c r="T163" cm="1">
        <f t="array" ref="T163">_xlfn.IFS(D163="France",1,D163="Germany",2,D163="Spain",3)</f>
        <v>1</v>
      </c>
    </row>
    <row r="164" spans="1:20" x14ac:dyDescent="0.3">
      <c r="A164">
        <v>164</v>
      </c>
      <c r="B164" t="s">
        <v>14</v>
      </c>
      <c r="C164" s="5">
        <v>414</v>
      </c>
      <c r="D164" t="s">
        <v>24</v>
      </c>
      <c r="E164" t="s">
        <v>26</v>
      </c>
      <c r="F164">
        <v>89</v>
      </c>
      <c r="G164" s="5">
        <v>4</v>
      </c>
      <c r="H164" s="4">
        <v>133217.37</v>
      </c>
      <c r="I164" s="5">
        <v>1</v>
      </c>
      <c r="J164">
        <v>0</v>
      </c>
      <c r="K164">
        <v>1</v>
      </c>
      <c r="L164" s="4">
        <v>120812.2</v>
      </c>
      <c r="M164">
        <v>1</v>
      </c>
      <c r="N164" s="4">
        <f t="shared" si="4"/>
        <v>6.7088179648443005E-2</v>
      </c>
      <c r="O164" s="4">
        <f t="shared" si="5"/>
        <v>0.9430446311919104</v>
      </c>
      <c r="P164" t="str" cm="1">
        <f t="array" ref="P164">_xlfn.IFS(AND(F164&gt;15,F164&lt;=30), "Youngsters", AND(F164&gt;30,F164&lt;=50), "Adults", AND(F164&gt;50,F164&lt;=70),"Old person", AND(F164&gt;70, F164&lt;92), "Senior Citizens")</f>
        <v>Senior Citizens</v>
      </c>
      <c r="Q164" t="str" cm="1">
        <f t="array" ref="Q164">_xlfn.IFS(G164=0,"No Tenure Period",AND(G164&gt;0,G164&lt;=3),"Less Tenure Period",AND(G164&gt;3,G164&lt;=7),"More Tenure Period",AND(G164&gt;7,G164&lt;=10),"Large Tenure Period")</f>
        <v>More Tenure Period</v>
      </c>
      <c r="R164" t="str" cm="1">
        <f t="array" ref="R164">_xlfn.IFS(AND(C164&gt;300,C164&lt;=525),"1 Star",AND(C164&gt;525,C164&lt;=600),"2 Star",AND(C164&gt;600,C164&lt;=700),"3 Star",AND(C164&gt;700,C164&lt;=750),"4 Star",AND(C164&gt;750,C164&lt;=900),"5 Star")</f>
        <v>1 Star</v>
      </c>
      <c r="S164" cm="1">
        <f t="array" ref="S164">_xlfn.IFS(E164="Male",1,E164="Female",2)</f>
        <v>2</v>
      </c>
      <c r="T164" cm="1">
        <f t="array" ref="T164">_xlfn.IFS(D164="France",1,D164="Germany",2,D164="Spain",3)</f>
        <v>1</v>
      </c>
    </row>
    <row r="165" spans="1:20" x14ac:dyDescent="0.3">
      <c r="A165">
        <v>165</v>
      </c>
      <c r="B165" t="s">
        <v>21</v>
      </c>
      <c r="C165" s="5">
        <v>682</v>
      </c>
      <c r="D165" t="s">
        <v>23</v>
      </c>
      <c r="E165" t="s">
        <v>26</v>
      </c>
      <c r="F165">
        <v>43</v>
      </c>
      <c r="G165" s="5">
        <v>9</v>
      </c>
      <c r="H165" s="4">
        <v>197321.37</v>
      </c>
      <c r="I165" s="5">
        <v>4</v>
      </c>
      <c r="J165">
        <v>0</v>
      </c>
      <c r="K165">
        <v>0</v>
      </c>
      <c r="L165" s="4">
        <v>28096.07</v>
      </c>
      <c r="M165">
        <v>1</v>
      </c>
      <c r="N165" s="4">
        <f t="shared" si="4"/>
        <v>0.95776170110439074</v>
      </c>
      <c r="O165" s="4">
        <f t="shared" si="5"/>
        <v>-1.3225983643058408</v>
      </c>
      <c r="P165" t="str" cm="1">
        <f t="array" ref="P165">_xlfn.IFS(AND(F165&gt;15,F165&lt;=30), "Youngsters", AND(F165&gt;30,F165&lt;=50), "Adults", AND(F165&gt;50,F165&lt;=70),"Old person", AND(F165&gt;70, F165&lt;92), "Senior Citizens")</f>
        <v>Adults</v>
      </c>
      <c r="Q165" t="str" cm="1">
        <f t="array" ref="Q165">_xlfn.IFS(G165=0,"No Tenure Period",AND(G165&gt;0,G165&lt;=3),"Less Tenure Period",AND(G165&gt;3,G165&lt;=7),"More Tenure Period",AND(G165&gt;7,G165&lt;=10),"Large Tenure Period")</f>
        <v>Large Tenure Period</v>
      </c>
      <c r="R165" t="str" cm="1">
        <f t="array" ref="R165">_xlfn.IFS(AND(C165&gt;300,C165&lt;=525),"1 Star",AND(C165&gt;525,C165&lt;=600),"2 Star",AND(C165&gt;600,C165&lt;=700),"3 Star",AND(C165&gt;700,C165&lt;=750),"4 Star",AND(C165&gt;750,C165&lt;=900),"5 Star")</f>
        <v>3 Star</v>
      </c>
      <c r="S165" cm="1">
        <f t="array" ref="S165">_xlfn.IFS(E165="Male",1,E165="Female",2)</f>
        <v>2</v>
      </c>
      <c r="T165" cm="1">
        <f t="array" ref="T165">_xlfn.IFS(D165="France",1,D165="Germany",2,D165="Spain",3)</f>
        <v>3</v>
      </c>
    </row>
    <row r="166" spans="1:20" x14ac:dyDescent="0.3">
      <c r="A166">
        <v>166</v>
      </c>
      <c r="B166" t="s">
        <v>20</v>
      </c>
      <c r="C166" s="5">
        <v>724</v>
      </c>
      <c r="D166" t="s">
        <v>22</v>
      </c>
      <c r="E166" t="s">
        <v>26</v>
      </c>
      <c r="F166">
        <v>72</v>
      </c>
      <c r="G166" s="5">
        <v>6</v>
      </c>
      <c r="H166" s="4">
        <v>191624.47</v>
      </c>
      <c r="I166" s="5">
        <v>3</v>
      </c>
      <c r="J166">
        <v>0</v>
      </c>
      <c r="K166">
        <v>0</v>
      </c>
      <c r="L166" s="4">
        <v>80375.98</v>
      </c>
      <c r="M166">
        <v>0</v>
      </c>
      <c r="N166" s="4">
        <f t="shared" si="4"/>
        <v>0.87860785759412019</v>
      </c>
      <c r="O166" s="4">
        <f t="shared" si="5"/>
        <v>-4.5068641087746636E-2</v>
      </c>
      <c r="P166" t="str" cm="1">
        <f t="array" ref="P166">_xlfn.IFS(AND(F166&gt;15,F166&lt;=30), "Youngsters", AND(F166&gt;30,F166&lt;=50), "Adults", AND(F166&gt;50,F166&lt;=70),"Old person", AND(F166&gt;70, F166&lt;92), "Senior Citizens")</f>
        <v>Senior Citizens</v>
      </c>
      <c r="Q166" t="str" cm="1">
        <f t="array" ref="Q166">_xlfn.IFS(G166=0,"No Tenure Period",AND(G166&gt;0,G166&lt;=3),"Less Tenure Period",AND(G166&gt;3,G166&lt;=7),"More Tenure Period",AND(G166&gt;7,G166&lt;=10),"Large Tenure Period")</f>
        <v>More Tenure Period</v>
      </c>
      <c r="R166" t="str" cm="1">
        <f t="array" ref="R166">_xlfn.IFS(AND(C166&gt;300,C166&lt;=525),"1 Star",AND(C166&gt;525,C166&lt;=600),"2 Star",AND(C166&gt;600,C166&lt;=700),"3 Star",AND(C166&gt;700,C166&lt;=750),"4 Star",AND(C166&gt;750,C166&lt;=900),"5 Star")</f>
        <v>4 Star</v>
      </c>
      <c r="S166" cm="1">
        <f t="array" ref="S166">_xlfn.IFS(E166="Male",1,E166="Female",2)</f>
        <v>2</v>
      </c>
      <c r="T166" cm="1">
        <f t="array" ref="T166">_xlfn.IFS(D166="France",1,D166="Germany",2,D166="Spain",3)</f>
        <v>2</v>
      </c>
    </row>
    <row r="167" spans="1:20" x14ac:dyDescent="0.3">
      <c r="A167">
        <v>167</v>
      </c>
      <c r="B167" t="s">
        <v>13</v>
      </c>
      <c r="C167" s="5">
        <v>423</v>
      </c>
      <c r="D167" t="s">
        <v>24</v>
      </c>
      <c r="E167" t="s">
        <v>26</v>
      </c>
      <c r="F167">
        <v>43</v>
      </c>
      <c r="G167" s="5">
        <v>9</v>
      </c>
      <c r="H167" s="4">
        <v>143851</v>
      </c>
      <c r="I167" s="5">
        <v>1</v>
      </c>
      <c r="J167">
        <v>0</v>
      </c>
      <c r="K167">
        <v>1</v>
      </c>
      <c r="L167" s="4">
        <v>36084.61</v>
      </c>
      <c r="M167">
        <v>1</v>
      </c>
      <c r="N167" s="4">
        <f t="shared" si="4"/>
        <v>0.21483391592012049</v>
      </c>
      <c r="O167" s="4">
        <f t="shared" si="5"/>
        <v>-1.1273876744803097</v>
      </c>
      <c r="P167" t="str" cm="1">
        <f t="array" ref="P167">_xlfn.IFS(AND(F167&gt;15,F167&lt;=30), "Youngsters", AND(F167&gt;30,F167&lt;=50), "Adults", AND(F167&gt;50,F167&lt;=70),"Old person", AND(F167&gt;70, F167&lt;92), "Senior Citizens")</f>
        <v>Adults</v>
      </c>
      <c r="Q167" t="str" cm="1">
        <f t="array" ref="Q167">_xlfn.IFS(G167=0,"No Tenure Period",AND(G167&gt;0,G167&lt;=3),"Less Tenure Period",AND(G167&gt;3,G167&lt;=7),"More Tenure Period",AND(G167&gt;7,G167&lt;=10),"Large Tenure Period")</f>
        <v>Large Tenure Period</v>
      </c>
      <c r="R167" t="str" cm="1">
        <f t="array" ref="R167">_xlfn.IFS(AND(C167&gt;300,C167&lt;=525),"1 Star",AND(C167&gt;525,C167&lt;=600),"2 Star",AND(C167&gt;600,C167&lt;=700),"3 Star",AND(C167&gt;700,C167&lt;=750),"4 Star",AND(C167&gt;750,C167&lt;=900),"5 Star")</f>
        <v>1 Star</v>
      </c>
      <c r="S167" cm="1">
        <f t="array" ref="S167">_xlfn.IFS(E167="Male",1,E167="Female",2)</f>
        <v>2</v>
      </c>
      <c r="T167" cm="1">
        <f t="array" ref="T167">_xlfn.IFS(D167="France",1,D167="Germany",2,D167="Spain",3)</f>
        <v>1</v>
      </c>
    </row>
    <row r="168" spans="1:20" x14ac:dyDescent="0.3">
      <c r="A168">
        <v>168</v>
      </c>
      <c r="B168" t="s">
        <v>18</v>
      </c>
      <c r="C168" s="5">
        <v>496</v>
      </c>
      <c r="D168" t="s">
        <v>22</v>
      </c>
      <c r="E168" t="s">
        <v>26</v>
      </c>
      <c r="F168">
        <v>63</v>
      </c>
      <c r="G168" s="5">
        <v>6</v>
      </c>
      <c r="H168" s="4">
        <v>145172.32</v>
      </c>
      <c r="I168" s="5">
        <v>3</v>
      </c>
      <c r="J168">
        <v>0</v>
      </c>
      <c r="K168">
        <v>0</v>
      </c>
      <c r="L168" s="4">
        <v>139690.22</v>
      </c>
      <c r="M168">
        <v>1</v>
      </c>
      <c r="N168" s="4">
        <f t="shared" si="4"/>
        <v>0.23319259458869313</v>
      </c>
      <c r="O168" s="4">
        <f t="shared" si="5"/>
        <v>1.4043543707363291</v>
      </c>
      <c r="P168" t="str" cm="1">
        <f t="array" ref="P168">_xlfn.IFS(AND(F168&gt;15,F168&lt;=30), "Youngsters", AND(F168&gt;30,F168&lt;=50), "Adults", AND(F168&gt;50,F168&lt;=70),"Old person", AND(F168&gt;70, F168&lt;92), "Senior Citizens")</f>
        <v>Old person</v>
      </c>
      <c r="Q168" t="str" cm="1">
        <f t="array" ref="Q168">_xlfn.IFS(G168=0,"No Tenure Period",AND(G168&gt;0,G168&lt;=3),"Less Tenure Period",AND(G168&gt;3,G168&lt;=7),"More Tenure Period",AND(G168&gt;7,G168&lt;=10),"Large Tenure Period")</f>
        <v>More Tenure Period</v>
      </c>
      <c r="R168" t="str" cm="1">
        <f t="array" ref="R168">_xlfn.IFS(AND(C168&gt;300,C168&lt;=525),"1 Star",AND(C168&gt;525,C168&lt;=600),"2 Star",AND(C168&gt;600,C168&lt;=700),"3 Star",AND(C168&gt;700,C168&lt;=750),"4 Star",AND(C168&gt;750,C168&lt;=900),"5 Star")</f>
        <v>1 Star</v>
      </c>
      <c r="S168" cm="1">
        <f t="array" ref="S168">_xlfn.IFS(E168="Male",1,E168="Female",2)</f>
        <v>2</v>
      </c>
      <c r="T168" cm="1">
        <f t="array" ref="T168">_xlfn.IFS(D168="France",1,D168="Germany",2,D168="Spain",3)</f>
        <v>2</v>
      </c>
    </row>
    <row r="169" spans="1:20" x14ac:dyDescent="0.3">
      <c r="A169">
        <v>169</v>
      </c>
      <c r="B169" t="s">
        <v>16</v>
      </c>
      <c r="C169" s="5">
        <v>610</v>
      </c>
      <c r="D169" t="s">
        <v>22</v>
      </c>
      <c r="E169" t="s">
        <v>25</v>
      </c>
      <c r="F169">
        <v>21</v>
      </c>
      <c r="G169" s="5">
        <v>4</v>
      </c>
      <c r="H169" s="4">
        <v>183590.26</v>
      </c>
      <c r="I169" s="5">
        <v>3</v>
      </c>
      <c r="J169">
        <v>1</v>
      </c>
      <c r="K169">
        <v>1</v>
      </c>
      <c r="L169" s="4">
        <v>86790.47</v>
      </c>
      <c r="M169">
        <v>0</v>
      </c>
      <c r="N169" s="4">
        <f t="shared" si="4"/>
        <v>0.76697897152122951</v>
      </c>
      <c r="O169" s="4">
        <f t="shared" si="5"/>
        <v>0.11167802573484811</v>
      </c>
      <c r="P169" t="str" cm="1">
        <f t="array" ref="P169">_xlfn.IFS(AND(F169&gt;15,F169&lt;=30), "Youngsters", AND(F169&gt;30,F169&lt;=50), "Adults", AND(F169&gt;50,F169&lt;=70),"Old person", AND(F169&gt;70, F169&lt;92), "Senior Citizens")</f>
        <v>Youngsters</v>
      </c>
      <c r="Q169" t="str" cm="1">
        <f t="array" ref="Q169">_xlfn.IFS(G169=0,"No Tenure Period",AND(G169&gt;0,G169&lt;=3),"Less Tenure Period",AND(G169&gt;3,G169&lt;=7),"More Tenure Period",AND(G169&gt;7,G169&lt;=10),"Large Tenure Period")</f>
        <v>More Tenure Period</v>
      </c>
      <c r="R169" t="str" cm="1">
        <f t="array" ref="R169">_xlfn.IFS(AND(C169&gt;300,C169&lt;=525),"1 Star",AND(C169&gt;525,C169&lt;=600),"2 Star",AND(C169&gt;600,C169&lt;=700),"3 Star",AND(C169&gt;700,C169&lt;=750),"4 Star",AND(C169&gt;750,C169&lt;=900),"5 Star")</f>
        <v>3 Star</v>
      </c>
      <c r="S169" cm="1">
        <f t="array" ref="S169">_xlfn.IFS(E169="Male",1,E169="Female",2)</f>
        <v>1</v>
      </c>
      <c r="T169" cm="1">
        <f t="array" ref="T169">_xlfn.IFS(D169="France",1,D169="Germany",2,D169="Spain",3)</f>
        <v>2</v>
      </c>
    </row>
    <row r="170" spans="1:20" x14ac:dyDescent="0.3">
      <c r="A170">
        <v>170</v>
      </c>
      <c r="B170" t="s">
        <v>19</v>
      </c>
      <c r="C170" s="5">
        <v>613</v>
      </c>
      <c r="D170" t="s">
        <v>23</v>
      </c>
      <c r="E170" t="s">
        <v>25</v>
      </c>
      <c r="F170">
        <v>55</v>
      </c>
      <c r="G170" s="5">
        <v>1</v>
      </c>
      <c r="H170" s="4">
        <v>152640.81</v>
      </c>
      <c r="I170" s="5">
        <v>4</v>
      </c>
      <c r="J170">
        <v>1</v>
      </c>
      <c r="K170">
        <v>0</v>
      </c>
      <c r="L170" s="4">
        <v>33137.160000000003</v>
      </c>
      <c r="M170">
        <v>0</v>
      </c>
      <c r="N170" s="4">
        <f t="shared" si="4"/>
        <v>0.33696125626750445</v>
      </c>
      <c r="O170" s="4">
        <f t="shared" si="5"/>
        <v>-1.1994125686069288</v>
      </c>
      <c r="P170" t="str" cm="1">
        <f t="array" ref="P170">_xlfn.IFS(AND(F170&gt;15,F170&lt;=30), "Youngsters", AND(F170&gt;30,F170&lt;=50), "Adults", AND(F170&gt;50,F170&lt;=70),"Old person", AND(F170&gt;70, F170&lt;92), "Senior Citizens")</f>
        <v>Old person</v>
      </c>
      <c r="Q170" t="str" cm="1">
        <f t="array" ref="Q170">_xlfn.IFS(G170=0,"No Tenure Period",AND(G170&gt;0,G170&lt;=3),"Less Tenure Period",AND(G170&gt;3,G170&lt;=7),"More Tenure Period",AND(G170&gt;7,G170&lt;=10),"Large Tenure Period")</f>
        <v>Less Tenure Period</v>
      </c>
      <c r="R170" t="str" cm="1">
        <f t="array" ref="R170">_xlfn.IFS(AND(C170&gt;300,C170&lt;=525),"1 Star",AND(C170&gt;525,C170&lt;=600),"2 Star",AND(C170&gt;600,C170&lt;=700),"3 Star",AND(C170&gt;700,C170&lt;=750),"4 Star",AND(C170&gt;750,C170&lt;=900),"5 Star")</f>
        <v>3 Star</v>
      </c>
      <c r="S170" cm="1">
        <f t="array" ref="S170">_xlfn.IFS(E170="Male",1,E170="Female",2)</f>
        <v>1</v>
      </c>
      <c r="T170" cm="1">
        <f t="array" ref="T170">_xlfn.IFS(D170="France",1,D170="Germany",2,D170="Spain",3)</f>
        <v>3</v>
      </c>
    </row>
    <row r="171" spans="1:20" x14ac:dyDescent="0.3">
      <c r="A171">
        <v>171</v>
      </c>
      <c r="B171" t="s">
        <v>12</v>
      </c>
      <c r="C171" s="5">
        <v>481</v>
      </c>
      <c r="D171" t="s">
        <v>22</v>
      </c>
      <c r="E171" t="s">
        <v>26</v>
      </c>
      <c r="F171">
        <v>51</v>
      </c>
      <c r="G171" s="5">
        <v>2</v>
      </c>
      <c r="H171" s="4">
        <v>139747.91</v>
      </c>
      <c r="I171" s="5">
        <v>4</v>
      </c>
      <c r="J171">
        <v>1</v>
      </c>
      <c r="K171">
        <v>1</v>
      </c>
      <c r="L171" s="4">
        <v>88266.73</v>
      </c>
      <c r="M171">
        <v>0</v>
      </c>
      <c r="N171" s="4">
        <f t="shared" si="4"/>
        <v>0.15782478046600404</v>
      </c>
      <c r="O171" s="4">
        <f t="shared" si="5"/>
        <v>0.14775241892332028</v>
      </c>
      <c r="P171" t="str" cm="1">
        <f t="array" ref="P171">_xlfn.IFS(AND(F171&gt;15,F171&lt;=30), "Youngsters", AND(F171&gt;30,F171&lt;=50), "Adults", AND(F171&gt;50,F171&lt;=70),"Old person", AND(F171&gt;70, F171&lt;92), "Senior Citizens")</f>
        <v>Old person</v>
      </c>
      <c r="Q171" t="str" cm="1">
        <f t="array" ref="Q171">_xlfn.IFS(G171=0,"No Tenure Period",AND(G171&gt;0,G171&lt;=3),"Less Tenure Period",AND(G171&gt;3,G171&lt;=7),"More Tenure Period",AND(G171&gt;7,G171&lt;=10),"Large Tenure Period")</f>
        <v>Less Tenure Period</v>
      </c>
      <c r="R171" t="str" cm="1">
        <f t="array" ref="R171">_xlfn.IFS(AND(C171&gt;300,C171&lt;=525),"1 Star",AND(C171&gt;525,C171&lt;=600),"2 Star",AND(C171&gt;600,C171&lt;=700),"3 Star",AND(C171&gt;700,C171&lt;=750),"4 Star",AND(C171&gt;750,C171&lt;=900),"5 Star")</f>
        <v>1 Star</v>
      </c>
      <c r="S171" cm="1">
        <f t="array" ref="S171">_xlfn.IFS(E171="Male",1,E171="Female",2)</f>
        <v>2</v>
      </c>
      <c r="T171" cm="1">
        <f t="array" ref="T171">_xlfn.IFS(D171="France",1,D171="Germany",2,D171="Spain",3)</f>
        <v>2</v>
      </c>
    </row>
    <row r="172" spans="1:20" x14ac:dyDescent="0.3">
      <c r="A172">
        <v>172</v>
      </c>
      <c r="B172" t="s">
        <v>15</v>
      </c>
      <c r="C172" s="5">
        <v>398</v>
      </c>
      <c r="D172" t="s">
        <v>24</v>
      </c>
      <c r="E172" t="s">
        <v>26</v>
      </c>
      <c r="F172">
        <v>78</v>
      </c>
      <c r="G172" s="5">
        <v>0</v>
      </c>
      <c r="H172" s="4">
        <v>124423.84</v>
      </c>
      <c r="I172" s="5">
        <v>4</v>
      </c>
      <c r="J172">
        <v>1</v>
      </c>
      <c r="K172">
        <v>1</v>
      </c>
      <c r="L172" s="4">
        <v>144202.79</v>
      </c>
      <c r="M172">
        <v>1</v>
      </c>
      <c r="N172" s="4">
        <f t="shared" si="4"/>
        <v>-5.5090847106962562E-2</v>
      </c>
      <c r="O172" s="4">
        <f t="shared" si="5"/>
        <v>1.514625071338191</v>
      </c>
      <c r="P172" t="str" cm="1">
        <f t="array" ref="P172">_xlfn.IFS(AND(F172&gt;15,F172&lt;=30), "Youngsters", AND(F172&gt;30,F172&lt;=50), "Adults", AND(F172&gt;50,F172&lt;=70),"Old person", AND(F172&gt;70, F172&lt;92), "Senior Citizens")</f>
        <v>Senior Citizens</v>
      </c>
      <c r="Q172" t="str" cm="1">
        <f t="array" ref="Q172">_xlfn.IFS(G172=0,"No Tenure Period",AND(G172&gt;0,G172&lt;=3),"Less Tenure Period",AND(G172&gt;3,G172&lt;=7),"More Tenure Period",AND(G172&gt;7,G172&lt;=10),"Large Tenure Period")</f>
        <v>No Tenure Period</v>
      </c>
      <c r="R172" t="str" cm="1">
        <f t="array" ref="R172">_xlfn.IFS(AND(C172&gt;300,C172&lt;=525),"1 Star",AND(C172&gt;525,C172&lt;=600),"2 Star",AND(C172&gt;600,C172&lt;=700),"3 Star",AND(C172&gt;700,C172&lt;=750),"4 Star",AND(C172&gt;750,C172&lt;=900),"5 Star")</f>
        <v>1 Star</v>
      </c>
      <c r="S172" cm="1">
        <f t="array" ref="S172">_xlfn.IFS(E172="Male",1,E172="Female",2)</f>
        <v>2</v>
      </c>
      <c r="T172" cm="1">
        <f t="array" ref="T172">_xlfn.IFS(D172="France",1,D172="Germany",2,D172="Spain",3)</f>
        <v>1</v>
      </c>
    </row>
    <row r="173" spans="1:20" x14ac:dyDescent="0.3">
      <c r="A173">
        <v>173</v>
      </c>
      <c r="B173" t="s">
        <v>20</v>
      </c>
      <c r="C173" s="5">
        <v>426</v>
      </c>
      <c r="D173" t="s">
        <v>24</v>
      </c>
      <c r="E173" t="s">
        <v>26</v>
      </c>
      <c r="F173">
        <v>25</v>
      </c>
      <c r="G173" s="5">
        <v>0</v>
      </c>
      <c r="H173" s="4">
        <v>239377.45</v>
      </c>
      <c r="I173" s="5">
        <v>4</v>
      </c>
      <c r="J173">
        <v>0</v>
      </c>
      <c r="K173">
        <v>1</v>
      </c>
      <c r="L173" s="4">
        <v>126167.25</v>
      </c>
      <c r="M173">
        <v>0</v>
      </c>
      <c r="N173" s="4">
        <f t="shared" si="4"/>
        <v>1.54209710719813</v>
      </c>
      <c r="O173" s="4">
        <f t="shared" si="5"/>
        <v>1.0739024606013157</v>
      </c>
      <c r="P173" t="str" cm="1">
        <f t="array" ref="P173">_xlfn.IFS(AND(F173&gt;15,F173&lt;=30), "Youngsters", AND(F173&gt;30,F173&lt;=50), "Adults", AND(F173&gt;50,F173&lt;=70),"Old person", AND(F173&gt;70, F173&lt;92), "Senior Citizens")</f>
        <v>Youngsters</v>
      </c>
      <c r="Q173" t="str" cm="1">
        <f t="array" ref="Q173">_xlfn.IFS(G173=0,"No Tenure Period",AND(G173&gt;0,G173&lt;=3),"Less Tenure Period",AND(G173&gt;3,G173&lt;=7),"More Tenure Period",AND(G173&gt;7,G173&lt;=10),"Large Tenure Period")</f>
        <v>No Tenure Period</v>
      </c>
      <c r="R173" t="str" cm="1">
        <f t="array" ref="R173">_xlfn.IFS(AND(C173&gt;300,C173&lt;=525),"1 Star",AND(C173&gt;525,C173&lt;=600),"2 Star",AND(C173&gt;600,C173&lt;=700),"3 Star",AND(C173&gt;700,C173&lt;=750),"4 Star",AND(C173&gt;750,C173&lt;=900),"5 Star")</f>
        <v>1 Star</v>
      </c>
      <c r="S173" cm="1">
        <f t="array" ref="S173">_xlfn.IFS(E173="Male",1,E173="Female",2)</f>
        <v>2</v>
      </c>
      <c r="T173" cm="1">
        <f t="array" ref="T173">_xlfn.IFS(D173="France",1,D173="Germany",2,D173="Spain",3)</f>
        <v>1</v>
      </c>
    </row>
    <row r="174" spans="1:20" x14ac:dyDescent="0.3">
      <c r="A174">
        <v>174</v>
      </c>
      <c r="B174" t="s">
        <v>20</v>
      </c>
      <c r="C174" s="5">
        <v>643</v>
      </c>
      <c r="D174" t="s">
        <v>23</v>
      </c>
      <c r="E174" t="s">
        <v>25</v>
      </c>
      <c r="F174">
        <v>78</v>
      </c>
      <c r="G174" s="5">
        <v>10</v>
      </c>
      <c r="H174" s="4">
        <v>55309.99</v>
      </c>
      <c r="I174" s="5">
        <v>2</v>
      </c>
      <c r="J174">
        <v>0</v>
      </c>
      <c r="K174">
        <v>1</v>
      </c>
      <c r="L174" s="4">
        <v>57614.96</v>
      </c>
      <c r="M174">
        <v>1</v>
      </c>
      <c r="N174" s="4">
        <f t="shared" si="4"/>
        <v>-1.0153722049142468</v>
      </c>
      <c r="O174" s="4">
        <f t="shared" si="5"/>
        <v>-0.60126469384991665</v>
      </c>
      <c r="P174" t="str" cm="1">
        <f t="array" ref="P174">_xlfn.IFS(AND(F174&gt;15,F174&lt;=30), "Youngsters", AND(F174&gt;30,F174&lt;=50), "Adults", AND(F174&gt;50,F174&lt;=70),"Old person", AND(F174&gt;70, F174&lt;92), "Senior Citizens")</f>
        <v>Senior Citizens</v>
      </c>
      <c r="Q174" t="str" cm="1">
        <f t="array" ref="Q174">_xlfn.IFS(G174=0,"No Tenure Period",AND(G174&gt;0,G174&lt;=3),"Less Tenure Period",AND(G174&gt;3,G174&lt;=7),"More Tenure Period",AND(G174&gt;7,G174&lt;=10),"Large Tenure Period")</f>
        <v>Large Tenure Period</v>
      </c>
      <c r="R174" t="str" cm="1">
        <f t="array" ref="R174">_xlfn.IFS(AND(C174&gt;300,C174&lt;=525),"1 Star",AND(C174&gt;525,C174&lt;=600),"2 Star",AND(C174&gt;600,C174&lt;=700),"3 Star",AND(C174&gt;700,C174&lt;=750),"4 Star",AND(C174&gt;750,C174&lt;=900),"5 Star")</f>
        <v>3 Star</v>
      </c>
      <c r="S174" cm="1">
        <f t="array" ref="S174">_xlfn.IFS(E174="Male",1,E174="Female",2)</f>
        <v>1</v>
      </c>
      <c r="T174" cm="1">
        <f t="array" ref="T174">_xlfn.IFS(D174="France",1,D174="Germany",2,D174="Spain",3)</f>
        <v>3</v>
      </c>
    </row>
    <row r="175" spans="1:20" x14ac:dyDescent="0.3">
      <c r="A175">
        <v>175</v>
      </c>
      <c r="B175" t="s">
        <v>16</v>
      </c>
      <c r="C175" s="5">
        <v>466</v>
      </c>
      <c r="D175" t="s">
        <v>22</v>
      </c>
      <c r="E175" t="s">
        <v>26</v>
      </c>
      <c r="F175">
        <v>55</v>
      </c>
      <c r="G175" s="5">
        <v>7</v>
      </c>
      <c r="H175" s="4">
        <v>109273.56</v>
      </c>
      <c r="I175" s="5">
        <v>3</v>
      </c>
      <c r="J175">
        <v>1</v>
      </c>
      <c r="K175">
        <v>0</v>
      </c>
      <c r="L175" s="4">
        <v>114104.65</v>
      </c>
      <c r="M175">
        <v>1</v>
      </c>
      <c r="N175" s="4">
        <f t="shared" si="4"/>
        <v>-0.26559180240840419</v>
      </c>
      <c r="O175" s="4">
        <f t="shared" si="5"/>
        <v>0.77913665019172262</v>
      </c>
      <c r="P175" t="str" cm="1">
        <f t="array" ref="P175">_xlfn.IFS(AND(F175&gt;15,F175&lt;=30), "Youngsters", AND(F175&gt;30,F175&lt;=50), "Adults", AND(F175&gt;50,F175&lt;=70),"Old person", AND(F175&gt;70, F175&lt;92), "Senior Citizens")</f>
        <v>Old person</v>
      </c>
      <c r="Q175" t="str" cm="1">
        <f t="array" ref="Q175">_xlfn.IFS(G175=0,"No Tenure Period",AND(G175&gt;0,G175&lt;=3),"Less Tenure Period",AND(G175&gt;3,G175&lt;=7),"More Tenure Period",AND(G175&gt;7,G175&lt;=10),"Large Tenure Period")</f>
        <v>More Tenure Period</v>
      </c>
      <c r="R175" t="str" cm="1">
        <f t="array" ref="R175">_xlfn.IFS(AND(C175&gt;300,C175&lt;=525),"1 Star",AND(C175&gt;525,C175&lt;=600),"2 Star",AND(C175&gt;600,C175&lt;=700),"3 Star",AND(C175&gt;700,C175&lt;=750),"4 Star",AND(C175&gt;750,C175&lt;=900),"5 Star")</f>
        <v>1 Star</v>
      </c>
      <c r="S175" cm="1">
        <f t="array" ref="S175">_xlfn.IFS(E175="Male",1,E175="Female",2)</f>
        <v>2</v>
      </c>
      <c r="T175" cm="1">
        <f t="array" ref="T175">_xlfn.IFS(D175="France",1,D175="Germany",2,D175="Spain",3)</f>
        <v>2</v>
      </c>
    </row>
    <row r="176" spans="1:20" x14ac:dyDescent="0.3">
      <c r="A176">
        <v>176</v>
      </c>
      <c r="B176" t="s">
        <v>17</v>
      </c>
      <c r="C176" s="5">
        <v>843</v>
      </c>
      <c r="D176" t="s">
        <v>24</v>
      </c>
      <c r="E176" t="s">
        <v>25</v>
      </c>
      <c r="F176">
        <v>34</v>
      </c>
      <c r="G176" s="5">
        <v>6</v>
      </c>
      <c r="H176" s="4">
        <v>104696.85</v>
      </c>
      <c r="I176" s="5">
        <v>2</v>
      </c>
      <c r="J176">
        <v>0</v>
      </c>
      <c r="K176">
        <v>0</v>
      </c>
      <c r="L176" s="4">
        <v>106102.67</v>
      </c>
      <c r="M176">
        <v>1</v>
      </c>
      <c r="N176" s="4">
        <f t="shared" si="4"/>
        <v>-0.32918150683219433</v>
      </c>
      <c r="O176" s="4">
        <f t="shared" si="5"/>
        <v>0.58359753593929331</v>
      </c>
      <c r="P176" t="str" cm="1">
        <f t="array" ref="P176">_xlfn.IFS(AND(F176&gt;15,F176&lt;=30), "Youngsters", AND(F176&gt;30,F176&lt;=50), "Adults", AND(F176&gt;50,F176&lt;=70),"Old person", AND(F176&gt;70, F176&lt;92), "Senior Citizens")</f>
        <v>Adults</v>
      </c>
      <c r="Q176" t="str" cm="1">
        <f t="array" ref="Q176">_xlfn.IFS(G176=0,"No Tenure Period",AND(G176&gt;0,G176&lt;=3),"Less Tenure Period",AND(G176&gt;3,G176&lt;=7),"More Tenure Period",AND(G176&gt;7,G176&lt;=10),"Large Tenure Period")</f>
        <v>More Tenure Period</v>
      </c>
      <c r="R176" t="str" cm="1">
        <f t="array" ref="R176">_xlfn.IFS(AND(C176&gt;300,C176&lt;=525),"1 Star",AND(C176&gt;525,C176&lt;=600),"2 Star",AND(C176&gt;600,C176&lt;=700),"3 Star",AND(C176&gt;700,C176&lt;=750),"4 Star",AND(C176&gt;750,C176&lt;=900),"5 Star")</f>
        <v>5 Star</v>
      </c>
      <c r="S176" cm="1">
        <f t="array" ref="S176">_xlfn.IFS(E176="Male",1,E176="Female",2)</f>
        <v>1</v>
      </c>
      <c r="T176" cm="1">
        <f t="array" ref="T176">_xlfn.IFS(D176="France",1,D176="Germany",2,D176="Spain",3)</f>
        <v>1</v>
      </c>
    </row>
    <row r="177" spans="1:20" x14ac:dyDescent="0.3">
      <c r="A177">
        <v>177</v>
      </c>
      <c r="B177" t="s">
        <v>20</v>
      </c>
      <c r="C177" s="5">
        <v>398</v>
      </c>
      <c r="D177" t="s">
        <v>24</v>
      </c>
      <c r="E177" t="s">
        <v>26</v>
      </c>
      <c r="F177">
        <v>63</v>
      </c>
      <c r="G177" s="5">
        <v>2</v>
      </c>
      <c r="H177" s="4">
        <v>146639.1</v>
      </c>
      <c r="I177" s="5">
        <v>1</v>
      </c>
      <c r="J177">
        <v>1</v>
      </c>
      <c r="K177">
        <v>0</v>
      </c>
      <c r="L177" s="4">
        <v>114757.22</v>
      </c>
      <c r="M177">
        <v>1</v>
      </c>
      <c r="N177" s="4">
        <f t="shared" si="4"/>
        <v>0.25357232296447552</v>
      </c>
      <c r="O177" s="4">
        <f t="shared" si="5"/>
        <v>0.79508307342543583</v>
      </c>
      <c r="P177" t="str" cm="1">
        <f t="array" ref="P177">_xlfn.IFS(AND(F177&gt;15,F177&lt;=30), "Youngsters", AND(F177&gt;30,F177&lt;=50), "Adults", AND(F177&gt;50,F177&lt;=70),"Old person", AND(F177&gt;70, F177&lt;92), "Senior Citizens")</f>
        <v>Old person</v>
      </c>
      <c r="Q177" t="str" cm="1">
        <f t="array" ref="Q177">_xlfn.IFS(G177=0,"No Tenure Period",AND(G177&gt;0,G177&lt;=3),"Less Tenure Period",AND(G177&gt;3,G177&lt;=7),"More Tenure Period",AND(G177&gt;7,G177&lt;=10),"Large Tenure Period")</f>
        <v>Less Tenure Period</v>
      </c>
      <c r="R177" t="str" cm="1">
        <f t="array" ref="R177">_xlfn.IFS(AND(C177&gt;300,C177&lt;=525),"1 Star",AND(C177&gt;525,C177&lt;=600),"2 Star",AND(C177&gt;600,C177&lt;=700),"3 Star",AND(C177&gt;700,C177&lt;=750),"4 Star",AND(C177&gt;750,C177&lt;=900),"5 Star")</f>
        <v>1 Star</v>
      </c>
      <c r="S177" cm="1">
        <f t="array" ref="S177">_xlfn.IFS(E177="Male",1,E177="Female",2)</f>
        <v>2</v>
      </c>
      <c r="T177" cm="1">
        <f t="array" ref="T177">_xlfn.IFS(D177="France",1,D177="Germany",2,D177="Spain",3)</f>
        <v>1</v>
      </c>
    </row>
    <row r="178" spans="1:20" x14ac:dyDescent="0.3">
      <c r="A178">
        <v>178</v>
      </c>
      <c r="B178" t="s">
        <v>19</v>
      </c>
      <c r="C178" s="5">
        <v>459</v>
      </c>
      <c r="D178" t="s">
        <v>23</v>
      </c>
      <c r="E178" t="s">
        <v>25</v>
      </c>
      <c r="F178">
        <v>57</v>
      </c>
      <c r="G178" s="5">
        <v>10</v>
      </c>
      <c r="H178" s="4">
        <v>170945.73</v>
      </c>
      <c r="I178" s="5">
        <v>3</v>
      </c>
      <c r="J178">
        <v>0</v>
      </c>
      <c r="K178">
        <v>0</v>
      </c>
      <c r="L178" s="4">
        <v>77687.86</v>
      </c>
      <c r="M178">
        <v>0</v>
      </c>
      <c r="N178" s="4">
        <f t="shared" si="4"/>
        <v>0.59129339710691253</v>
      </c>
      <c r="O178" s="4">
        <f t="shared" si="5"/>
        <v>-0.11075645882838578</v>
      </c>
      <c r="P178" t="str" cm="1">
        <f t="array" ref="P178">_xlfn.IFS(AND(F178&gt;15,F178&lt;=30), "Youngsters", AND(F178&gt;30,F178&lt;=50), "Adults", AND(F178&gt;50,F178&lt;=70),"Old person", AND(F178&gt;70, F178&lt;92), "Senior Citizens")</f>
        <v>Old person</v>
      </c>
      <c r="Q178" t="str" cm="1">
        <f t="array" ref="Q178">_xlfn.IFS(G178=0,"No Tenure Period",AND(G178&gt;0,G178&lt;=3),"Less Tenure Period",AND(G178&gt;3,G178&lt;=7),"More Tenure Period",AND(G178&gt;7,G178&lt;=10),"Large Tenure Period")</f>
        <v>Large Tenure Period</v>
      </c>
      <c r="R178" t="str" cm="1">
        <f t="array" ref="R178">_xlfn.IFS(AND(C178&gt;300,C178&lt;=525),"1 Star",AND(C178&gt;525,C178&lt;=600),"2 Star",AND(C178&gt;600,C178&lt;=700),"3 Star",AND(C178&gt;700,C178&lt;=750),"4 Star",AND(C178&gt;750,C178&lt;=900),"5 Star")</f>
        <v>1 Star</v>
      </c>
      <c r="S178" cm="1">
        <f t="array" ref="S178">_xlfn.IFS(E178="Male",1,E178="Female",2)</f>
        <v>1</v>
      </c>
      <c r="T178" cm="1">
        <f t="array" ref="T178">_xlfn.IFS(D178="France",1,D178="Germany",2,D178="Spain",3)</f>
        <v>3</v>
      </c>
    </row>
    <row r="179" spans="1:20" x14ac:dyDescent="0.3">
      <c r="A179">
        <v>179</v>
      </c>
      <c r="B179" t="s">
        <v>19</v>
      </c>
      <c r="C179" s="5">
        <v>816</v>
      </c>
      <c r="D179" t="s">
        <v>22</v>
      </c>
      <c r="E179" t="s">
        <v>26</v>
      </c>
      <c r="F179">
        <v>51</v>
      </c>
      <c r="G179" s="5">
        <v>9</v>
      </c>
      <c r="H179" s="4">
        <v>55692.78</v>
      </c>
      <c r="I179" s="5">
        <v>2</v>
      </c>
      <c r="J179">
        <v>0</v>
      </c>
      <c r="K179">
        <v>0</v>
      </c>
      <c r="L179" s="4">
        <v>138662.49</v>
      </c>
      <c r="M179">
        <v>1</v>
      </c>
      <c r="N179" s="4">
        <f t="shared" si="4"/>
        <v>-1.0100536457404337</v>
      </c>
      <c r="O179" s="4">
        <f t="shared" si="5"/>
        <v>1.379240409705353</v>
      </c>
      <c r="P179" t="str" cm="1">
        <f t="array" ref="P179">_xlfn.IFS(AND(F179&gt;15,F179&lt;=30), "Youngsters", AND(F179&gt;30,F179&lt;=50), "Adults", AND(F179&gt;50,F179&lt;=70),"Old person", AND(F179&gt;70, F179&lt;92), "Senior Citizens")</f>
        <v>Old person</v>
      </c>
      <c r="Q179" t="str" cm="1">
        <f t="array" ref="Q179">_xlfn.IFS(G179=0,"No Tenure Period",AND(G179&gt;0,G179&lt;=3),"Less Tenure Period",AND(G179&gt;3,G179&lt;=7),"More Tenure Period",AND(G179&gt;7,G179&lt;=10),"Large Tenure Period")</f>
        <v>Large Tenure Period</v>
      </c>
      <c r="R179" t="str" cm="1">
        <f t="array" ref="R179">_xlfn.IFS(AND(C179&gt;300,C179&lt;=525),"1 Star",AND(C179&gt;525,C179&lt;=600),"2 Star",AND(C179&gt;600,C179&lt;=700),"3 Star",AND(C179&gt;700,C179&lt;=750),"4 Star",AND(C179&gt;750,C179&lt;=900),"5 Star")</f>
        <v>5 Star</v>
      </c>
      <c r="S179" cm="1">
        <f t="array" ref="S179">_xlfn.IFS(E179="Male",1,E179="Female",2)</f>
        <v>2</v>
      </c>
      <c r="T179" cm="1">
        <f t="array" ref="T179">_xlfn.IFS(D179="France",1,D179="Germany",2,D179="Spain",3)</f>
        <v>2</v>
      </c>
    </row>
    <row r="180" spans="1:20" x14ac:dyDescent="0.3">
      <c r="A180">
        <v>180</v>
      </c>
      <c r="B180" t="s">
        <v>16</v>
      </c>
      <c r="C180" s="5">
        <v>529</v>
      </c>
      <c r="D180" t="s">
        <v>22</v>
      </c>
      <c r="E180" t="s">
        <v>25</v>
      </c>
      <c r="F180">
        <v>83</v>
      </c>
      <c r="G180" s="5">
        <v>10</v>
      </c>
      <c r="H180" s="4">
        <v>140464.4</v>
      </c>
      <c r="I180" s="5">
        <v>2</v>
      </c>
      <c r="J180">
        <v>1</v>
      </c>
      <c r="K180">
        <v>0</v>
      </c>
      <c r="L180" s="4">
        <v>62160.12</v>
      </c>
      <c r="M180">
        <v>1</v>
      </c>
      <c r="N180" s="4">
        <f t="shared" si="4"/>
        <v>0.1677798327464852</v>
      </c>
      <c r="O180" s="4">
        <f t="shared" si="5"/>
        <v>-0.49019761288550884</v>
      </c>
      <c r="P180" t="str" cm="1">
        <f t="array" ref="P180">_xlfn.IFS(AND(F180&gt;15,F180&lt;=30), "Youngsters", AND(F180&gt;30,F180&lt;=50), "Adults", AND(F180&gt;50,F180&lt;=70),"Old person", AND(F180&gt;70, F180&lt;92), "Senior Citizens")</f>
        <v>Senior Citizens</v>
      </c>
      <c r="Q180" t="str" cm="1">
        <f t="array" ref="Q180">_xlfn.IFS(G180=0,"No Tenure Period",AND(G180&gt;0,G180&lt;=3),"Less Tenure Period",AND(G180&gt;3,G180&lt;=7),"More Tenure Period",AND(G180&gt;7,G180&lt;=10),"Large Tenure Period")</f>
        <v>Large Tenure Period</v>
      </c>
      <c r="R180" t="str" cm="1">
        <f t="array" ref="R180">_xlfn.IFS(AND(C180&gt;300,C180&lt;=525),"1 Star",AND(C180&gt;525,C180&lt;=600),"2 Star",AND(C180&gt;600,C180&lt;=700),"3 Star",AND(C180&gt;700,C180&lt;=750),"4 Star",AND(C180&gt;750,C180&lt;=900),"5 Star")</f>
        <v>2 Star</v>
      </c>
      <c r="S180" cm="1">
        <f t="array" ref="S180">_xlfn.IFS(E180="Male",1,E180="Female",2)</f>
        <v>1</v>
      </c>
      <c r="T180" cm="1">
        <f t="array" ref="T180">_xlfn.IFS(D180="France",1,D180="Germany",2,D180="Spain",3)</f>
        <v>2</v>
      </c>
    </row>
    <row r="181" spans="1:20" x14ac:dyDescent="0.3">
      <c r="A181">
        <v>181</v>
      </c>
      <c r="B181" t="s">
        <v>21</v>
      </c>
      <c r="C181" s="5">
        <v>399</v>
      </c>
      <c r="D181" t="s">
        <v>22</v>
      </c>
      <c r="E181" t="s">
        <v>25</v>
      </c>
      <c r="F181">
        <v>91</v>
      </c>
      <c r="G181" s="5">
        <v>8</v>
      </c>
      <c r="H181" s="4">
        <v>230097.2</v>
      </c>
      <c r="I181" s="5">
        <v>4</v>
      </c>
      <c r="J181">
        <v>0</v>
      </c>
      <c r="K181">
        <v>0</v>
      </c>
      <c r="L181" s="4">
        <v>144755.60999999999</v>
      </c>
      <c r="M181">
        <v>0</v>
      </c>
      <c r="N181" s="4">
        <f t="shared" si="4"/>
        <v>1.4131554975093188</v>
      </c>
      <c r="O181" s="4">
        <f t="shared" si="5"/>
        <v>1.528133969528517</v>
      </c>
      <c r="P181" t="str" cm="1">
        <f t="array" ref="P181">_xlfn.IFS(AND(F181&gt;15,F181&lt;=30), "Youngsters", AND(F181&gt;30,F181&lt;=50), "Adults", AND(F181&gt;50,F181&lt;=70),"Old person", AND(F181&gt;70, F181&lt;92), "Senior Citizens")</f>
        <v>Senior Citizens</v>
      </c>
      <c r="Q181" t="str" cm="1">
        <f t="array" ref="Q181">_xlfn.IFS(G181=0,"No Tenure Period",AND(G181&gt;0,G181&lt;=3),"Less Tenure Period",AND(G181&gt;3,G181&lt;=7),"More Tenure Period",AND(G181&gt;7,G181&lt;=10),"Large Tenure Period")</f>
        <v>Large Tenure Period</v>
      </c>
      <c r="R181" t="str" cm="1">
        <f t="array" ref="R181">_xlfn.IFS(AND(C181&gt;300,C181&lt;=525),"1 Star",AND(C181&gt;525,C181&lt;=600),"2 Star",AND(C181&gt;600,C181&lt;=700),"3 Star",AND(C181&gt;700,C181&lt;=750),"4 Star",AND(C181&gt;750,C181&lt;=900),"5 Star")</f>
        <v>1 Star</v>
      </c>
      <c r="S181" cm="1">
        <f t="array" ref="S181">_xlfn.IFS(E181="Male",1,E181="Female",2)</f>
        <v>1</v>
      </c>
      <c r="T181" cm="1">
        <f t="array" ref="T181">_xlfn.IFS(D181="France",1,D181="Germany",2,D181="Spain",3)</f>
        <v>2</v>
      </c>
    </row>
    <row r="182" spans="1:20" x14ac:dyDescent="0.3">
      <c r="A182">
        <v>182</v>
      </c>
      <c r="B182" t="s">
        <v>19</v>
      </c>
      <c r="C182" s="5">
        <v>421</v>
      </c>
      <c r="D182" t="s">
        <v>24</v>
      </c>
      <c r="E182" t="s">
        <v>26</v>
      </c>
      <c r="F182">
        <v>86</v>
      </c>
      <c r="G182" s="5">
        <v>8</v>
      </c>
      <c r="H182" s="4">
        <v>58586.77</v>
      </c>
      <c r="I182" s="5">
        <v>4</v>
      </c>
      <c r="J182">
        <v>0</v>
      </c>
      <c r="K182">
        <v>0</v>
      </c>
      <c r="L182" s="4">
        <v>27139.72</v>
      </c>
      <c r="M182">
        <v>1</v>
      </c>
      <c r="N182" s="4">
        <f t="shared" si="4"/>
        <v>-0.96984398231290503</v>
      </c>
      <c r="O182" s="4">
        <f t="shared" si="5"/>
        <v>-1.3459680592957446</v>
      </c>
      <c r="P182" t="str" cm="1">
        <f t="array" ref="P182">_xlfn.IFS(AND(F182&gt;15,F182&lt;=30), "Youngsters", AND(F182&gt;30,F182&lt;=50), "Adults", AND(F182&gt;50,F182&lt;=70),"Old person", AND(F182&gt;70, F182&lt;92), "Senior Citizens")</f>
        <v>Senior Citizens</v>
      </c>
      <c r="Q182" t="str" cm="1">
        <f t="array" ref="Q182">_xlfn.IFS(G182=0,"No Tenure Period",AND(G182&gt;0,G182&lt;=3),"Less Tenure Period",AND(G182&gt;3,G182&lt;=7),"More Tenure Period",AND(G182&gt;7,G182&lt;=10),"Large Tenure Period")</f>
        <v>Large Tenure Period</v>
      </c>
      <c r="R182" t="str" cm="1">
        <f t="array" ref="R182">_xlfn.IFS(AND(C182&gt;300,C182&lt;=525),"1 Star",AND(C182&gt;525,C182&lt;=600),"2 Star",AND(C182&gt;600,C182&lt;=700),"3 Star",AND(C182&gt;700,C182&lt;=750),"4 Star",AND(C182&gt;750,C182&lt;=900),"5 Star")</f>
        <v>1 Star</v>
      </c>
      <c r="S182" cm="1">
        <f t="array" ref="S182">_xlfn.IFS(E182="Male",1,E182="Female",2)</f>
        <v>2</v>
      </c>
      <c r="T182" cm="1">
        <f t="array" ref="T182">_xlfn.IFS(D182="France",1,D182="Germany",2,D182="Spain",3)</f>
        <v>1</v>
      </c>
    </row>
    <row r="183" spans="1:20" x14ac:dyDescent="0.3">
      <c r="A183">
        <v>183</v>
      </c>
      <c r="B183" t="s">
        <v>20</v>
      </c>
      <c r="C183" s="5">
        <v>696</v>
      </c>
      <c r="D183" t="s">
        <v>24</v>
      </c>
      <c r="E183" t="s">
        <v>26</v>
      </c>
      <c r="F183">
        <v>42</v>
      </c>
      <c r="G183" s="5">
        <v>2</v>
      </c>
      <c r="H183" s="4">
        <v>27700.99</v>
      </c>
      <c r="I183" s="5">
        <v>2</v>
      </c>
      <c r="J183">
        <v>0</v>
      </c>
      <c r="K183">
        <v>0</v>
      </c>
      <c r="L183" s="4">
        <v>140547.93</v>
      </c>
      <c r="M183">
        <v>0</v>
      </c>
      <c r="N183" s="4">
        <f t="shared" si="4"/>
        <v>-1.3989770541261097</v>
      </c>
      <c r="O183" s="4">
        <f t="shared" si="5"/>
        <v>1.4253136650216747</v>
      </c>
      <c r="P183" t="str" cm="1">
        <f t="array" ref="P183">_xlfn.IFS(AND(F183&gt;15,F183&lt;=30), "Youngsters", AND(F183&gt;30,F183&lt;=50), "Adults", AND(F183&gt;50,F183&lt;=70),"Old person", AND(F183&gt;70, F183&lt;92), "Senior Citizens")</f>
        <v>Adults</v>
      </c>
      <c r="Q183" t="str" cm="1">
        <f t="array" ref="Q183">_xlfn.IFS(G183=0,"No Tenure Period",AND(G183&gt;0,G183&lt;=3),"Less Tenure Period",AND(G183&gt;3,G183&lt;=7),"More Tenure Period",AND(G183&gt;7,G183&lt;=10),"Large Tenure Period")</f>
        <v>Less Tenure Period</v>
      </c>
      <c r="R183" t="str" cm="1">
        <f t="array" ref="R183">_xlfn.IFS(AND(C183&gt;300,C183&lt;=525),"1 Star",AND(C183&gt;525,C183&lt;=600),"2 Star",AND(C183&gt;600,C183&lt;=700),"3 Star",AND(C183&gt;700,C183&lt;=750),"4 Star",AND(C183&gt;750,C183&lt;=900),"5 Star")</f>
        <v>3 Star</v>
      </c>
      <c r="S183" cm="1">
        <f t="array" ref="S183">_xlfn.IFS(E183="Male",1,E183="Female",2)</f>
        <v>2</v>
      </c>
      <c r="T183" cm="1">
        <f t="array" ref="T183">_xlfn.IFS(D183="France",1,D183="Germany",2,D183="Spain",3)</f>
        <v>1</v>
      </c>
    </row>
    <row r="184" spans="1:20" x14ac:dyDescent="0.3">
      <c r="A184">
        <v>184</v>
      </c>
      <c r="B184" t="s">
        <v>20</v>
      </c>
      <c r="C184" s="5">
        <v>783</v>
      </c>
      <c r="D184" t="s">
        <v>23</v>
      </c>
      <c r="E184" t="s">
        <v>26</v>
      </c>
      <c r="F184">
        <v>24</v>
      </c>
      <c r="G184" s="5">
        <v>1</v>
      </c>
      <c r="H184" s="4">
        <v>69808.100000000006</v>
      </c>
      <c r="I184" s="5">
        <v>3</v>
      </c>
      <c r="J184">
        <v>1</v>
      </c>
      <c r="K184">
        <v>0</v>
      </c>
      <c r="L184" s="4">
        <v>116721.45</v>
      </c>
      <c r="M184">
        <v>0</v>
      </c>
      <c r="N184" s="4">
        <f t="shared" si="4"/>
        <v>-0.81393262722555815</v>
      </c>
      <c r="O184" s="4">
        <f t="shared" si="5"/>
        <v>0.84308166807176699</v>
      </c>
      <c r="P184" t="str" cm="1">
        <f t="array" ref="P184">_xlfn.IFS(AND(F184&gt;15,F184&lt;=30), "Youngsters", AND(F184&gt;30,F184&lt;=50), "Adults", AND(F184&gt;50,F184&lt;=70),"Old person", AND(F184&gt;70, F184&lt;92), "Senior Citizens")</f>
        <v>Youngsters</v>
      </c>
      <c r="Q184" t="str" cm="1">
        <f t="array" ref="Q184">_xlfn.IFS(G184=0,"No Tenure Period",AND(G184&gt;0,G184&lt;=3),"Less Tenure Period",AND(G184&gt;3,G184&lt;=7),"More Tenure Period",AND(G184&gt;7,G184&lt;=10),"Large Tenure Period")</f>
        <v>Less Tenure Period</v>
      </c>
      <c r="R184" t="str" cm="1">
        <f t="array" ref="R184">_xlfn.IFS(AND(C184&gt;300,C184&lt;=525),"1 Star",AND(C184&gt;525,C184&lt;=600),"2 Star",AND(C184&gt;600,C184&lt;=700),"3 Star",AND(C184&gt;700,C184&lt;=750),"4 Star",AND(C184&gt;750,C184&lt;=900),"5 Star")</f>
        <v>5 Star</v>
      </c>
      <c r="S184" cm="1">
        <f t="array" ref="S184">_xlfn.IFS(E184="Male",1,E184="Female",2)</f>
        <v>2</v>
      </c>
      <c r="T184" cm="1">
        <f t="array" ref="T184">_xlfn.IFS(D184="France",1,D184="Germany",2,D184="Spain",3)</f>
        <v>3</v>
      </c>
    </row>
    <row r="185" spans="1:20" x14ac:dyDescent="0.3">
      <c r="A185">
        <v>185</v>
      </c>
      <c r="B185" t="s">
        <v>14</v>
      </c>
      <c r="C185" s="5">
        <v>844</v>
      </c>
      <c r="D185" t="s">
        <v>24</v>
      </c>
      <c r="E185" t="s">
        <v>26</v>
      </c>
      <c r="F185">
        <v>78</v>
      </c>
      <c r="G185" s="5">
        <v>10</v>
      </c>
      <c r="H185" s="4">
        <v>138185.18</v>
      </c>
      <c r="I185" s="5">
        <v>1</v>
      </c>
      <c r="J185">
        <v>0</v>
      </c>
      <c r="K185">
        <v>0</v>
      </c>
      <c r="L185" s="4">
        <v>143728.42000000001</v>
      </c>
      <c r="M185">
        <v>0</v>
      </c>
      <c r="N185" s="4">
        <f t="shared" si="4"/>
        <v>0.13611190401235274</v>
      </c>
      <c r="O185" s="4">
        <f t="shared" si="5"/>
        <v>1.5030332041218366</v>
      </c>
      <c r="P185" t="str" cm="1">
        <f t="array" ref="P185">_xlfn.IFS(AND(F185&gt;15,F185&lt;=30), "Youngsters", AND(F185&gt;30,F185&lt;=50), "Adults", AND(F185&gt;50,F185&lt;=70),"Old person", AND(F185&gt;70, F185&lt;92), "Senior Citizens")</f>
        <v>Senior Citizens</v>
      </c>
      <c r="Q185" t="str" cm="1">
        <f t="array" ref="Q185">_xlfn.IFS(G185=0,"No Tenure Period",AND(G185&gt;0,G185&lt;=3),"Less Tenure Period",AND(G185&gt;3,G185&lt;=7),"More Tenure Period",AND(G185&gt;7,G185&lt;=10),"Large Tenure Period")</f>
        <v>Large Tenure Period</v>
      </c>
      <c r="R185" t="str" cm="1">
        <f t="array" ref="R185">_xlfn.IFS(AND(C185&gt;300,C185&lt;=525),"1 Star",AND(C185&gt;525,C185&lt;=600),"2 Star",AND(C185&gt;600,C185&lt;=700),"3 Star",AND(C185&gt;700,C185&lt;=750),"4 Star",AND(C185&gt;750,C185&lt;=900),"5 Star")</f>
        <v>5 Star</v>
      </c>
      <c r="S185" cm="1">
        <f t="array" ref="S185">_xlfn.IFS(E185="Male",1,E185="Female",2)</f>
        <v>2</v>
      </c>
      <c r="T185" cm="1">
        <f t="array" ref="T185">_xlfn.IFS(D185="France",1,D185="Germany",2,D185="Spain",3)</f>
        <v>1</v>
      </c>
    </row>
    <row r="186" spans="1:20" x14ac:dyDescent="0.3">
      <c r="A186">
        <v>186</v>
      </c>
      <c r="B186" t="s">
        <v>17</v>
      </c>
      <c r="C186" s="5">
        <v>635</v>
      </c>
      <c r="D186" t="s">
        <v>23</v>
      </c>
      <c r="E186" t="s">
        <v>25</v>
      </c>
      <c r="F186">
        <v>79</v>
      </c>
      <c r="G186" s="5">
        <v>2</v>
      </c>
      <c r="H186" s="4">
        <v>113120.37</v>
      </c>
      <c r="I186" s="5">
        <v>3</v>
      </c>
      <c r="J186">
        <v>1</v>
      </c>
      <c r="K186">
        <v>0</v>
      </c>
      <c r="L186" s="4">
        <v>87508.69</v>
      </c>
      <c r="M186">
        <v>0</v>
      </c>
      <c r="N186" s="4">
        <f t="shared" si="4"/>
        <v>-0.21214347142949566</v>
      </c>
      <c r="O186" s="4">
        <f t="shared" si="5"/>
        <v>0.12922869477405841</v>
      </c>
      <c r="P186" t="str" cm="1">
        <f t="array" ref="P186">_xlfn.IFS(AND(F186&gt;15,F186&lt;=30), "Youngsters", AND(F186&gt;30,F186&lt;=50), "Adults", AND(F186&gt;50,F186&lt;=70),"Old person", AND(F186&gt;70, F186&lt;92), "Senior Citizens")</f>
        <v>Senior Citizens</v>
      </c>
      <c r="Q186" t="str" cm="1">
        <f t="array" ref="Q186">_xlfn.IFS(G186=0,"No Tenure Period",AND(G186&gt;0,G186&lt;=3),"Less Tenure Period",AND(G186&gt;3,G186&lt;=7),"More Tenure Period",AND(G186&gt;7,G186&lt;=10),"Large Tenure Period")</f>
        <v>Less Tenure Period</v>
      </c>
      <c r="R186" t="str" cm="1">
        <f t="array" ref="R186">_xlfn.IFS(AND(C186&gt;300,C186&lt;=525),"1 Star",AND(C186&gt;525,C186&lt;=600),"2 Star",AND(C186&gt;600,C186&lt;=700),"3 Star",AND(C186&gt;700,C186&lt;=750),"4 Star",AND(C186&gt;750,C186&lt;=900),"5 Star")</f>
        <v>3 Star</v>
      </c>
      <c r="S186" cm="1">
        <f t="array" ref="S186">_xlfn.IFS(E186="Male",1,E186="Female",2)</f>
        <v>1</v>
      </c>
      <c r="T186" cm="1">
        <f t="array" ref="T186">_xlfn.IFS(D186="France",1,D186="Germany",2,D186="Spain",3)</f>
        <v>3</v>
      </c>
    </row>
    <row r="187" spans="1:20" x14ac:dyDescent="0.3">
      <c r="A187">
        <v>187</v>
      </c>
      <c r="B187" t="s">
        <v>14</v>
      </c>
      <c r="C187" s="5">
        <v>353</v>
      </c>
      <c r="D187" t="s">
        <v>23</v>
      </c>
      <c r="E187" t="s">
        <v>25</v>
      </c>
      <c r="F187">
        <v>77</v>
      </c>
      <c r="G187" s="5">
        <v>7</v>
      </c>
      <c r="H187" s="4">
        <v>110096.43</v>
      </c>
      <c r="I187" s="5">
        <v>4</v>
      </c>
      <c r="J187">
        <v>1</v>
      </c>
      <c r="K187">
        <v>0</v>
      </c>
      <c r="L187" s="4">
        <v>141135.62</v>
      </c>
      <c r="M187">
        <v>1</v>
      </c>
      <c r="N187" s="4">
        <f t="shared" si="4"/>
        <v>-0.25415868558885391</v>
      </c>
      <c r="O187" s="4">
        <f t="shared" si="5"/>
        <v>1.4396746584326818</v>
      </c>
      <c r="P187" t="str" cm="1">
        <f t="array" ref="P187">_xlfn.IFS(AND(F187&gt;15,F187&lt;=30), "Youngsters", AND(F187&gt;30,F187&lt;=50), "Adults", AND(F187&gt;50,F187&lt;=70),"Old person", AND(F187&gt;70, F187&lt;92), "Senior Citizens")</f>
        <v>Senior Citizens</v>
      </c>
      <c r="Q187" t="str" cm="1">
        <f t="array" ref="Q187">_xlfn.IFS(G187=0,"No Tenure Period",AND(G187&gt;0,G187&lt;=3),"Less Tenure Period",AND(G187&gt;3,G187&lt;=7),"More Tenure Period",AND(G187&gt;7,G187&lt;=10),"Large Tenure Period")</f>
        <v>More Tenure Period</v>
      </c>
      <c r="R187" t="str" cm="1">
        <f t="array" ref="R187">_xlfn.IFS(AND(C187&gt;300,C187&lt;=525),"1 Star",AND(C187&gt;525,C187&lt;=600),"2 Star",AND(C187&gt;600,C187&lt;=700),"3 Star",AND(C187&gt;700,C187&lt;=750),"4 Star",AND(C187&gt;750,C187&lt;=900),"5 Star")</f>
        <v>1 Star</v>
      </c>
      <c r="S187" cm="1">
        <f t="array" ref="S187">_xlfn.IFS(E187="Male",1,E187="Female",2)</f>
        <v>1</v>
      </c>
      <c r="T187" cm="1">
        <f t="array" ref="T187">_xlfn.IFS(D187="France",1,D187="Germany",2,D187="Spain",3)</f>
        <v>3</v>
      </c>
    </row>
    <row r="188" spans="1:20" x14ac:dyDescent="0.3">
      <c r="A188">
        <v>188</v>
      </c>
      <c r="B188" t="s">
        <v>19</v>
      </c>
      <c r="C188" s="5">
        <v>424</v>
      </c>
      <c r="D188" t="s">
        <v>22</v>
      </c>
      <c r="E188" t="s">
        <v>25</v>
      </c>
      <c r="F188">
        <v>47</v>
      </c>
      <c r="G188" s="5">
        <v>6</v>
      </c>
      <c r="H188" s="4">
        <v>163549.64000000001</v>
      </c>
      <c r="I188" s="5">
        <v>1</v>
      </c>
      <c r="J188">
        <v>1</v>
      </c>
      <c r="K188">
        <v>0</v>
      </c>
      <c r="L188" s="4">
        <v>33745.43</v>
      </c>
      <c r="M188">
        <v>1</v>
      </c>
      <c r="N188" s="4">
        <f t="shared" si="4"/>
        <v>0.48853067519712351</v>
      </c>
      <c r="O188" s="4">
        <f t="shared" si="5"/>
        <v>-1.1845486752922336</v>
      </c>
      <c r="P188" t="str" cm="1">
        <f t="array" ref="P188">_xlfn.IFS(AND(F188&gt;15,F188&lt;=30), "Youngsters", AND(F188&gt;30,F188&lt;=50), "Adults", AND(F188&gt;50,F188&lt;=70),"Old person", AND(F188&gt;70, F188&lt;92), "Senior Citizens")</f>
        <v>Adults</v>
      </c>
      <c r="Q188" t="str" cm="1">
        <f t="array" ref="Q188">_xlfn.IFS(G188=0,"No Tenure Period",AND(G188&gt;0,G188&lt;=3),"Less Tenure Period",AND(G188&gt;3,G188&lt;=7),"More Tenure Period",AND(G188&gt;7,G188&lt;=10),"Large Tenure Period")</f>
        <v>More Tenure Period</v>
      </c>
      <c r="R188" t="str" cm="1">
        <f t="array" ref="R188">_xlfn.IFS(AND(C188&gt;300,C188&lt;=525),"1 Star",AND(C188&gt;525,C188&lt;=600),"2 Star",AND(C188&gt;600,C188&lt;=700),"3 Star",AND(C188&gt;700,C188&lt;=750),"4 Star",AND(C188&gt;750,C188&lt;=900),"5 Star")</f>
        <v>1 Star</v>
      </c>
      <c r="S188" cm="1">
        <f t="array" ref="S188">_xlfn.IFS(E188="Male",1,E188="Female",2)</f>
        <v>1</v>
      </c>
      <c r="T188" cm="1">
        <f t="array" ref="T188">_xlfn.IFS(D188="France",1,D188="Germany",2,D188="Spain",3)</f>
        <v>2</v>
      </c>
    </row>
    <row r="189" spans="1:20" x14ac:dyDescent="0.3">
      <c r="A189">
        <v>189</v>
      </c>
      <c r="B189" t="s">
        <v>14</v>
      </c>
      <c r="C189" s="5">
        <v>434</v>
      </c>
      <c r="D189" t="s">
        <v>23</v>
      </c>
      <c r="E189" t="s">
        <v>25</v>
      </c>
      <c r="F189">
        <v>46</v>
      </c>
      <c r="G189" s="5">
        <v>6</v>
      </c>
      <c r="H189" s="4">
        <v>229121.35</v>
      </c>
      <c r="I189" s="5">
        <v>2</v>
      </c>
      <c r="J189">
        <v>1</v>
      </c>
      <c r="K189">
        <v>0</v>
      </c>
      <c r="L189" s="4">
        <v>14185.62</v>
      </c>
      <c r="M189">
        <v>0</v>
      </c>
      <c r="N189" s="4">
        <f t="shared" si="4"/>
        <v>1.3995968466308588</v>
      </c>
      <c r="O189" s="4">
        <f t="shared" si="5"/>
        <v>-1.662518867962774</v>
      </c>
      <c r="P189" t="str" cm="1">
        <f t="array" ref="P189">_xlfn.IFS(AND(F189&gt;15,F189&lt;=30), "Youngsters", AND(F189&gt;30,F189&lt;=50), "Adults", AND(F189&gt;50,F189&lt;=70),"Old person", AND(F189&gt;70, F189&lt;92), "Senior Citizens")</f>
        <v>Adults</v>
      </c>
      <c r="Q189" t="str" cm="1">
        <f t="array" ref="Q189">_xlfn.IFS(G189=0,"No Tenure Period",AND(G189&gt;0,G189&lt;=3),"Less Tenure Period",AND(G189&gt;3,G189&lt;=7),"More Tenure Period",AND(G189&gt;7,G189&lt;=10),"Large Tenure Period")</f>
        <v>More Tenure Period</v>
      </c>
      <c r="R189" t="str" cm="1">
        <f t="array" ref="R189">_xlfn.IFS(AND(C189&gt;300,C189&lt;=525),"1 Star",AND(C189&gt;525,C189&lt;=600),"2 Star",AND(C189&gt;600,C189&lt;=700),"3 Star",AND(C189&gt;700,C189&lt;=750),"4 Star",AND(C189&gt;750,C189&lt;=900),"5 Star")</f>
        <v>1 Star</v>
      </c>
      <c r="S189" cm="1">
        <f t="array" ref="S189">_xlfn.IFS(E189="Male",1,E189="Female",2)</f>
        <v>1</v>
      </c>
      <c r="T189" cm="1">
        <f t="array" ref="T189">_xlfn.IFS(D189="France",1,D189="Germany",2,D189="Spain",3)</f>
        <v>3</v>
      </c>
    </row>
    <row r="190" spans="1:20" x14ac:dyDescent="0.3">
      <c r="A190">
        <v>190</v>
      </c>
      <c r="B190" t="s">
        <v>19</v>
      </c>
      <c r="C190" s="5">
        <v>840</v>
      </c>
      <c r="D190" t="s">
        <v>22</v>
      </c>
      <c r="E190" t="s">
        <v>25</v>
      </c>
      <c r="F190">
        <v>42</v>
      </c>
      <c r="G190" s="5">
        <v>2</v>
      </c>
      <c r="H190" s="4">
        <v>46465.66</v>
      </c>
      <c r="I190" s="5">
        <v>3</v>
      </c>
      <c r="J190">
        <v>1</v>
      </c>
      <c r="K190">
        <v>1</v>
      </c>
      <c r="L190" s="4">
        <v>108093.18</v>
      </c>
      <c r="M190">
        <v>1</v>
      </c>
      <c r="N190" s="4">
        <f t="shared" si="4"/>
        <v>-1.1382570568114525</v>
      </c>
      <c r="O190" s="4">
        <f t="shared" si="5"/>
        <v>0.63223831763464899</v>
      </c>
      <c r="P190" t="str" cm="1">
        <f t="array" ref="P190">_xlfn.IFS(AND(F190&gt;15,F190&lt;=30), "Youngsters", AND(F190&gt;30,F190&lt;=50), "Adults", AND(F190&gt;50,F190&lt;=70),"Old person", AND(F190&gt;70, F190&lt;92), "Senior Citizens")</f>
        <v>Adults</v>
      </c>
      <c r="Q190" t="str" cm="1">
        <f t="array" ref="Q190">_xlfn.IFS(G190=0,"No Tenure Period",AND(G190&gt;0,G190&lt;=3),"Less Tenure Period",AND(G190&gt;3,G190&lt;=7),"More Tenure Period",AND(G190&gt;7,G190&lt;=10),"Large Tenure Period")</f>
        <v>Less Tenure Period</v>
      </c>
      <c r="R190" t="str" cm="1">
        <f t="array" ref="R190">_xlfn.IFS(AND(C190&gt;300,C190&lt;=525),"1 Star",AND(C190&gt;525,C190&lt;=600),"2 Star",AND(C190&gt;600,C190&lt;=700),"3 Star",AND(C190&gt;700,C190&lt;=750),"4 Star",AND(C190&gt;750,C190&lt;=900),"5 Star")</f>
        <v>5 Star</v>
      </c>
      <c r="S190" cm="1">
        <f t="array" ref="S190">_xlfn.IFS(E190="Male",1,E190="Female",2)</f>
        <v>1</v>
      </c>
      <c r="T190" cm="1">
        <f t="array" ref="T190">_xlfn.IFS(D190="France",1,D190="Germany",2,D190="Spain",3)</f>
        <v>2</v>
      </c>
    </row>
    <row r="191" spans="1:20" x14ac:dyDescent="0.3">
      <c r="A191">
        <v>191</v>
      </c>
      <c r="B191" t="s">
        <v>12</v>
      </c>
      <c r="C191" s="5">
        <v>671</v>
      </c>
      <c r="D191" t="s">
        <v>22</v>
      </c>
      <c r="E191" t="s">
        <v>25</v>
      </c>
      <c r="F191">
        <v>21</v>
      </c>
      <c r="G191" s="5">
        <v>1</v>
      </c>
      <c r="H191" s="4">
        <v>87143.41</v>
      </c>
      <c r="I191" s="5">
        <v>2</v>
      </c>
      <c r="J191">
        <v>0</v>
      </c>
      <c r="K191">
        <v>0</v>
      </c>
      <c r="L191" s="4">
        <v>130888.76</v>
      </c>
      <c r="M191">
        <v>1</v>
      </c>
      <c r="N191" s="4">
        <f t="shared" si="4"/>
        <v>-0.57307243748341252</v>
      </c>
      <c r="O191" s="4">
        <f t="shared" si="5"/>
        <v>1.1892788903517009</v>
      </c>
      <c r="P191" t="str" cm="1">
        <f t="array" ref="P191">_xlfn.IFS(AND(F191&gt;15,F191&lt;=30), "Youngsters", AND(F191&gt;30,F191&lt;=50), "Adults", AND(F191&gt;50,F191&lt;=70),"Old person", AND(F191&gt;70, F191&lt;92), "Senior Citizens")</f>
        <v>Youngsters</v>
      </c>
      <c r="Q191" t="str" cm="1">
        <f t="array" ref="Q191">_xlfn.IFS(G191=0,"No Tenure Period",AND(G191&gt;0,G191&lt;=3),"Less Tenure Period",AND(G191&gt;3,G191&lt;=7),"More Tenure Period",AND(G191&gt;7,G191&lt;=10),"Large Tenure Period")</f>
        <v>Less Tenure Period</v>
      </c>
      <c r="R191" t="str" cm="1">
        <f t="array" ref="R191">_xlfn.IFS(AND(C191&gt;300,C191&lt;=525),"1 Star",AND(C191&gt;525,C191&lt;=600),"2 Star",AND(C191&gt;600,C191&lt;=700),"3 Star",AND(C191&gt;700,C191&lt;=750),"4 Star",AND(C191&gt;750,C191&lt;=900),"5 Star")</f>
        <v>3 Star</v>
      </c>
      <c r="S191" cm="1">
        <f t="array" ref="S191">_xlfn.IFS(E191="Male",1,E191="Female",2)</f>
        <v>1</v>
      </c>
      <c r="T191" cm="1">
        <f t="array" ref="T191">_xlfn.IFS(D191="France",1,D191="Germany",2,D191="Spain",3)</f>
        <v>2</v>
      </c>
    </row>
    <row r="192" spans="1:20" x14ac:dyDescent="0.3">
      <c r="A192">
        <v>192</v>
      </c>
      <c r="B192" t="s">
        <v>15</v>
      </c>
      <c r="C192" s="5">
        <v>725</v>
      </c>
      <c r="D192" t="s">
        <v>24</v>
      </c>
      <c r="E192" t="s">
        <v>26</v>
      </c>
      <c r="F192">
        <v>39</v>
      </c>
      <c r="G192" s="5">
        <v>5</v>
      </c>
      <c r="H192" s="4">
        <v>96291.25</v>
      </c>
      <c r="I192" s="5">
        <v>1</v>
      </c>
      <c r="J192">
        <v>0</v>
      </c>
      <c r="K192">
        <v>0</v>
      </c>
      <c r="L192" s="4">
        <v>135564.73000000001</v>
      </c>
      <c r="M192">
        <v>0</v>
      </c>
      <c r="N192" s="4">
        <f t="shared" si="4"/>
        <v>-0.44597055824786447</v>
      </c>
      <c r="O192" s="4">
        <f t="shared" si="5"/>
        <v>1.3035424891198726</v>
      </c>
      <c r="P192" t="str" cm="1">
        <f t="array" ref="P192">_xlfn.IFS(AND(F192&gt;15,F192&lt;=30), "Youngsters", AND(F192&gt;30,F192&lt;=50), "Adults", AND(F192&gt;50,F192&lt;=70),"Old person", AND(F192&gt;70, F192&lt;92), "Senior Citizens")</f>
        <v>Adults</v>
      </c>
      <c r="Q192" t="str" cm="1">
        <f t="array" ref="Q192">_xlfn.IFS(G192=0,"No Tenure Period",AND(G192&gt;0,G192&lt;=3),"Less Tenure Period",AND(G192&gt;3,G192&lt;=7),"More Tenure Period",AND(G192&gt;7,G192&lt;=10),"Large Tenure Period")</f>
        <v>More Tenure Period</v>
      </c>
      <c r="R192" t="str" cm="1">
        <f t="array" ref="R192">_xlfn.IFS(AND(C192&gt;300,C192&lt;=525),"1 Star",AND(C192&gt;525,C192&lt;=600),"2 Star",AND(C192&gt;600,C192&lt;=700),"3 Star",AND(C192&gt;700,C192&lt;=750),"4 Star",AND(C192&gt;750,C192&lt;=900),"5 Star")</f>
        <v>4 Star</v>
      </c>
      <c r="S192" cm="1">
        <f t="array" ref="S192">_xlfn.IFS(E192="Male",1,E192="Female",2)</f>
        <v>2</v>
      </c>
      <c r="T192" cm="1">
        <f t="array" ref="T192">_xlfn.IFS(D192="France",1,D192="Germany",2,D192="Spain",3)</f>
        <v>1</v>
      </c>
    </row>
    <row r="193" spans="1:20" x14ac:dyDescent="0.3">
      <c r="A193">
        <v>193</v>
      </c>
      <c r="B193" t="s">
        <v>13</v>
      </c>
      <c r="C193" s="5">
        <v>370</v>
      </c>
      <c r="D193" t="s">
        <v>24</v>
      </c>
      <c r="E193" t="s">
        <v>25</v>
      </c>
      <c r="F193">
        <v>24</v>
      </c>
      <c r="G193" s="5">
        <v>6</v>
      </c>
      <c r="H193" s="4">
        <v>38342.589999999997</v>
      </c>
      <c r="I193" s="5">
        <v>2</v>
      </c>
      <c r="J193">
        <v>0</v>
      </c>
      <c r="K193">
        <v>1</v>
      </c>
      <c r="L193" s="4">
        <v>18606.009999999998</v>
      </c>
      <c r="M193">
        <v>0</v>
      </c>
      <c r="N193" s="4">
        <f t="shared" si="4"/>
        <v>-1.2511205811146657</v>
      </c>
      <c r="O193" s="4">
        <f t="shared" si="5"/>
        <v>-1.5545007093007559</v>
      </c>
      <c r="P193" t="str" cm="1">
        <f t="array" ref="P193">_xlfn.IFS(AND(F193&gt;15,F193&lt;=30), "Youngsters", AND(F193&gt;30,F193&lt;=50), "Adults", AND(F193&gt;50,F193&lt;=70),"Old person", AND(F193&gt;70, F193&lt;92), "Senior Citizens")</f>
        <v>Youngsters</v>
      </c>
      <c r="Q193" t="str" cm="1">
        <f t="array" ref="Q193">_xlfn.IFS(G193=0,"No Tenure Period",AND(G193&gt;0,G193&lt;=3),"Less Tenure Period",AND(G193&gt;3,G193&lt;=7),"More Tenure Period",AND(G193&gt;7,G193&lt;=10),"Large Tenure Period")</f>
        <v>More Tenure Period</v>
      </c>
      <c r="R193" t="str" cm="1">
        <f t="array" ref="R193">_xlfn.IFS(AND(C193&gt;300,C193&lt;=525),"1 Star",AND(C193&gt;525,C193&lt;=600),"2 Star",AND(C193&gt;600,C193&lt;=700),"3 Star",AND(C193&gt;700,C193&lt;=750),"4 Star",AND(C193&gt;750,C193&lt;=900),"5 Star")</f>
        <v>1 Star</v>
      </c>
      <c r="S193" cm="1">
        <f t="array" ref="S193">_xlfn.IFS(E193="Male",1,E193="Female",2)</f>
        <v>1</v>
      </c>
      <c r="T193" cm="1">
        <f t="array" ref="T193">_xlfn.IFS(D193="France",1,D193="Germany",2,D193="Spain",3)</f>
        <v>1</v>
      </c>
    </row>
    <row r="194" spans="1:20" x14ac:dyDescent="0.3">
      <c r="A194">
        <v>194</v>
      </c>
      <c r="B194" t="s">
        <v>20</v>
      </c>
      <c r="C194" s="5">
        <v>558</v>
      </c>
      <c r="D194" t="s">
        <v>23</v>
      </c>
      <c r="E194" t="s">
        <v>25</v>
      </c>
      <c r="F194">
        <v>39</v>
      </c>
      <c r="G194" s="5">
        <v>9</v>
      </c>
      <c r="H194" s="4">
        <v>222626.19</v>
      </c>
      <c r="I194" s="5">
        <v>2</v>
      </c>
      <c r="J194">
        <v>0</v>
      </c>
      <c r="K194">
        <v>0</v>
      </c>
      <c r="L194" s="4">
        <v>59452.54</v>
      </c>
      <c r="M194">
        <v>1</v>
      </c>
      <c r="N194" s="4">
        <f t="shared" ref="N194:N257" si="6">(H194-$X$4)/$X$7</f>
        <v>1.3093518224573313</v>
      </c>
      <c r="O194" s="4">
        <f t="shared" ref="O194:O257" si="7">(L194-$Y$5)/$Y$8</f>
        <v>-0.55636096182759476</v>
      </c>
      <c r="P194" t="str" cm="1">
        <f t="array" ref="P194">_xlfn.IFS(AND(F194&gt;15,F194&lt;=30), "Youngsters", AND(F194&gt;30,F194&lt;=50), "Adults", AND(F194&gt;50,F194&lt;=70),"Old person", AND(F194&gt;70, F194&lt;92), "Senior Citizens")</f>
        <v>Adults</v>
      </c>
      <c r="Q194" t="str" cm="1">
        <f t="array" ref="Q194">_xlfn.IFS(G194=0,"No Tenure Period",AND(G194&gt;0,G194&lt;=3),"Less Tenure Period",AND(G194&gt;3,G194&lt;=7),"More Tenure Period",AND(G194&gt;7,G194&lt;=10),"Large Tenure Period")</f>
        <v>Large Tenure Period</v>
      </c>
      <c r="R194" t="str" cm="1">
        <f t="array" ref="R194">_xlfn.IFS(AND(C194&gt;300,C194&lt;=525),"1 Star",AND(C194&gt;525,C194&lt;=600),"2 Star",AND(C194&gt;600,C194&lt;=700),"3 Star",AND(C194&gt;700,C194&lt;=750),"4 Star",AND(C194&gt;750,C194&lt;=900),"5 Star")</f>
        <v>2 Star</v>
      </c>
      <c r="S194" cm="1">
        <f t="array" ref="S194">_xlfn.IFS(E194="Male",1,E194="Female",2)</f>
        <v>1</v>
      </c>
      <c r="T194" cm="1">
        <f t="array" ref="T194">_xlfn.IFS(D194="France",1,D194="Germany",2,D194="Spain",3)</f>
        <v>3</v>
      </c>
    </row>
    <row r="195" spans="1:20" x14ac:dyDescent="0.3">
      <c r="A195">
        <v>195</v>
      </c>
      <c r="B195" t="s">
        <v>18</v>
      </c>
      <c r="C195" s="5">
        <v>392</v>
      </c>
      <c r="D195" t="s">
        <v>23</v>
      </c>
      <c r="E195" t="s">
        <v>25</v>
      </c>
      <c r="F195">
        <v>45</v>
      </c>
      <c r="G195" s="5">
        <v>9</v>
      </c>
      <c r="H195" s="4">
        <v>233110.85</v>
      </c>
      <c r="I195" s="5">
        <v>1</v>
      </c>
      <c r="J195">
        <v>0</v>
      </c>
      <c r="K195">
        <v>0</v>
      </c>
      <c r="L195" s="4">
        <v>72202.649999999994</v>
      </c>
      <c r="M195">
        <v>1</v>
      </c>
      <c r="N195" s="4">
        <f t="shared" si="6"/>
        <v>1.4550277403948753</v>
      </c>
      <c r="O195" s="4">
        <f t="shared" si="7"/>
        <v>-0.24479492241971809</v>
      </c>
      <c r="P195" t="str" cm="1">
        <f t="array" ref="P195">_xlfn.IFS(AND(F195&gt;15,F195&lt;=30), "Youngsters", AND(F195&gt;30,F195&lt;=50), "Adults", AND(F195&gt;50,F195&lt;=70),"Old person", AND(F195&gt;70, F195&lt;92), "Senior Citizens")</f>
        <v>Adults</v>
      </c>
      <c r="Q195" t="str" cm="1">
        <f t="array" ref="Q195">_xlfn.IFS(G195=0,"No Tenure Period",AND(G195&gt;0,G195&lt;=3),"Less Tenure Period",AND(G195&gt;3,G195&lt;=7),"More Tenure Period",AND(G195&gt;7,G195&lt;=10),"Large Tenure Period")</f>
        <v>Large Tenure Period</v>
      </c>
      <c r="R195" t="str" cm="1">
        <f t="array" ref="R195">_xlfn.IFS(AND(C195&gt;300,C195&lt;=525),"1 Star",AND(C195&gt;525,C195&lt;=600),"2 Star",AND(C195&gt;600,C195&lt;=700),"3 Star",AND(C195&gt;700,C195&lt;=750),"4 Star",AND(C195&gt;750,C195&lt;=900),"5 Star")</f>
        <v>1 Star</v>
      </c>
      <c r="S195" cm="1">
        <f t="array" ref="S195">_xlfn.IFS(E195="Male",1,E195="Female",2)</f>
        <v>1</v>
      </c>
      <c r="T195" cm="1">
        <f t="array" ref="T195">_xlfn.IFS(D195="France",1,D195="Germany",2,D195="Spain",3)</f>
        <v>3</v>
      </c>
    </row>
    <row r="196" spans="1:20" x14ac:dyDescent="0.3">
      <c r="A196">
        <v>196</v>
      </c>
      <c r="B196" t="s">
        <v>19</v>
      </c>
      <c r="C196" s="5">
        <v>848</v>
      </c>
      <c r="D196" t="s">
        <v>23</v>
      </c>
      <c r="E196" t="s">
        <v>26</v>
      </c>
      <c r="F196">
        <v>44</v>
      </c>
      <c r="G196" s="5">
        <v>3</v>
      </c>
      <c r="H196" s="4">
        <v>249802</v>
      </c>
      <c r="I196" s="5">
        <v>1</v>
      </c>
      <c r="J196">
        <v>1</v>
      </c>
      <c r="K196">
        <v>0</v>
      </c>
      <c r="L196" s="4">
        <v>139671.38</v>
      </c>
      <c r="M196">
        <v>1</v>
      </c>
      <c r="N196" s="4">
        <f t="shared" si="6"/>
        <v>1.6869378450318626</v>
      </c>
      <c r="O196" s="4">
        <f t="shared" si="7"/>
        <v>1.4038939900664806</v>
      </c>
      <c r="P196" t="str" cm="1">
        <f t="array" ref="P196">_xlfn.IFS(AND(F196&gt;15,F196&lt;=30), "Youngsters", AND(F196&gt;30,F196&lt;=50), "Adults", AND(F196&gt;50,F196&lt;=70),"Old person", AND(F196&gt;70, F196&lt;92), "Senior Citizens")</f>
        <v>Adults</v>
      </c>
      <c r="Q196" t="str" cm="1">
        <f t="array" ref="Q196">_xlfn.IFS(G196=0,"No Tenure Period",AND(G196&gt;0,G196&lt;=3),"Less Tenure Period",AND(G196&gt;3,G196&lt;=7),"More Tenure Period",AND(G196&gt;7,G196&lt;=10),"Large Tenure Period")</f>
        <v>Less Tenure Period</v>
      </c>
      <c r="R196" t="str" cm="1">
        <f t="array" ref="R196">_xlfn.IFS(AND(C196&gt;300,C196&lt;=525),"1 Star",AND(C196&gt;525,C196&lt;=600),"2 Star",AND(C196&gt;600,C196&lt;=700),"3 Star",AND(C196&gt;700,C196&lt;=750),"4 Star",AND(C196&gt;750,C196&lt;=900),"5 Star")</f>
        <v>5 Star</v>
      </c>
      <c r="S196" cm="1">
        <f t="array" ref="S196">_xlfn.IFS(E196="Male",1,E196="Female",2)</f>
        <v>2</v>
      </c>
      <c r="T196" cm="1">
        <f t="array" ref="T196">_xlfn.IFS(D196="France",1,D196="Germany",2,D196="Spain",3)</f>
        <v>3</v>
      </c>
    </row>
    <row r="197" spans="1:20" x14ac:dyDescent="0.3">
      <c r="A197">
        <v>197</v>
      </c>
      <c r="B197" t="s">
        <v>12</v>
      </c>
      <c r="C197" s="5">
        <v>378</v>
      </c>
      <c r="D197" t="s">
        <v>23</v>
      </c>
      <c r="E197" t="s">
        <v>25</v>
      </c>
      <c r="F197">
        <v>82</v>
      </c>
      <c r="G197" s="5">
        <v>9</v>
      </c>
      <c r="H197" s="4">
        <v>59302.02</v>
      </c>
      <c r="I197" s="5">
        <v>2</v>
      </c>
      <c r="J197">
        <v>0</v>
      </c>
      <c r="K197">
        <v>1</v>
      </c>
      <c r="L197" s="4">
        <v>51011.37</v>
      </c>
      <c r="M197">
        <v>0</v>
      </c>
      <c r="N197" s="4">
        <f t="shared" si="6"/>
        <v>-0.95990615883509767</v>
      </c>
      <c r="O197" s="4">
        <f t="shared" si="7"/>
        <v>-0.76263227280989909</v>
      </c>
      <c r="P197" t="str" cm="1">
        <f t="array" ref="P197">_xlfn.IFS(AND(F197&gt;15,F197&lt;=30), "Youngsters", AND(F197&gt;30,F197&lt;=50), "Adults", AND(F197&gt;50,F197&lt;=70),"Old person", AND(F197&gt;70, F197&lt;92), "Senior Citizens")</f>
        <v>Senior Citizens</v>
      </c>
      <c r="Q197" t="str" cm="1">
        <f t="array" ref="Q197">_xlfn.IFS(G197=0,"No Tenure Period",AND(G197&gt;0,G197&lt;=3),"Less Tenure Period",AND(G197&gt;3,G197&lt;=7),"More Tenure Period",AND(G197&gt;7,G197&lt;=10),"Large Tenure Period")</f>
        <v>Large Tenure Period</v>
      </c>
      <c r="R197" t="str" cm="1">
        <f t="array" ref="R197">_xlfn.IFS(AND(C197&gt;300,C197&lt;=525),"1 Star",AND(C197&gt;525,C197&lt;=600),"2 Star",AND(C197&gt;600,C197&lt;=700),"3 Star",AND(C197&gt;700,C197&lt;=750),"4 Star",AND(C197&gt;750,C197&lt;=900),"5 Star")</f>
        <v>1 Star</v>
      </c>
      <c r="S197" cm="1">
        <f t="array" ref="S197">_xlfn.IFS(E197="Male",1,E197="Female",2)</f>
        <v>1</v>
      </c>
      <c r="T197" cm="1">
        <f t="array" ref="T197">_xlfn.IFS(D197="France",1,D197="Germany",2,D197="Spain",3)</f>
        <v>3</v>
      </c>
    </row>
    <row r="198" spans="1:20" x14ac:dyDescent="0.3">
      <c r="A198">
        <v>198</v>
      </c>
      <c r="B198" t="s">
        <v>20</v>
      </c>
      <c r="C198" s="5">
        <v>760</v>
      </c>
      <c r="D198" t="s">
        <v>24</v>
      </c>
      <c r="E198" t="s">
        <v>26</v>
      </c>
      <c r="F198">
        <v>21</v>
      </c>
      <c r="G198" s="5">
        <v>4</v>
      </c>
      <c r="H198" s="4">
        <v>17937.98</v>
      </c>
      <c r="I198" s="5">
        <v>1</v>
      </c>
      <c r="J198">
        <v>0</v>
      </c>
      <c r="K198">
        <v>0</v>
      </c>
      <c r="L198" s="4">
        <v>106372.6</v>
      </c>
      <c r="M198">
        <v>0</v>
      </c>
      <c r="N198" s="4">
        <f t="shared" si="6"/>
        <v>-1.5346262257333361</v>
      </c>
      <c r="O198" s="4">
        <f t="shared" si="7"/>
        <v>0.59019363754291632</v>
      </c>
      <c r="P198" t="str" cm="1">
        <f t="array" ref="P198">_xlfn.IFS(AND(F198&gt;15,F198&lt;=30), "Youngsters", AND(F198&gt;30,F198&lt;=50), "Adults", AND(F198&gt;50,F198&lt;=70),"Old person", AND(F198&gt;70, F198&lt;92), "Senior Citizens")</f>
        <v>Youngsters</v>
      </c>
      <c r="Q198" t="str" cm="1">
        <f t="array" ref="Q198">_xlfn.IFS(G198=0,"No Tenure Period",AND(G198&gt;0,G198&lt;=3),"Less Tenure Period",AND(G198&gt;3,G198&lt;=7),"More Tenure Period",AND(G198&gt;7,G198&lt;=10),"Large Tenure Period")</f>
        <v>More Tenure Period</v>
      </c>
      <c r="R198" t="str" cm="1">
        <f t="array" ref="R198">_xlfn.IFS(AND(C198&gt;300,C198&lt;=525),"1 Star",AND(C198&gt;525,C198&lt;=600),"2 Star",AND(C198&gt;600,C198&lt;=700),"3 Star",AND(C198&gt;700,C198&lt;=750),"4 Star",AND(C198&gt;750,C198&lt;=900),"5 Star")</f>
        <v>5 Star</v>
      </c>
      <c r="S198" cm="1">
        <f t="array" ref="S198">_xlfn.IFS(E198="Male",1,E198="Female",2)</f>
        <v>2</v>
      </c>
      <c r="T198" cm="1">
        <f t="array" ref="T198">_xlfn.IFS(D198="France",1,D198="Germany",2,D198="Spain",3)</f>
        <v>1</v>
      </c>
    </row>
    <row r="199" spans="1:20" x14ac:dyDescent="0.3">
      <c r="A199">
        <v>199</v>
      </c>
      <c r="B199" t="s">
        <v>17</v>
      </c>
      <c r="C199" s="5">
        <v>693</v>
      </c>
      <c r="D199" t="s">
        <v>23</v>
      </c>
      <c r="E199" t="s">
        <v>25</v>
      </c>
      <c r="F199">
        <v>71</v>
      </c>
      <c r="G199" s="5">
        <v>2</v>
      </c>
      <c r="H199" s="4">
        <v>37093.39</v>
      </c>
      <c r="I199" s="5">
        <v>3</v>
      </c>
      <c r="J199">
        <v>1</v>
      </c>
      <c r="K199">
        <v>0</v>
      </c>
      <c r="L199" s="4">
        <v>40784.480000000003</v>
      </c>
      <c r="M199">
        <v>1</v>
      </c>
      <c r="N199" s="4">
        <f t="shared" si="6"/>
        <v>-1.2684772103890132</v>
      </c>
      <c r="O199" s="4">
        <f t="shared" si="7"/>
        <v>-1.0125400471553769</v>
      </c>
      <c r="P199" t="str" cm="1">
        <f t="array" ref="P199">_xlfn.IFS(AND(F199&gt;15,F199&lt;=30), "Youngsters", AND(F199&gt;30,F199&lt;=50), "Adults", AND(F199&gt;50,F199&lt;=70),"Old person", AND(F199&gt;70, F199&lt;92), "Senior Citizens")</f>
        <v>Senior Citizens</v>
      </c>
      <c r="Q199" t="str" cm="1">
        <f t="array" ref="Q199">_xlfn.IFS(G199=0,"No Tenure Period",AND(G199&gt;0,G199&lt;=3),"Less Tenure Period",AND(G199&gt;3,G199&lt;=7),"More Tenure Period",AND(G199&gt;7,G199&lt;=10),"Large Tenure Period")</f>
        <v>Less Tenure Period</v>
      </c>
      <c r="R199" t="str" cm="1">
        <f t="array" ref="R199">_xlfn.IFS(AND(C199&gt;300,C199&lt;=525),"1 Star",AND(C199&gt;525,C199&lt;=600),"2 Star",AND(C199&gt;600,C199&lt;=700),"3 Star",AND(C199&gt;700,C199&lt;=750),"4 Star",AND(C199&gt;750,C199&lt;=900),"5 Star")</f>
        <v>3 Star</v>
      </c>
      <c r="S199" cm="1">
        <f t="array" ref="S199">_xlfn.IFS(E199="Male",1,E199="Female",2)</f>
        <v>1</v>
      </c>
      <c r="T199" cm="1">
        <f t="array" ref="T199">_xlfn.IFS(D199="France",1,D199="Germany",2,D199="Spain",3)</f>
        <v>3</v>
      </c>
    </row>
    <row r="200" spans="1:20" x14ac:dyDescent="0.3">
      <c r="A200">
        <v>200</v>
      </c>
      <c r="B200" t="s">
        <v>14</v>
      </c>
      <c r="C200" s="5">
        <v>530</v>
      </c>
      <c r="D200" t="s">
        <v>22</v>
      </c>
      <c r="E200" t="s">
        <v>25</v>
      </c>
      <c r="F200">
        <v>55</v>
      </c>
      <c r="G200" s="5">
        <v>1</v>
      </c>
      <c r="H200" s="4">
        <v>205216.41</v>
      </c>
      <c r="I200" s="5">
        <v>3</v>
      </c>
      <c r="J200">
        <v>0</v>
      </c>
      <c r="K200">
        <v>0</v>
      </c>
      <c r="L200" s="4">
        <v>95781.75</v>
      </c>
      <c r="M200">
        <v>1</v>
      </c>
      <c r="N200" s="4">
        <f t="shared" si="6"/>
        <v>1.0674569319610545</v>
      </c>
      <c r="O200" s="4">
        <f t="shared" si="7"/>
        <v>0.33139201242259075</v>
      </c>
      <c r="P200" t="str" cm="1">
        <f t="array" ref="P200">_xlfn.IFS(AND(F200&gt;15,F200&lt;=30), "Youngsters", AND(F200&gt;30,F200&lt;=50), "Adults", AND(F200&gt;50,F200&lt;=70),"Old person", AND(F200&gt;70, F200&lt;92), "Senior Citizens")</f>
        <v>Old person</v>
      </c>
      <c r="Q200" t="str" cm="1">
        <f t="array" ref="Q200">_xlfn.IFS(G200=0,"No Tenure Period",AND(G200&gt;0,G200&lt;=3),"Less Tenure Period",AND(G200&gt;3,G200&lt;=7),"More Tenure Period",AND(G200&gt;7,G200&lt;=10),"Large Tenure Period")</f>
        <v>Less Tenure Period</v>
      </c>
      <c r="R200" t="str" cm="1">
        <f t="array" ref="R200">_xlfn.IFS(AND(C200&gt;300,C200&lt;=525),"1 Star",AND(C200&gt;525,C200&lt;=600),"2 Star",AND(C200&gt;600,C200&lt;=700),"3 Star",AND(C200&gt;700,C200&lt;=750),"4 Star",AND(C200&gt;750,C200&lt;=900),"5 Star")</f>
        <v>2 Star</v>
      </c>
      <c r="S200" cm="1">
        <f t="array" ref="S200">_xlfn.IFS(E200="Male",1,E200="Female",2)</f>
        <v>1</v>
      </c>
      <c r="T200" cm="1">
        <f t="array" ref="T200">_xlfn.IFS(D200="France",1,D200="Germany",2,D200="Spain",3)</f>
        <v>2</v>
      </c>
    </row>
    <row r="201" spans="1:20" x14ac:dyDescent="0.3">
      <c r="A201">
        <v>201</v>
      </c>
      <c r="B201" t="s">
        <v>16</v>
      </c>
      <c r="C201" s="5">
        <v>654</v>
      </c>
      <c r="D201" t="s">
        <v>24</v>
      </c>
      <c r="E201" t="s">
        <v>26</v>
      </c>
      <c r="F201">
        <v>25</v>
      </c>
      <c r="G201" s="5">
        <v>6</v>
      </c>
      <c r="H201" s="4">
        <v>232419.55</v>
      </c>
      <c r="I201" s="5">
        <v>1</v>
      </c>
      <c r="J201">
        <v>1</v>
      </c>
      <c r="K201">
        <v>1</v>
      </c>
      <c r="L201" s="4">
        <v>25837.27</v>
      </c>
      <c r="M201">
        <v>1</v>
      </c>
      <c r="N201" s="4">
        <f t="shared" si="6"/>
        <v>1.4454226829041958</v>
      </c>
      <c r="O201" s="4">
        <f t="shared" si="7"/>
        <v>-1.3777951720051085</v>
      </c>
      <c r="P201" t="str" cm="1">
        <f t="array" ref="P201">_xlfn.IFS(AND(F201&gt;15,F201&lt;=30), "Youngsters", AND(F201&gt;30,F201&lt;=50), "Adults", AND(F201&gt;50,F201&lt;=70),"Old person", AND(F201&gt;70, F201&lt;92), "Senior Citizens")</f>
        <v>Youngsters</v>
      </c>
      <c r="Q201" t="str" cm="1">
        <f t="array" ref="Q201">_xlfn.IFS(G201=0,"No Tenure Period",AND(G201&gt;0,G201&lt;=3),"Less Tenure Period",AND(G201&gt;3,G201&lt;=7),"More Tenure Period",AND(G201&gt;7,G201&lt;=10),"Large Tenure Period")</f>
        <v>More Tenure Period</v>
      </c>
      <c r="R201" t="str" cm="1">
        <f t="array" ref="R201">_xlfn.IFS(AND(C201&gt;300,C201&lt;=525),"1 Star",AND(C201&gt;525,C201&lt;=600),"2 Star",AND(C201&gt;600,C201&lt;=700),"3 Star",AND(C201&gt;700,C201&lt;=750),"4 Star",AND(C201&gt;750,C201&lt;=900),"5 Star")</f>
        <v>3 Star</v>
      </c>
      <c r="S201" cm="1">
        <f t="array" ref="S201">_xlfn.IFS(E201="Male",1,E201="Female",2)</f>
        <v>2</v>
      </c>
      <c r="T201" cm="1">
        <f t="array" ref="T201">_xlfn.IFS(D201="France",1,D201="Germany",2,D201="Spain",3)</f>
        <v>1</v>
      </c>
    </row>
    <row r="202" spans="1:20" x14ac:dyDescent="0.3">
      <c r="A202">
        <v>202</v>
      </c>
      <c r="B202" t="s">
        <v>15</v>
      </c>
      <c r="C202" s="5">
        <v>800</v>
      </c>
      <c r="D202" t="s">
        <v>22</v>
      </c>
      <c r="E202" t="s">
        <v>25</v>
      </c>
      <c r="F202">
        <v>29</v>
      </c>
      <c r="G202" s="5">
        <v>0</v>
      </c>
      <c r="H202" s="4">
        <v>88974.52</v>
      </c>
      <c r="I202" s="5">
        <v>4</v>
      </c>
      <c r="J202">
        <v>1</v>
      </c>
      <c r="K202">
        <v>1</v>
      </c>
      <c r="L202" s="4">
        <v>115636.53</v>
      </c>
      <c r="M202">
        <v>0</v>
      </c>
      <c r="N202" s="4">
        <f t="shared" si="6"/>
        <v>-0.54763063678652624</v>
      </c>
      <c r="O202" s="4">
        <f t="shared" si="7"/>
        <v>0.81657019268258269</v>
      </c>
      <c r="P202" t="str" cm="1">
        <f t="array" ref="P202">_xlfn.IFS(AND(F202&gt;15,F202&lt;=30), "Youngsters", AND(F202&gt;30,F202&lt;=50), "Adults", AND(F202&gt;50,F202&lt;=70),"Old person", AND(F202&gt;70, F202&lt;92), "Senior Citizens")</f>
        <v>Youngsters</v>
      </c>
      <c r="Q202" t="str" cm="1">
        <f t="array" ref="Q202">_xlfn.IFS(G202=0,"No Tenure Period",AND(G202&gt;0,G202&lt;=3),"Less Tenure Period",AND(G202&gt;3,G202&lt;=7),"More Tenure Period",AND(G202&gt;7,G202&lt;=10),"Large Tenure Period")</f>
        <v>No Tenure Period</v>
      </c>
      <c r="R202" t="str" cm="1">
        <f t="array" ref="R202">_xlfn.IFS(AND(C202&gt;300,C202&lt;=525),"1 Star",AND(C202&gt;525,C202&lt;=600),"2 Star",AND(C202&gt;600,C202&lt;=700),"3 Star",AND(C202&gt;700,C202&lt;=750),"4 Star",AND(C202&gt;750,C202&lt;=900),"5 Star")</f>
        <v>5 Star</v>
      </c>
      <c r="S202" cm="1">
        <f t="array" ref="S202">_xlfn.IFS(E202="Male",1,E202="Female",2)</f>
        <v>1</v>
      </c>
      <c r="T202" cm="1">
        <f t="array" ref="T202">_xlfn.IFS(D202="France",1,D202="Germany",2,D202="Spain",3)</f>
        <v>2</v>
      </c>
    </row>
    <row r="203" spans="1:20" x14ac:dyDescent="0.3">
      <c r="A203">
        <v>203</v>
      </c>
      <c r="B203" t="s">
        <v>12</v>
      </c>
      <c r="C203" s="5">
        <v>452</v>
      </c>
      <c r="D203" t="s">
        <v>23</v>
      </c>
      <c r="E203" t="s">
        <v>25</v>
      </c>
      <c r="F203">
        <v>20</v>
      </c>
      <c r="G203" s="5">
        <v>2</v>
      </c>
      <c r="H203" s="4">
        <v>240624.04</v>
      </c>
      <c r="I203" s="5">
        <v>3</v>
      </c>
      <c r="J203">
        <v>0</v>
      </c>
      <c r="K203">
        <v>0</v>
      </c>
      <c r="L203" s="4">
        <v>16236.92</v>
      </c>
      <c r="M203">
        <v>1</v>
      </c>
      <c r="N203" s="4">
        <f t="shared" si="6"/>
        <v>1.5594174726216881</v>
      </c>
      <c r="O203" s="4">
        <f t="shared" si="7"/>
        <v>-1.6123926010805762</v>
      </c>
      <c r="P203" t="str" cm="1">
        <f t="array" ref="P203">_xlfn.IFS(AND(F203&gt;15,F203&lt;=30), "Youngsters", AND(F203&gt;30,F203&lt;=50), "Adults", AND(F203&gt;50,F203&lt;=70),"Old person", AND(F203&gt;70, F203&lt;92), "Senior Citizens")</f>
        <v>Youngsters</v>
      </c>
      <c r="Q203" t="str" cm="1">
        <f t="array" ref="Q203">_xlfn.IFS(G203=0,"No Tenure Period",AND(G203&gt;0,G203&lt;=3),"Less Tenure Period",AND(G203&gt;3,G203&lt;=7),"More Tenure Period",AND(G203&gt;7,G203&lt;=10),"Large Tenure Period")</f>
        <v>Less Tenure Period</v>
      </c>
      <c r="R203" t="str" cm="1">
        <f t="array" ref="R203">_xlfn.IFS(AND(C203&gt;300,C203&lt;=525),"1 Star",AND(C203&gt;525,C203&lt;=600),"2 Star",AND(C203&gt;600,C203&lt;=700),"3 Star",AND(C203&gt;700,C203&lt;=750),"4 Star",AND(C203&gt;750,C203&lt;=900),"5 Star")</f>
        <v>1 Star</v>
      </c>
      <c r="S203" cm="1">
        <f t="array" ref="S203">_xlfn.IFS(E203="Male",1,E203="Female",2)</f>
        <v>1</v>
      </c>
      <c r="T203" cm="1">
        <f t="array" ref="T203">_xlfn.IFS(D203="France",1,D203="Germany",2,D203="Spain",3)</f>
        <v>3</v>
      </c>
    </row>
    <row r="204" spans="1:20" x14ac:dyDescent="0.3">
      <c r="A204">
        <v>204</v>
      </c>
      <c r="B204" t="s">
        <v>14</v>
      </c>
      <c r="C204" s="5">
        <v>615</v>
      </c>
      <c r="D204" t="s">
        <v>24</v>
      </c>
      <c r="E204" t="s">
        <v>26</v>
      </c>
      <c r="F204">
        <v>72</v>
      </c>
      <c r="G204" s="5">
        <v>6</v>
      </c>
      <c r="H204" s="4">
        <v>199237.9</v>
      </c>
      <c r="I204" s="5">
        <v>2</v>
      </c>
      <c r="J204">
        <v>0</v>
      </c>
      <c r="K204">
        <v>0</v>
      </c>
      <c r="L204" s="4">
        <v>149768.04999999999</v>
      </c>
      <c r="M204">
        <v>1</v>
      </c>
      <c r="N204" s="4">
        <f t="shared" si="6"/>
        <v>0.98439034399837499</v>
      </c>
      <c r="O204" s="4">
        <f t="shared" si="7"/>
        <v>1.6506196640495538</v>
      </c>
      <c r="P204" t="str" cm="1">
        <f t="array" ref="P204">_xlfn.IFS(AND(F204&gt;15,F204&lt;=30), "Youngsters", AND(F204&gt;30,F204&lt;=50), "Adults", AND(F204&gt;50,F204&lt;=70),"Old person", AND(F204&gt;70, F204&lt;92), "Senior Citizens")</f>
        <v>Senior Citizens</v>
      </c>
      <c r="Q204" t="str" cm="1">
        <f t="array" ref="Q204">_xlfn.IFS(G204=0,"No Tenure Period",AND(G204&gt;0,G204&lt;=3),"Less Tenure Period",AND(G204&gt;3,G204&lt;=7),"More Tenure Period",AND(G204&gt;7,G204&lt;=10),"Large Tenure Period")</f>
        <v>More Tenure Period</v>
      </c>
      <c r="R204" t="str" cm="1">
        <f t="array" ref="R204">_xlfn.IFS(AND(C204&gt;300,C204&lt;=525),"1 Star",AND(C204&gt;525,C204&lt;=600),"2 Star",AND(C204&gt;600,C204&lt;=700),"3 Star",AND(C204&gt;700,C204&lt;=750),"4 Star",AND(C204&gt;750,C204&lt;=900),"5 Star")</f>
        <v>3 Star</v>
      </c>
      <c r="S204" cm="1">
        <f t="array" ref="S204">_xlfn.IFS(E204="Male",1,E204="Female",2)</f>
        <v>2</v>
      </c>
      <c r="T204" cm="1">
        <f t="array" ref="T204">_xlfn.IFS(D204="France",1,D204="Germany",2,D204="Spain",3)</f>
        <v>1</v>
      </c>
    </row>
    <row r="205" spans="1:20" x14ac:dyDescent="0.3">
      <c r="A205">
        <v>205</v>
      </c>
      <c r="B205" t="s">
        <v>18</v>
      </c>
      <c r="C205" s="5">
        <v>608</v>
      </c>
      <c r="D205" t="s">
        <v>22</v>
      </c>
      <c r="E205" t="s">
        <v>26</v>
      </c>
      <c r="F205">
        <v>23</v>
      </c>
      <c r="G205" s="5">
        <v>3</v>
      </c>
      <c r="H205" s="4">
        <v>88373.18</v>
      </c>
      <c r="I205" s="5">
        <v>1</v>
      </c>
      <c r="J205">
        <v>0</v>
      </c>
      <c r="K205">
        <v>0</v>
      </c>
      <c r="L205" s="4">
        <v>122196.71</v>
      </c>
      <c r="M205">
        <v>0</v>
      </c>
      <c r="N205" s="4">
        <f t="shared" si="6"/>
        <v>-0.55598577243160807</v>
      </c>
      <c r="O205" s="4">
        <f t="shared" si="7"/>
        <v>0.97687699006729289</v>
      </c>
      <c r="P205" t="str" cm="1">
        <f t="array" ref="P205">_xlfn.IFS(AND(F205&gt;15,F205&lt;=30), "Youngsters", AND(F205&gt;30,F205&lt;=50), "Adults", AND(F205&gt;50,F205&lt;=70),"Old person", AND(F205&gt;70, F205&lt;92), "Senior Citizens")</f>
        <v>Youngsters</v>
      </c>
      <c r="Q205" t="str" cm="1">
        <f t="array" ref="Q205">_xlfn.IFS(G205=0,"No Tenure Period",AND(G205&gt;0,G205&lt;=3),"Less Tenure Period",AND(G205&gt;3,G205&lt;=7),"More Tenure Period",AND(G205&gt;7,G205&lt;=10),"Large Tenure Period")</f>
        <v>Less Tenure Period</v>
      </c>
      <c r="R205" t="str" cm="1">
        <f t="array" ref="R205">_xlfn.IFS(AND(C205&gt;300,C205&lt;=525),"1 Star",AND(C205&gt;525,C205&lt;=600),"2 Star",AND(C205&gt;600,C205&lt;=700),"3 Star",AND(C205&gt;700,C205&lt;=750),"4 Star",AND(C205&gt;750,C205&lt;=900),"5 Star")</f>
        <v>3 Star</v>
      </c>
      <c r="S205" cm="1">
        <f t="array" ref="S205">_xlfn.IFS(E205="Male",1,E205="Female",2)</f>
        <v>2</v>
      </c>
      <c r="T205" cm="1">
        <f t="array" ref="T205">_xlfn.IFS(D205="France",1,D205="Germany",2,D205="Spain",3)</f>
        <v>2</v>
      </c>
    </row>
    <row r="206" spans="1:20" x14ac:dyDescent="0.3">
      <c r="A206">
        <v>206</v>
      </c>
      <c r="B206" t="s">
        <v>12</v>
      </c>
      <c r="C206" s="5">
        <v>722</v>
      </c>
      <c r="D206" t="s">
        <v>24</v>
      </c>
      <c r="E206" t="s">
        <v>25</v>
      </c>
      <c r="F206">
        <v>35</v>
      </c>
      <c r="G206" s="5">
        <v>7</v>
      </c>
      <c r="H206" s="4">
        <v>212738.23</v>
      </c>
      <c r="I206" s="5">
        <v>4</v>
      </c>
      <c r="J206">
        <v>1</v>
      </c>
      <c r="K206">
        <v>1</v>
      </c>
      <c r="L206" s="4">
        <v>95777.53</v>
      </c>
      <c r="M206">
        <v>1</v>
      </c>
      <c r="N206" s="4">
        <f t="shared" si="6"/>
        <v>1.1719665710967992</v>
      </c>
      <c r="O206" s="4">
        <f t="shared" si="7"/>
        <v>0.33128889106235926</v>
      </c>
      <c r="P206" t="str" cm="1">
        <f t="array" ref="P206">_xlfn.IFS(AND(F206&gt;15,F206&lt;=30), "Youngsters", AND(F206&gt;30,F206&lt;=50), "Adults", AND(F206&gt;50,F206&lt;=70),"Old person", AND(F206&gt;70, F206&lt;92), "Senior Citizens")</f>
        <v>Adults</v>
      </c>
      <c r="Q206" t="str" cm="1">
        <f t="array" ref="Q206">_xlfn.IFS(G206=0,"No Tenure Period",AND(G206&gt;0,G206&lt;=3),"Less Tenure Period",AND(G206&gt;3,G206&lt;=7),"More Tenure Period",AND(G206&gt;7,G206&lt;=10),"Large Tenure Period")</f>
        <v>More Tenure Period</v>
      </c>
      <c r="R206" t="str" cm="1">
        <f t="array" ref="R206">_xlfn.IFS(AND(C206&gt;300,C206&lt;=525),"1 Star",AND(C206&gt;525,C206&lt;=600),"2 Star",AND(C206&gt;600,C206&lt;=700),"3 Star",AND(C206&gt;700,C206&lt;=750),"4 Star",AND(C206&gt;750,C206&lt;=900),"5 Star")</f>
        <v>4 Star</v>
      </c>
      <c r="S206" cm="1">
        <f t="array" ref="S206">_xlfn.IFS(E206="Male",1,E206="Female",2)</f>
        <v>1</v>
      </c>
      <c r="T206" cm="1">
        <f t="array" ref="T206">_xlfn.IFS(D206="France",1,D206="Germany",2,D206="Spain",3)</f>
        <v>1</v>
      </c>
    </row>
    <row r="207" spans="1:20" x14ac:dyDescent="0.3">
      <c r="A207">
        <v>207</v>
      </c>
      <c r="B207" t="s">
        <v>14</v>
      </c>
      <c r="C207" s="5">
        <v>714</v>
      </c>
      <c r="D207" t="s">
        <v>22</v>
      </c>
      <c r="E207" t="s">
        <v>25</v>
      </c>
      <c r="F207">
        <v>23</v>
      </c>
      <c r="G207" s="5">
        <v>5</v>
      </c>
      <c r="H207" s="4">
        <v>160251.42000000001</v>
      </c>
      <c r="I207" s="5">
        <v>3</v>
      </c>
      <c r="J207">
        <v>1</v>
      </c>
      <c r="K207">
        <v>0</v>
      </c>
      <c r="L207" s="4">
        <v>117590.06</v>
      </c>
      <c r="M207">
        <v>1</v>
      </c>
      <c r="N207" s="4">
        <f t="shared" si="6"/>
        <v>0.44270456103987221</v>
      </c>
      <c r="O207" s="4">
        <f t="shared" si="7"/>
        <v>0.86430731847714204</v>
      </c>
      <c r="P207" t="str" cm="1">
        <f t="array" ref="P207">_xlfn.IFS(AND(F207&gt;15,F207&lt;=30), "Youngsters", AND(F207&gt;30,F207&lt;=50), "Adults", AND(F207&gt;50,F207&lt;=70),"Old person", AND(F207&gt;70, F207&lt;92), "Senior Citizens")</f>
        <v>Youngsters</v>
      </c>
      <c r="Q207" t="str" cm="1">
        <f t="array" ref="Q207">_xlfn.IFS(G207=0,"No Tenure Period",AND(G207&gt;0,G207&lt;=3),"Less Tenure Period",AND(G207&gt;3,G207&lt;=7),"More Tenure Period",AND(G207&gt;7,G207&lt;=10),"Large Tenure Period")</f>
        <v>More Tenure Period</v>
      </c>
      <c r="R207" t="str" cm="1">
        <f t="array" ref="R207">_xlfn.IFS(AND(C207&gt;300,C207&lt;=525),"1 Star",AND(C207&gt;525,C207&lt;=600),"2 Star",AND(C207&gt;600,C207&lt;=700),"3 Star",AND(C207&gt;700,C207&lt;=750),"4 Star",AND(C207&gt;750,C207&lt;=900),"5 Star")</f>
        <v>4 Star</v>
      </c>
      <c r="S207" cm="1">
        <f t="array" ref="S207">_xlfn.IFS(E207="Male",1,E207="Female",2)</f>
        <v>1</v>
      </c>
      <c r="T207" cm="1">
        <f t="array" ref="T207">_xlfn.IFS(D207="France",1,D207="Germany",2,D207="Spain",3)</f>
        <v>2</v>
      </c>
    </row>
    <row r="208" spans="1:20" x14ac:dyDescent="0.3">
      <c r="A208">
        <v>208</v>
      </c>
      <c r="B208" t="s">
        <v>14</v>
      </c>
      <c r="C208" s="5">
        <v>583</v>
      </c>
      <c r="D208" t="s">
        <v>24</v>
      </c>
      <c r="E208" t="s">
        <v>26</v>
      </c>
      <c r="F208">
        <v>48</v>
      </c>
      <c r="G208" s="5">
        <v>10</v>
      </c>
      <c r="H208" s="4">
        <v>111620.9</v>
      </c>
      <c r="I208" s="5">
        <v>1</v>
      </c>
      <c r="J208">
        <v>1</v>
      </c>
      <c r="K208">
        <v>1</v>
      </c>
      <c r="L208" s="4">
        <v>10423.709999999999</v>
      </c>
      <c r="M208">
        <v>1</v>
      </c>
      <c r="N208" s="4">
        <f t="shared" si="6"/>
        <v>-0.23297740106286569</v>
      </c>
      <c r="O208" s="4">
        <f t="shared" si="7"/>
        <v>-1.7544461846140722</v>
      </c>
      <c r="P208" t="str" cm="1">
        <f t="array" ref="P208">_xlfn.IFS(AND(F208&gt;15,F208&lt;=30), "Youngsters", AND(F208&gt;30,F208&lt;=50), "Adults", AND(F208&gt;50,F208&lt;=70),"Old person", AND(F208&gt;70, F208&lt;92), "Senior Citizens")</f>
        <v>Adults</v>
      </c>
      <c r="Q208" t="str" cm="1">
        <f t="array" ref="Q208">_xlfn.IFS(G208=0,"No Tenure Period",AND(G208&gt;0,G208&lt;=3),"Less Tenure Period",AND(G208&gt;3,G208&lt;=7),"More Tenure Period",AND(G208&gt;7,G208&lt;=10),"Large Tenure Period")</f>
        <v>Large Tenure Period</v>
      </c>
      <c r="R208" t="str" cm="1">
        <f t="array" ref="R208">_xlfn.IFS(AND(C208&gt;300,C208&lt;=525),"1 Star",AND(C208&gt;525,C208&lt;=600),"2 Star",AND(C208&gt;600,C208&lt;=700),"3 Star",AND(C208&gt;700,C208&lt;=750),"4 Star",AND(C208&gt;750,C208&lt;=900),"5 Star")</f>
        <v>2 Star</v>
      </c>
      <c r="S208" cm="1">
        <f t="array" ref="S208">_xlfn.IFS(E208="Male",1,E208="Female",2)</f>
        <v>2</v>
      </c>
      <c r="T208" cm="1">
        <f t="array" ref="T208">_xlfn.IFS(D208="France",1,D208="Germany",2,D208="Spain",3)</f>
        <v>1</v>
      </c>
    </row>
    <row r="209" spans="1:20" x14ac:dyDescent="0.3">
      <c r="A209">
        <v>209</v>
      </c>
      <c r="B209" t="s">
        <v>15</v>
      </c>
      <c r="C209" s="5">
        <v>695</v>
      </c>
      <c r="D209" t="s">
        <v>22</v>
      </c>
      <c r="E209" t="s">
        <v>26</v>
      </c>
      <c r="F209">
        <v>21</v>
      </c>
      <c r="G209" s="5">
        <v>10</v>
      </c>
      <c r="H209" s="4">
        <v>112981.4</v>
      </c>
      <c r="I209" s="5">
        <v>4</v>
      </c>
      <c r="J209">
        <v>0</v>
      </c>
      <c r="K209">
        <v>1</v>
      </c>
      <c r="L209" s="4">
        <v>69975.320000000007</v>
      </c>
      <c r="M209">
        <v>0</v>
      </c>
      <c r="N209" s="4">
        <f t="shared" si="6"/>
        <v>-0.21407434780658188</v>
      </c>
      <c r="O209" s="4">
        <f t="shared" si="7"/>
        <v>-0.29922271845868109</v>
      </c>
      <c r="P209" t="str" cm="1">
        <f t="array" ref="P209">_xlfn.IFS(AND(F209&gt;15,F209&lt;=30), "Youngsters", AND(F209&gt;30,F209&lt;=50), "Adults", AND(F209&gt;50,F209&lt;=70),"Old person", AND(F209&gt;70, F209&lt;92), "Senior Citizens")</f>
        <v>Youngsters</v>
      </c>
      <c r="Q209" t="str" cm="1">
        <f t="array" ref="Q209">_xlfn.IFS(G209=0,"No Tenure Period",AND(G209&gt;0,G209&lt;=3),"Less Tenure Period",AND(G209&gt;3,G209&lt;=7),"More Tenure Period",AND(G209&gt;7,G209&lt;=10),"Large Tenure Period")</f>
        <v>Large Tenure Period</v>
      </c>
      <c r="R209" t="str" cm="1">
        <f t="array" ref="R209">_xlfn.IFS(AND(C209&gt;300,C209&lt;=525),"1 Star",AND(C209&gt;525,C209&lt;=600),"2 Star",AND(C209&gt;600,C209&lt;=700),"3 Star",AND(C209&gt;700,C209&lt;=750),"4 Star",AND(C209&gt;750,C209&lt;=900),"5 Star")</f>
        <v>3 Star</v>
      </c>
      <c r="S209" cm="1">
        <f t="array" ref="S209">_xlfn.IFS(E209="Male",1,E209="Female",2)</f>
        <v>2</v>
      </c>
      <c r="T209" cm="1">
        <f t="array" ref="T209">_xlfn.IFS(D209="France",1,D209="Germany",2,D209="Spain",3)</f>
        <v>2</v>
      </c>
    </row>
    <row r="210" spans="1:20" x14ac:dyDescent="0.3">
      <c r="A210">
        <v>210</v>
      </c>
      <c r="B210" t="s">
        <v>16</v>
      </c>
      <c r="C210" s="5">
        <v>730</v>
      </c>
      <c r="D210" t="s">
        <v>22</v>
      </c>
      <c r="E210" t="s">
        <v>26</v>
      </c>
      <c r="F210">
        <v>18</v>
      </c>
      <c r="G210" s="5">
        <v>2</v>
      </c>
      <c r="H210" s="4">
        <v>240529.94</v>
      </c>
      <c r="I210" s="5">
        <v>3</v>
      </c>
      <c r="J210">
        <v>1</v>
      </c>
      <c r="K210">
        <v>0</v>
      </c>
      <c r="L210" s="4">
        <v>93107.1</v>
      </c>
      <c r="M210">
        <v>0</v>
      </c>
      <c r="N210" s="4">
        <f t="shared" si="6"/>
        <v>1.5581100288058731</v>
      </c>
      <c r="O210" s="4">
        <f t="shared" si="7"/>
        <v>0.26603335219908869</v>
      </c>
      <c r="P210" t="str" cm="1">
        <f t="array" ref="P210">_xlfn.IFS(AND(F210&gt;15,F210&lt;=30), "Youngsters", AND(F210&gt;30,F210&lt;=50), "Adults", AND(F210&gt;50,F210&lt;=70),"Old person", AND(F210&gt;70, F210&lt;92), "Senior Citizens")</f>
        <v>Youngsters</v>
      </c>
      <c r="Q210" t="str" cm="1">
        <f t="array" ref="Q210">_xlfn.IFS(G210=0,"No Tenure Period",AND(G210&gt;0,G210&lt;=3),"Less Tenure Period",AND(G210&gt;3,G210&lt;=7),"More Tenure Period",AND(G210&gt;7,G210&lt;=10),"Large Tenure Period")</f>
        <v>Less Tenure Period</v>
      </c>
      <c r="R210" t="str" cm="1">
        <f t="array" ref="R210">_xlfn.IFS(AND(C210&gt;300,C210&lt;=525),"1 Star",AND(C210&gt;525,C210&lt;=600),"2 Star",AND(C210&gt;600,C210&lt;=700),"3 Star",AND(C210&gt;700,C210&lt;=750),"4 Star",AND(C210&gt;750,C210&lt;=900),"5 Star")</f>
        <v>4 Star</v>
      </c>
      <c r="S210" cm="1">
        <f t="array" ref="S210">_xlfn.IFS(E210="Male",1,E210="Female",2)</f>
        <v>2</v>
      </c>
      <c r="T210" cm="1">
        <f t="array" ref="T210">_xlfn.IFS(D210="France",1,D210="Germany",2,D210="Spain",3)</f>
        <v>2</v>
      </c>
    </row>
    <row r="211" spans="1:20" x14ac:dyDescent="0.3">
      <c r="A211">
        <v>211</v>
      </c>
      <c r="B211" t="s">
        <v>16</v>
      </c>
      <c r="C211" s="5">
        <v>723</v>
      </c>
      <c r="D211" t="s">
        <v>22</v>
      </c>
      <c r="E211" t="s">
        <v>26</v>
      </c>
      <c r="F211">
        <v>62</v>
      </c>
      <c r="G211" s="5">
        <v>6</v>
      </c>
      <c r="H211" s="4">
        <v>73255.710000000006</v>
      </c>
      <c r="I211" s="5">
        <v>1</v>
      </c>
      <c r="J211">
        <v>1</v>
      </c>
      <c r="K211">
        <v>0</v>
      </c>
      <c r="L211" s="4">
        <v>146668.19</v>
      </c>
      <c r="M211">
        <v>0</v>
      </c>
      <c r="N211" s="4">
        <f t="shared" si="6"/>
        <v>-0.76603085917197744</v>
      </c>
      <c r="O211" s="4">
        <f t="shared" si="7"/>
        <v>1.5748704271473706</v>
      </c>
      <c r="P211" t="str" cm="1">
        <f t="array" ref="P211">_xlfn.IFS(AND(F211&gt;15,F211&lt;=30), "Youngsters", AND(F211&gt;30,F211&lt;=50), "Adults", AND(F211&gt;50,F211&lt;=70),"Old person", AND(F211&gt;70, F211&lt;92), "Senior Citizens")</f>
        <v>Old person</v>
      </c>
      <c r="Q211" t="str" cm="1">
        <f t="array" ref="Q211">_xlfn.IFS(G211=0,"No Tenure Period",AND(G211&gt;0,G211&lt;=3),"Less Tenure Period",AND(G211&gt;3,G211&lt;=7),"More Tenure Period",AND(G211&gt;7,G211&lt;=10),"Large Tenure Period")</f>
        <v>More Tenure Period</v>
      </c>
      <c r="R211" t="str" cm="1">
        <f t="array" ref="R211">_xlfn.IFS(AND(C211&gt;300,C211&lt;=525),"1 Star",AND(C211&gt;525,C211&lt;=600),"2 Star",AND(C211&gt;600,C211&lt;=700),"3 Star",AND(C211&gt;700,C211&lt;=750),"4 Star",AND(C211&gt;750,C211&lt;=900),"5 Star")</f>
        <v>4 Star</v>
      </c>
      <c r="S211" cm="1">
        <f t="array" ref="S211">_xlfn.IFS(E211="Male",1,E211="Female",2)</f>
        <v>2</v>
      </c>
      <c r="T211" cm="1">
        <f t="array" ref="T211">_xlfn.IFS(D211="France",1,D211="Germany",2,D211="Spain",3)</f>
        <v>2</v>
      </c>
    </row>
    <row r="212" spans="1:20" x14ac:dyDescent="0.3">
      <c r="A212">
        <v>212</v>
      </c>
      <c r="B212" t="s">
        <v>16</v>
      </c>
      <c r="C212" s="5">
        <v>450</v>
      </c>
      <c r="D212" t="s">
        <v>24</v>
      </c>
      <c r="E212" t="s">
        <v>25</v>
      </c>
      <c r="F212">
        <v>62</v>
      </c>
      <c r="G212" s="5">
        <v>6</v>
      </c>
      <c r="H212" s="4">
        <v>167423.71</v>
      </c>
      <c r="I212" s="5">
        <v>4</v>
      </c>
      <c r="J212">
        <v>0</v>
      </c>
      <c r="K212">
        <v>1</v>
      </c>
      <c r="L212" s="4">
        <v>61220.89</v>
      </c>
      <c r="M212">
        <v>1</v>
      </c>
      <c r="N212" s="4">
        <f t="shared" si="6"/>
        <v>0.54235776195094265</v>
      </c>
      <c r="O212" s="4">
        <f t="shared" si="7"/>
        <v>-0.51314895771257785</v>
      </c>
      <c r="P212" t="str" cm="1">
        <f t="array" ref="P212">_xlfn.IFS(AND(F212&gt;15,F212&lt;=30), "Youngsters", AND(F212&gt;30,F212&lt;=50), "Adults", AND(F212&gt;50,F212&lt;=70),"Old person", AND(F212&gt;70, F212&lt;92), "Senior Citizens")</f>
        <v>Old person</v>
      </c>
      <c r="Q212" t="str" cm="1">
        <f t="array" ref="Q212">_xlfn.IFS(G212=0,"No Tenure Period",AND(G212&gt;0,G212&lt;=3),"Less Tenure Period",AND(G212&gt;3,G212&lt;=7),"More Tenure Period",AND(G212&gt;7,G212&lt;=10),"Large Tenure Period")</f>
        <v>More Tenure Period</v>
      </c>
      <c r="R212" t="str" cm="1">
        <f t="array" ref="R212">_xlfn.IFS(AND(C212&gt;300,C212&lt;=525),"1 Star",AND(C212&gt;525,C212&lt;=600),"2 Star",AND(C212&gt;600,C212&lt;=700),"3 Star",AND(C212&gt;700,C212&lt;=750),"4 Star",AND(C212&gt;750,C212&lt;=900),"5 Star")</f>
        <v>1 Star</v>
      </c>
      <c r="S212" cm="1">
        <f t="array" ref="S212">_xlfn.IFS(E212="Male",1,E212="Female",2)</f>
        <v>1</v>
      </c>
      <c r="T212" cm="1">
        <f t="array" ref="T212">_xlfn.IFS(D212="France",1,D212="Germany",2,D212="Spain",3)</f>
        <v>1</v>
      </c>
    </row>
    <row r="213" spans="1:20" x14ac:dyDescent="0.3">
      <c r="A213">
        <v>213</v>
      </c>
      <c r="B213" t="s">
        <v>15</v>
      </c>
      <c r="C213" s="5">
        <v>440</v>
      </c>
      <c r="D213" t="s">
        <v>22</v>
      </c>
      <c r="E213" t="s">
        <v>25</v>
      </c>
      <c r="F213">
        <v>79</v>
      </c>
      <c r="G213" s="5">
        <v>10</v>
      </c>
      <c r="H213" s="4">
        <v>201052.55</v>
      </c>
      <c r="I213" s="5">
        <v>2</v>
      </c>
      <c r="J213">
        <v>0</v>
      </c>
      <c r="K213">
        <v>0</v>
      </c>
      <c r="L213" s="4">
        <v>145868.74</v>
      </c>
      <c r="M213">
        <v>0</v>
      </c>
      <c r="N213" s="4">
        <f t="shared" si="6"/>
        <v>1.0096034462339614</v>
      </c>
      <c r="O213" s="4">
        <f t="shared" si="7"/>
        <v>1.5553347941054101</v>
      </c>
      <c r="P213" t="str" cm="1">
        <f t="array" ref="P213">_xlfn.IFS(AND(F213&gt;15,F213&lt;=30), "Youngsters", AND(F213&gt;30,F213&lt;=50), "Adults", AND(F213&gt;50,F213&lt;=70),"Old person", AND(F213&gt;70, F213&lt;92), "Senior Citizens")</f>
        <v>Senior Citizens</v>
      </c>
      <c r="Q213" t="str" cm="1">
        <f t="array" ref="Q213">_xlfn.IFS(G213=0,"No Tenure Period",AND(G213&gt;0,G213&lt;=3),"Less Tenure Period",AND(G213&gt;3,G213&lt;=7),"More Tenure Period",AND(G213&gt;7,G213&lt;=10),"Large Tenure Period")</f>
        <v>Large Tenure Period</v>
      </c>
      <c r="R213" t="str" cm="1">
        <f t="array" ref="R213">_xlfn.IFS(AND(C213&gt;300,C213&lt;=525),"1 Star",AND(C213&gt;525,C213&lt;=600),"2 Star",AND(C213&gt;600,C213&lt;=700),"3 Star",AND(C213&gt;700,C213&lt;=750),"4 Star",AND(C213&gt;750,C213&lt;=900),"5 Star")</f>
        <v>1 Star</v>
      </c>
      <c r="S213" cm="1">
        <f t="array" ref="S213">_xlfn.IFS(E213="Male",1,E213="Female",2)</f>
        <v>1</v>
      </c>
      <c r="T213" cm="1">
        <f t="array" ref="T213">_xlfn.IFS(D213="France",1,D213="Germany",2,D213="Spain",3)</f>
        <v>2</v>
      </c>
    </row>
    <row r="214" spans="1:20" x14ac:dyDescent="0.3">
      <c r="A214">
        <v>214</v>
      </c>
      <c r="B214" t="s">
        <v>14</v>
      </c>
      <c r="C214" s="5">
        <v>418</v>
      </c>
      <c r="D214" t="s">
        <v>22</v>
      </c>
      <c r="E214" t="s">
        <v>26</v>
      </c>
      <c r="F214">
        <v>18</v>
      </c>
      <c r="G214" s="5">
        <v>1</v>
      </c>
      <c r="H214" s="4">
        <v>96345.86</v>
      </c>
      <c r="I214" s="5">
        <v>4</v>
      </c>
      <c r="J214">
        <v>1</v>
      </c>
      <c r="K214">
        <v>0</v>
      </c>
      <c r="L214" s="4">
        <v>82176.899999999994</v>
      </c>
      <c r="M214">
        <v>0</v>
      </c>
      <c r="N214" s="4">
        <f t="shared" si="6"/>
        <v>-0.44521179622042922</v>
      </c>
      <c r="O214" s="4">
        <f t="shared" si="7"/>
        <v>-1.0607453370093483E-3</v>
      </c>
      <c r="P214" t="str" cm="1">
        <f t="array" ref="P214">_xlfn.IFS(AND(F214&gt;15,F214&lt;=30), "Youngsters", AND(F214&gt;30,F214&lt;=50), "Adults", AND(F214&gt;50,F214&lt;=70),"Old person", AND(F214&gt;70, F214&lt;92), "Senior Citizens")</f>
        <v>Youngsters</v>
      </c>
      <c r="Q214" t="str" cm="1">
        <f t="array" ref="Q214">_xlfn.IFS(G214=0,"No Tenure Period",AND(G214&gt;0,G214&lt;=3),"Less Tenure Period",AND(G214&gt;3,G214&lt;=7),"More Tenure Period",AND(G214&gt;7,G214&lt;=10),"Large Tenure Period")</f>
        <v>Less Tenure Period</v>
      </c>
      <c r="R214" t="str" cm="1">
        <f t="array" ref="R214">_xlfn.IFS(AND(C214&gt;300,C214&lt;=525),"1 Star",AND(C214&gt;525,C214&lt;=600),"2 Star",AND(C214&gt;600,C214&lt;=700),"3 Star",AND(C214&gt;700,C214&lt;=750),"4 Star",AND(C214&gt;750,C214&lt;=900),"5 Star")</f>
        <v>1 Star</v>
      </c>
      <c r="S214" cm="1">
        <f t="array" ref="S214">_xlfn.IFS(E214="Male",1,E214="Female",2)</f>
        <v>2</v>
      </c>
      <c r="T214" cm="1">
        <f t="array" ref="T214">_xlfn.IFS(D214="France",1,D214="Germany",2,D214="Spain",3)</f>
        <v>2</v>
      </c>
    </row>
    <row r="215" spans="1:20" x14ac:dyDescent="0.3">
      <c r="A215">
        <v>215</v>
      </c>
      <c r="B215" t="s">
        <v>17</v>
      </c>
      <c r="C215" s="5">
        <v>455</v>
      </c>
      <c r="D215" t="s">
        <v>23</v>
      </c>
      <c r="E215" t="s">
        <v>25</v>
      </c>
      <c r="F215">
        <v>35</v>
      </c>
      <c r="G215" s="5">
        <v>9</v>
      </c>
      <c r="H215" s="4">
        <v>116072.5</v>
      </c>
      <c r="I215" s="5">
        <v>4</v>
      </c>
      <c r="J215">
        <v>0</v>
      </c>
      <c r="K215">
        <v>0</v>
      </c>
      <c r="L215" s="4">
        <v>19713.43</v>
      </c>
      <c r="M215">
        <v>0</v>
      </c>
      <c r="N215" s="4">
        <f t="shared" si="6"/>
        <v>-0.171125999463694</v>
      </c>
      <c r="O215" s="4">
        <f t="shared" si="7"/>
        <v>-1.5274394162326119</v>
      </c>
      <c r="P215" t="str" cm="1">
        <f t="array" ref="P215">_xlfn.IFS(AND(F215&gt;15,F215&lt;=30), "Youngsters", AND(F215&gt;30,F215&lt;=50), "Adults", AND(F215&gt;50,F215&lt;=70),"Old person", AND(F215&gt;70, F215&lt;92), "Senior Citizens")</f>
        <v>Adults</v>
      </c>
      <c r="Q215" t="str" cm="1">
        <f t="array" ref="Q215">_xlfn.IFS(G215=0,"No Tenure Period",AND(G215&gt;0,G215&lt;=3),"Less Tenure Period",AND(G215&gt;3,G215&lt;=7),"More Tenure Period",AND(G215&gt;7,G215&lt;=10),"Large Tenure Period")</f>
        <v>Large Tenure Period</v>
      </c>
      <c r="R215" t="str" cm="1">
        <f t="array" ref="R215">_xlfn.IFS(AND(C215&gt;300,C215&lt;=525),"1 Star",AND(C215&gt;525,C215&lt;=600),"2 Star",AND(C215&gt;600,C215&lt;=700),"3 Star",AND(C215&gt;700,C215&lt;=750),"4 Star",AND(C215&gt;750,C215&lt;=900),"5 Star")</f>
        <v>1 Star</v>
      </c>
      <c r="S215" cm="1">
        <f t="array" ref="S215">_xlfn.IFS(E215="Male",1,E215="Female",2)</f>
        <v>1</v>
      </c>
      <c r="T215" cm="1">
        <f t="array" ref="T215">_xlfn.IFS(D215="France",1,D215="Germany",2,D215="Spain",3)</f>
        <v>3</v>
      </c>
    </row>
    <row r="216" spans="1:20" x14ac:dyDescent="0.3">
      <c r="A216">
        <v>216</v>
      </c>
      <c r="B216" t="s">
        <v>14</v>
      </c>
      <c r="C216" s="5">
        <v>360</v>
      </c>
      <c r="D216" t="s">
        <v>22</v>
      </c>
      <c r="E216" t="s">
        <v>26</v>
      </c>
      <c r="F216">
        <v>47</v>
      </c>
      <c r="G216" s="5">
        <v>10</v>
      </c>
      <c r="H216" s="4">
        <v>160567.84</v>
      </c>
      <c r="I216" s="5">
        <v>2</v>
      </c>
      <c r="J216">
        <v>1</v>
      </c>
      <c r="K216">
        <v>0</v>
      </c>
      <c r="L216" s="4">
        <v>96310.13</v>
      </c>
      <c r="M216">
        <v>1</v>
      </c>
      <c r="N216" s="4">
        <f t="shared" si="6"/>
        <v>0.44710096244476233</v>
      </c>
      <c r="O216" s="4">
        <f t="shared" si="7"/>
        <v>0.34430368643186093</v>
      </c>
      <c r="P216" t="str" cm="1">
        <f t="array" ref="P216">_xlfn.IFS(AND(F216&gt;15,F216&lt;=30), "Youngsters", AND(F216&gt;30,F216&lt;=50), "Adults", AND(F216&gt;50,F216&lt;=70),"Old person", AND(F216&gt;70, F216&lt;92), "Senior Citizens")</f>
        <v>Adults</v>
      </c>
      <c r="Q216" t="str" cm="1">
        <f t="array" ref="Q216">_xlfn.IFS(G216=0,"No Tenure Period",AND(G216&gt;0,G216&lt;=3),"Less Tenure Period",AND(G216&gt;3,G216&lt;=7),"More Tenure Period",AND(G216&gt;7,G216&lt;=10),"Large Tenure Period")</f>
        <v>Large Tenure Period</v>
      </c>
      <c r="R216" t="str" cm="1">
        <f t="array" ref="R216">_xlfn.IFS(AND(C216&gt;300,C216&lt;=525),"1 Star",AND(C216&gt;525,C216&lt;=600),"2 Star",AND(C216&gt;600,C216&lt;=700),"3 Star",AND(C216&gt;700,C216&lt;=750),"4 Star",AND(C216&gt;750,C216&lt;=900),"5 Star")</f>
        <v>1 Star</v>
      </c>
      <c r="S216" cm="1">
        <f t="array" ref="S216">_xlfn.IFS(E216="Male",1,E216="Female",2)</f>
        <v>2</v>
      </c>
      <c r="T216" cm="1">
        <f t="array" ref="T216">_xlfn.IFS(D216="France",1,D216="Germany",2,D216="Spain",3)</f>
        <v>2</v>
      </c>
    </row>
    <row r="217" spans="1:20" x14ac:dyDescent="0.3">
      <c r="A217">
        <v>217</v>
      </c>
      <c r="B217" t="s">
        <v>16</v>
      </c>
      <c r="C217" s="5">
        <v>362</v>
      </c>
      <c r="D217" t="s">
        <v>23</v>
      </c>
      <c r="E217" t="s">
        <v>26</v>
      </c>
      <c r="F217">
        <v>52</v>
      </c>
      <c r="G217" s="5">
        <v>0</v>
      </c>
      <c r="H217" s="4">
        <v>146945.31</v>
      </c>
      <c r="I217" s="5">
        <v>4</v>
      </c>
      <c r="J217">
        <v>1</v>
      </c>
      <c r="K217">
        <v>0</v>
      </c>
      <c r="L217" s="4">
        <v>125091.68</v>
      </c>
      <c r="M217">
        <v>0</v>
      </c>
      <c r="N217" s="4">
        <f t="shared" si="6"/>
        <v>0.25782686463122045</v>
      </c>
      <c r="O217" s="4">
        <f t="shared" si="7"/>
        <v>1.0476194650031654</v>
      </c>
      <c r="P217" t="str" cm="1">
        <f t="array" ref="P217">_xlfn.IFS(AND(F217&gt;15,F217&lt;=30), "Youngsters", AND(F217&gt;30,F217&lt;=50), "Adults", AND(F217&gt;50,F217&lt;=70),"Old person", AND(F217&gt;70, F217&lt;92), "Senior Citizens")</f>
        <v>Old person</v>
      </c>
      <c r="Q217" t="str" cm="1">
        <f t="array" ref="Q217">_xlfn.IFS(G217=0,"No Tenure Period",AND(G217&gt;0,G217&lt;=3),"Less Tenure Period",AND(G217&gt;3,G217&lt;=7),"More Tenure Period",AND(G217&gt;7,G217&lt;=10),"Large Tenure Period")</f>
        <v>No Tenure Period</v>
      </c>
      <c r="R217" t="str" cm="1">
        <f t="array" ref="R217">_xlfn.IFS(AND(C217&gt;300,C217&lt;=525),"1 Star",AND(C217&gt;525,C217&lt;=600),"2 Star",AND(C217&gt;600,C217&lt;=700),"3 Star",AND(C217&gt;700,C217&lt;=750),"4 Star",AND(C217&gt;750,C217&lt;=900),"5 Star")</f>
        <v>1 Star</v>
      </c>
      <c r="S217" cm="1">
        <f t="array" ref="S217">_xlfn.IFS(E217="Male",1,E217="Female",2)</f>
        <v>2</v>
      </c>
      <c r="T217" cm="1">
        <f t="array" ref="T217">_xlfn.IFS(D217="France",1,D217="Germany",2,D217="Spain",3)</f>
        <v>3</v>
      </c>
    </row>
    <row r="218" spans="1:20" x14ac:dyDescent="0.3">
      <c r="A218">
        <v>218</v>
      </c>
      <c r="B218" t="s">
        <v>15</v>
      </c>
      <c r="C218" s="5">
        <v>454</v>
      </c>
      <c r="D218" t="s">
        <v>24</v>
      </c>
      <c r="E218" t="s">
        <v>25</v>
      </c>
      <c r="F218">
        <v>77</v>
      </c>
      <c r="G218" s="5">
        <v>1</v>
      </c>
      <c r="H218" s="4">
        <v>183306.47</v>
      </c>
      <c r="I218" s="5">
        <v>1</v>
      </c>
      <c r="J218">
        <v>1</v>
      </c>
      <c r="K218">
        <v>1</v>
      </c>
      <c r="L218" s="4">
        <v>134198.82999999999</v>
      </c>
      <c r="M218">
        <v>1</v>
      </c>
      <c r="N218" s="4">
        <f t="shared" si="6"/>
        <v>0.76303593772218437</v>
      </c>
      <c r="O218" s="4">
        <f t="shared" si="7"/>
        <v>1.2701648905558425</v>
      </c>
      <c r="P218" t="str" cm="1">
        <f t="array" ref="P218">_xlfn.IFS(AND(F218&gt;15,F218&lt;=30), "Youngsters", AND(F218&gt;30,F218&lt;=50), "Adults", AND(F218&gt;50,F218&lt;=70),"Old person", AND(F218&gt;70, F218&lt;92), "Senior Citizens")</f>
        <v>Senior Citizens</v>
      </c>
      <c r="Q218" t="str" cm="1">
        <f t="array" ref="Q218">_xlfn.IFS(G218=0,"No Tenure Period",AND(G218&gt;0,G218&lt;=3),"Less Tenure Period",AND(G218&gt;3,G218&lt;=7),"More Tenure Period",AND(G218&gt;7,G218&lt;=10),"Large Tenure Period")</f>
        <v>Less Tenure Period</v>
      </c>
      <c r="R218" t="str" cm="1">
        <f t="array" ref="R218">_xlfn.IFS(AND(C218&gt;300,C218&lt;=525),"1 Star",AND(C218&gt;525,C218&lt;=600),"2 Star",AND(C218&gt;600,C218&lt;=700),"3 Star",AND(C218&gt;700,C218&lt;=750),"4 Star",AND(C218&gt;750,C218&lt;=900),"5 Star")</f>
        <v>1 Star</v>
      </c>
      <c r="S218" cm="1">
        <f t="array" ref="S218">_xlfn.IFS(E218="Male",1,E218="Female",2)</f>
        <v>1</v>
      </c>
      <c r="T218" cm="1">
        <f t="array" ref="T218">_xlfn.IFS(D218="France",1,D218="Germany",2,D218="Spain",3)</f>
        <v>1</v>
      </c>
    </row>
    <row r="219" spans="1:20" x14ac:dyDescent="0.3">
      <c r="A219">
        <v>219</v>
      </c>
      <c r="B219" t="s">
        <v>15</v>
      </c>
      <c r="C219" s="5">
        <v>575</v>
      </c>
      <c r="D219" t="s">
        <v>22</v>
      </c>
      <c r="E219" t="s">
        <v>26</v>
      </c>
      <c r="F219">
        <v>39</v>
      </c>
      <c r="G219" s="5">
        <v>3</v>
      </c>
      <c r="H219" s="4">
        <v>213911.63</v>
      </c>
      <c r="I219" s="5">
        <v>3</v>
      </c>
      <c r="J219">
        <v>0</v>
      </c>
      <c r="K219">
        <v>1</v>
      </c>
      <c r="L219" s="4">
        <v>84036.97</v>
      </c>
      <c r="M219">
        <v>1</v>
      </c>
      <c r="N219" s="4">
        <f t="shared" si="6"/>
        <v>1.1882700203367282</v>
      </c>
      <c r="O219" s="4">
        <f t="shared" si="7"/>
        <v>4.4392560000859241E-2</v>
      </c>
      <c r="P219" t="str" cm="1">
        <f t="array" ref="P219">_xlfn.IFS(AND(F219&gt;15,F219&lt;=30), "Youngsters", AND(F219&gt;30,F219&lt;=50), "Adults", AND(F219&gt;50,F219&lt;=70),"Old person", AND(F219&gt;70, F219&lt;92), "Senior Citizens")</f>
        <v>Adults</v>
      </c>
      <c r="Q219" t="str" cm="1">
        <f t="array" ref="Q219">_xlfn.IFS(G219=0,"No Tenure Period",AND(G219&gt;0,G219&lt;=3),"Less Tenure Period",AND(G219&gt;3,G219&lt;=7),"More Tenure Period",AND(G219&gt;7,G219&lt;=10),"Large Tenure Period")</f>
        <v>Less Tenure Period</v>
      </c>
      <c r="R219" t="str" cm="1">
        <f t="array" ref="R219">_xlfn.IFS(AND(C219&gt;300,C219&lt;=525),"1 Star",AND(C219&gt;525,C219&lt;=600),"2 Star",AND(C219&gt;600,C219&lt;=700),"3 Star",AND(C219&gt;700,C219&lt;=750),"4 Star",AND(C219&gt;750,C219&lt;=900),"5 Star")</f>
        <v>2 Star</v>
      </c>
      <c r="S219" cm="1">
        <f t="array" ref="S219">_xlfn.IFS(E219="Male",1,E219="Female",2)</f>
        <v>2</v>
      </c>
      <c r="T219" cm="1">
        <f t="array" ref="T219">_xlfn.IFS(D219="France",1,D219="Germany",2,D219="Spain",3)</f>
        <v>2</v>
      </c>
    </row>
    <row r="220" spans="1:20" x14ac:dyDescent="0.3">
      <c r="A220">
        <v>220</v>
      </c>
      <c r="B220" t="s">
        <v>12</v>
      </c>
      <c r="C220" s="5">
        <v>771</v>
      </c>
      <c r="D220" t="s">
        <v>24</v>
      </c>
      <c r="E220" t="s">
        <v>26</v>
      </c>
      <c r="F220">
        <v>81</v>
      </c>
      <c r="G220" s="5">
        <v>3</v>
      </c>
      <c r="H220" s="4">
        <v>135435.82999999999</v>
      </c>
      <c r="I220" s="5">
        <v>3</v>
      </c>
      <c r="J220">
        <v>0</v>
      </c>
      <c r="K220">
        <v>1</v>
      </c>
      <c r="L220" s="4">
        <v>72274.3</v>
      </c>
      <c r="M220">
        <v>0</v>
      </c>
      <c r="N220" s="4">
        <f t="shared" si="6"/>
        <v>9.7911897051555993E-2</v>
      </c>
      <c r="O220" s="4">
        <f t="shared" si="7"/>
        <v>-0.24304405856649824</v>
      </c>
      <c r="P220" t="str" cm="1">
        <f t="array" ref="P220">_xlfn.IFS(AND(F220&gt;15,F220&lt;=30), "Youngsters", AND(F220&gt;30,F220&lt;=50), "Adults", AND(F220&gt;50,F220&lt;=70),"Old person", AND(F220&gt;70, F220&lt;92), "Senior Citizens")</f>
        <v>Senior Citizens</v>
      </c>
      <c r="Q220" t="str" cm="1">
        <f t="array" ref="Q220">_xlfn.IFS(G220=0,"No Tenure Period",AND(G220&gt;0,G220&lt;=3),"Less Tenure Period",AND(G220&gt;3,G220&lt;=7),"More Tenure Period",AND(G220&gt;7,G220&lt;=10),"Large Tenure Period")</f>
        <v>Less Tenure Period</v>
      </c>
      <c r="R220" t="str" cm="1">
        <f t="array" ref="R220">_xlfn.IFS(AND(C220&gt;300,C220&lt;=525),"1 Star",AND(C220&gt;525,C220&lt;=600),"2 Star",AND(C220&gt;600,C220&lt;=700),"3 Star",AND(C220&gt;700,C220&lt;=750),"4 Star",AND(C220&gt;750,C220&lt;=900),"5 Star")</f>
        <v>5 Star</v>
      </c>
      <c r="S220" cm="1">
        <f t="array" ref="S220">_xlfn.IFS(E220="Male",1,E220="Female",2)</f>
        <v>2</v>
      </c>
      <c r="T220" cm="1">
        <f t="array" ref="T220">_xlfn.IFS(D220="France",1,D220="Germany",2,D220="Spain",3)</f>
        <v>1</v>
      </c>
    </row>
    <row r="221" spans="1:20" x14ac:dyDescent="0.3">
      <c r="A221">
        <v>221</v>
      </c>
      <c r="B221" t="s">
        <v>21</v>
      </c>
      <c r="C221" s="5">
        <v>517</v>
      </c>
      <c r="D221" t="s">
        <v>23</v>
      </c>
      <c r="E221" t="s">
        <v>25</v>
      </c>
      <c r="F221">
        <v>35</v>
      </c>
      <c r="G221" s="5">
        <v>1</v>
      </c>
      <c r="H221" s="4">
        <v>239854.9</v>
      </c>
      <c r="I221" s="5">
        <v>1</v>
      </c>
      <c r="J221">
        <v>1</v>
      </c>
      <c r="K221">
        <v>1</v>
      </c>
      <c r="L221" s="4">
        <v>99332.87</v>
      </c>
      <c r="M221">
        <v>0</v>
      </c>
      <c r="N221" s="4">
        <f t="shared" si="6"/>
        <v>1.5487308909373527</v>
      </c>
      <c r="O221" s="4">
        <f t="shared" si="7"/>
        <v>0.41816839269398437</v>
      </c>
      <c r="P221" t="str" cm="1">
        <f t="array" ref="P221">_xlfn.IFS(AND(F221&gt;15,F221&lt;=30), "Youngsters", AND(F221&gt;30,F221&lt;=50), "Adults", AND(F221&gt;50,F221&lt;=70),"Old person", AND(F221&gt;70, F221&lt;92), "Senior Citizens")</f>
        <v>Adults</v>
      </c>
      <c r="Q221" t="str" cm="1">
        <f t="array" ref="Q221">_xlfn.IFS(G221=0,"No Tenure Period",AND(G221&gt;0,G221&lt;=3),"Less Tenure Period",AND(G221&gt;3,G221&lt;=7),"More Tenure Period",AND(G221&gt;7,G221&lt;=10),"Large Tenure Period")</f>
        <v>Less Tenure Period</v>
      </c>
      <c r="R221" t="str" cm="1">
        <f t="array" ref="R221">_xlfn.IFS(AND(C221&gt;300,C221&lt;=525),"1 Star",AND(C221&gt;525,C221&lt;=600),"2 Star",AND(C221&gt;600,C221&lt;=700),"3 Star",AND(C221&gt;700,C221&lt;=750),"4 Star",AND(C221&gt;750,C221&lt;=900),"5 Star")</f>
        <v>1 Star</v>
      </c>
      <c r="S221" cm="1">
        <f t="array" ref="S221">_xlfn.IFS(E221="Male",1,E221="Female",2)</f>
        <v>1</v>
      </c>
      <c r="T221" cm="1">
        <f t="array" ref="T221">_xlfn.IFS(D221="France",1,D221="Germany",2,D221="Spain",3)</f>
        <v>3</v>
      </c>
    </row>
    <row r="222" spans="1:20" x14ac:dyDescent="0.3">
      <c r="A222">
        <v>222</v>
      </c>
      <c r="B222" t="s">
        <v>17</v>
      </c>
      <c r="C222" s="5">
        <v>766</v>
      </c>
      <c r="D222" t="s">
        <v>23</v>
      </c>
      <c r="E222" t="s">
        <v>25</v>
      </c>
      <c r="F222">
        <v>56</v>
      </c>
      <c r="G222" s="5">
        <v>3</v>
      </c>
      <c r="H222" s="4">
        <v>70283.899999999994</v>
      </c>
      <c r="I222" s="5">
        <v>3</v>
      </c>
      <c r="J222">
        <v>1</v>
      </c>
      <c r="K222">
        <v>0</v>
      </c>
      <c r="L222" s="4">
        <v>18737.27</v>
      </c>
      <c r="M222">
        <v>0</v>
      </c>
      <c r="N222" s="4">
        <f t="shared" si="6"/>
        <v>-0.80732176890924834</v>
      </c>
      <c r="O222" s="4">
        <f t="shared" si="7"/>
        <v>-1.5512931951434128</v>
      </c>
      <c r="P222" t="str" cm="1">
        <f t="array" ref="P222">_xlfn.IFS(AND(F222&gt;15,F222&lt;=30), "Youngsters", AND(F222&gt;30,F222&lt;=50), "Adults", AND(F222&gt;50,F222&lt;=70),"Old person", AND(F222&gt;70, F222&lt;92), "Senior Citizens")</f>
        <v>Old person</v>
      </c>
      <c r="Q222" t="str" cm="1">
        <f t="array" ref="Q222">_xlfn.IFS(G222=0,"No Tenure Period",AND(G222&gt;0,G222&lt;=3),"Less Tenure Period",AND(G222&gt;3,G222&lt;=7),"More Tenure Period",AND(G222&gt;7,G222&lt;=10),"Large Tenure Period")</f>
        <v>Less Tenure Period</v>
      </c>
      <c r="R222" t="str" cm="1">
        <f t="array" ref="R222">_xlfn.IFS(AND(C222&gt;300,C222&lt;=525),"1 Star",AND(C222&gt;525,C222&lt;=600),"2 Star",AND(C222&gt;600,C222&lt;=700),"3 Star",AND(C222&gt;700,C222&lt;=750),"4 Star",AND(C222&gt;750,C222&lt;=900),"5 Star")</f>
        <v>5 Star</v>
      </c>
      <c r="S222" cm="1">
        <f t="array" ref="S222">_xlfn.IFS(E222="Male",1,E222="Female",2)</f>
        <v>1</v>
      </c>
      <c r="T222" cm="1">
        <f t="array" ref="T222">_xlfn.IFS(D222="France",1,D222="Germany",2,D222="Spain",3)</f>
        <v>3</v>
      </c>
    </row>
    <row r="223" spans="1:20" x14ac:dyDescent="0.3">
      <c r="A223">
        <v>223</v>
      </c>
      <c r="B223" t="s">
        <v>17</v>
      </c>
      <c r="C223" s="5">
        <v>728</v>
      </c>
      <c r="D223" t="s">
        <v>24</v>
      </c>
      <c r="E223" t="s">
        <v>26</v>
      </c>
      <c r="F223">
        <v>19</v>
      </c>
      <c r="G223" s="5">
        <v>4</v>
      </c>
      <c r="H223" s="4">
        <v>16689.2</v>
      </c>
      <c r="I223" s="5">
        <v>3</v>
      </c>
      <c r="J223">
        <v>1</v>
      </c>
      <c r="K223">
        <v>1</v>
      </c>
      <c r="L223" s="4">
        <v>141842.12</v>
      </c>
      <c r="M223">
        <v>1</v>
      </c>
      <c r="N223" s="4">
        <f t="shared" si="6"/>
        <v>-1.5519770194454876</v>
      </c>
      <c r="O223" s="4">
        <f t="shared" si="7"/>
        <v>1.4569389335520075</v>
      </c>
      <c r="P223" t="str" cm="1">
        <f t="array" ref="P223">_xlfn.IFS(AND(F223&gt;15,F223&lt;=30), "Youngsters", AND(F223&gt;30,F223&lt;=50), "Adults", AND(F223&gt;50,F223&lt;=70),"Old person", AND(F223&gt;70, F223&lt;92), "Senior Citizens")</f>
        <v>Youngsters</v>
      </c>
      <c r="Q223" t="str" cm="1">
        <f t="array" ref="Q223">_xlfn.IFS(G223=0,"No Tenure Period",AND(G223&gt;0,G223&lt;=3),"Less Tenure Period",AND(G223&gt;3,G223&lt;=7),"More Tenure Period",AND(G223&gt;7,G223&lt;=10),"Large Tenure Period")</f>
        <v>More Tenure Period</v>
      </c>
      <c r="R223" t="str" cm="1">
        <f t="array" ref="R223">_xlfn.IFS(AND(C223&gt;300,C223&lt;=525),"1 Star",AND(C223&gt;525,C223&lt;=600),"2 Star",AND(C223&gt;600,C223&lt;=700),"3 Star",AND(C223&gt;700,C223&lt;=750),"4 Star",AND(C223&gt;750,C223&lt;=900),"5 Star")</f>
        <v>4 Star</v>
      </c>
      <c r="S223" cm="1">
        <f t="array" ref="S223">_xlfn.IFS(E223="Male",1,E223="Female",2)</f>
        <v>2</v>
      </c>
      <c r="T223" cm="1">
        <f t="array" ref="T223">_xlfn.IFS(D223="France",1,D223="Germany",2,D223="Spain",3)</f>
        <v>1</v>
      </c>
    </row>
    <row r="224" spans="1:20" x14ac:dyDescent="0.3">
      <c r="A224">
        <v>224</v>
      </c>
      <c r="B224" t="s">
        <v>20</v>
      </c>
      <c r="C224" s="5">
        <v>639</v>
      </c>
      <c r="D224" t="s">
        <v>22</v>
      </c>
      <c r="E224" t="s">
        <v>25</v>
      </c>
      <c r="F224">
        <v>33</v>
      </c>
      <c r="G224" s="5">
        <v>3</v>
      </c>
      <c r="H224" s="4">
        <v>96088.43</v>
      </c>
      <c r="I224" s="5">
        <v>1</v>
      </c>
      <c r="J224">
        <v>1</v>
      </c>
      <c r="K224">
        <v>0</v>
      </c>
      <c r="L224" s="4">
        <v>43587.17</v>
      </c>
      <c r="M224">
        <v>0</v>
      </c>
      <c r="N224" s="4">
        <f t="shared" si="6"/>
        <v>-0.44878857902069774</v>
      </c>
      <c r="O224" s="4">
        <f t="shared" si="7"/>
        <v>-0.94405255779347652</v>
      </c>
      <c r="P224" t="str" cm="1">
        <f t="array" ref="P224">_xlfn.IFS(AND(F224&gt;15,F224&lt;=30), "Youngsters", AND(F224&gt;30,F224&lt;=50), "Adults", AND(F224&gt;50,F224&lt;=70),"Old person", AND(F224&gt;70, F224&lt;92), "Senior Citizens")</f>
        <v>Adults</v>
      </c>
      <c r="Q224" t="str" cm="1">
        <f t="array" ref="Q224">_xlfn.IFS(G224=0,"No Tenure Period",AND(G224&gt;0,G224&lt;=3),"Less Tenure Period",AND(G224&gt;3,G224&lt;=7),"More Tenure Period",AND(G224&gt;7,G224&lt;=10),"Large Tenure Period")</f>
        <v>Less Tenure Period</v>
      </c>
      <c r="R224" t="str" cm="1">
        <f t="array" ref="R224">_xlfn.IFS(AND(C224&gt;300,C224&lt;=525),"1 Star",AND(C224&gt;525,C224&lt;=600),"2 Star",AND(C224&gt;600,C224&lt;=700),"3 Star",AND(C224&gt;700,C224&lt;=750),"4 Star",AND(C224&gt;750,C224&lt;=900),"5 Star")</f>
        <v>3 Star</v>
      </c>
      <c r="S224" cm="1">
        <f t="array" ref="S224">_xlfn.IFS(E224="Male",1,E224="Female",2)</f>
        <v>1</v>
      </c>
      <c r="T224" cm="1">
        <f t="array" ref="T224">_xlfn.IFS(D224="France",1,D224="Germany",2,D224="Spain",3)</f>
        <v>2</v>
      </c>
    </row>
    <row r="225" spans="1:20" x14ac:dyDescent="0.3">
      <c r="A225">
        <v>225</v>
      </c>
      <c r="B225" t="s">
        <v>21</v>
      </c>
      <c r="C225" s="5">
        <v>760</v>
      </c>
      <c r="D225" t="s">
        <v>24</v>
      </c>
      <c r="E225" t="s">
        <v>25</v>
      </c>
      <c r="F225">
        <v>35</v>
      </c>
      <c r="G225" s="5">
        <v>9</v>
      </c>
      <c r="H225" s="4">
        <v>241023.24</v>
      </c>
      <c r="I225" s="5">
        <v>4</v>
      </c>
      <c r="J225">
        <v>0</v>
      </c>
      <c r="K225">
        <v>0</v>
      </c>
      <c r="L225" s="4">
        <v>97832.3</v>
      </c>
      <c r="M225">
        <v>0</v>
      </c>
      <c r="N225" s="4">
        <f t="shared" si="6"/>
        <v>1.5649640355470158</v>
      </c>
      <c r="O225" s="4">
        <f t="shared" si="7"/>
        <v>0.38149995204882325</v>
      </c>
      <c r="P225" t="str" cm="1">
        <f t="array" ref="P225">_xlfn.IFS(AND(F225&gt;15,F225&lt;=30), "Youngsters", AND(F225&gt;30,F225&lt;=50), "Adults", AND(F225&gt;50,F225&lt;=70),"Old person", AND(F225&gt;70, F225&lt;92), "Senior Citizens")</f>
        <v>Adults</v>
      </c>
      <c r="Q225" t="str" cm="1">
        <f t="array" ref="Q225">_xlfn.IFS(G225=0,"No Tenure Period",AND(G225&gt;0,G225&lt;=3),"Less Tenure Period",AND(G225&gt;3,G225&lt;=7),"More Tenure Period",AND(G225&gt;7,G225&lt;=10),"Large Tenure Period")</f>
        <v>Large Tenure Period</v>
      </c>
      <c r="R225" t="str" cm="1">
        <f t="array" ref="R225">_xlfn.IFS(AND(C225&gt;300,C225&lt;=525),"1 Star",AND(C225&gt;525,C225&lt;=600),"2 Star",AND(C225&gt;600,C225&lt;=700),"3 Star",AND(C225&gt;700,C225&lt;=750),"4 Star",AND(C225&gt;750,C225&lt;=900),"5 Star")</f>
        <v>5 Star</v>
      </c>
      <c r="S225" cm="1">
        <f t="array" ref="S225">_xlfn.IFS(E225="Male",1,E225="Female",2)</f>
        <v>1</v>
      </c>
      <c r="T225" cm="1">
        <f t="array" ref="T225">_xlfn.IFS(D225="France",1,D225="Germany",2,D225="Spain",3)</f>
        <v>1</v>
      </c>
    </row>
    <row r="226" spans="1:20" x14ac:dyDescent="0.3">
      <c r="A226">
        <v>226</v>
      </c>
      <c r="B226" t="s">
        <v>12</v>
      </c>
      <c r="C226" s="5">
        <v>449</v>
      </c>
      <c r="D226" t="s">
        <v>23</v>
      </c>
      <c r="E226" t="s">
        <v>25</v>
      </c>
      <c r="F226">
        <v>71</v>
      </c>
      <c r="G226" s="5">
        <v>9</v>
      </c>
      <c r="H226" s="4">
        <v>190983.34</v>
      </c>
      <c r="I226" s="5">
        <v>3</v>
      </c>
      <c r="J226">
        <v>0</v>
      </c>
      <c r="K226">
        <v>1</v>
      </c>
      <c r="L226" s="4">
        <v>94496.24</v>
      </c>
      <c r="M226">
        <v>0</v>
      </c>
      <c r="N226" s="4">
        <f t="shared" si="6"/>
        <v>0.8696998719019472</v>
      </c>
      <c r="O226" s="4">
        <f t="shared" si="7"/>
        <v>0.29997885133463009</v>
      </c>
      <c r="P226" t="str" cm="1">
        <f t="array" ref="P226">_xlfn.IFS(AND(F226&gt;15,F226&lt;=30), "Youngsters", AND(F226&gt;30,F226&lt;=50), "Adults", AND(F226&gt;50,F226&lt;=70),"Old person", AND(F226&gt;70, F226&lt;92), "Senior Citizens")</f>
        <v>Senior Citizens</v>
      </c>
      <c r="Q226" t="str" cm="1">
        <f t="array" ref="Q226">_xlfn.IFS(G226=0,"No Tenure Period",AND(G226&gt;0,G226&lt;=3),"Less Tenure Period",AND(G226&gt;3,G226&lt;=7),"More Tenure Period",AND(G226&gt;7,G226&lt;=10),"Large Tenure Period")</f>
        <v>Large Tenure Period</v>
      </c>
      <c r="R226" t="str" cm="1">
        <f t="array" ref="R226">_xlfn.IFS(AND(C226&gt;300,C226&lt;=525),"1 Star",AND(C226&gt;525,C226&lt;=600),"2 Star",AND(C226&gt;600,C226&lt;=700),"3 Star",AND(C226&gt;700,C226&lt;=750),"4 Star",AND(C226&gt;750,C226&lt;=900),"5 Star")</f>
        <v>1 Star</v>
      </c>
      <c r="S226" cm="1">
        <f t="array" ref="S226">_xlfn.IFS(E226="Male",1,E226="Female",2)</f>
        <v>1</v>
      </c>
      <c r="T226" cm="1">
        <f t="array" ref="T226">_xlfn.IFS(D226="France",1,D226="Germany",2,D226="Spain",3)</f>
        <v>3</v>
      </c>
    </row>
    <row r="227" spans="1:20" x14ac:dyDescent="0.3">
      <c r="A227">
        <v>227</v>
      </c>
      <c r="B227" t="s">
        <v>20</v>
      </c>
      <c r="C227" s="5">
        <v>567</v>
      </c>
      <c r="D227" t="s">
        <v>23</v>
      </c>
      <c r="E227" t="s">
        <v>25</v>
      </c>
      <c r="F227">
        <v>40</v>
      </c>
      <c r="G227" s="5">
        <v>5</v>
      </c>
      <c r="H227" s="4">
        <v>49223</v>
      </c>
      <c r="I227" s="5">
        <v>2</v>
      </c>
      <c r="J227">
        <v>0</v>
      </c>
      <c r="K227">
        <v>1</v>
      </c>
      <c r="L227" s="4">
        <v>111037.23</v>
      </c>
      <c r="M227">
        <v>0</v>
      </c>
      <c r="N227" s="4">
        <f t="shared" si="6"/>
        <v>-1.0999460352269752</v>
      </c>
      <c r="O227" s="4">
        <f t="shared" si="7"/>
        <v>0.70418012820089193</v>
      </c>
      <c r="P227" t="str" cm="1">
        <f t="array" ref="P227">_xlfn.IFS(AND(F227&gt;15,F227&lt;=30), "Youngsters", AND(F227&gt;30,F227&lt;=50), "Adults", AND(F227&gt;50,F227&lt;=70),"Old person", AND(F227&gt;70, F227&lt;92), "Senior Citizens")</f>
        <v>Adults</v>
      </c>
      <c r="Q227" t="str" cm="1">
        <f t="array" ref="Q227">_xlfn.IFS(G227=0,"No Tenure Period",AND(G227&gt;0,G227&lt;=3),"Less Tenure Period",AND(G227&gt;3,G227&lt;=7),"More Tenure Period",AND(G227&gt;7,G227&lt;=10),"Large Tenure Period")</f>
        <v>More Tenure Period</v>
      </c>
      <c r="R227" t="str" cm="1">
        <f t="array" ref="R227">_xlfn.IFS(AND(C227&gt;300,C227&lt;=525),"1 Star",AND(C227&gt;525,C227&lt;=600),"2 Star",AND(C227&gt;600,C227&lt;=700),"3 Star",AND(C227&gt;700,C227&lt;=750),"4 Star",AND(C227&gt;750,C227&lt;=900),"5 Star")</f>
        <v>2 Star</v>
      </c>
      <c r="S227" cm="1">
        <f t="array" ref="S227">_xlfn.IFS(E227="Male",1,E227="Female",2)</f>
        <v>1</v>
      </c>
      <c r="T227" cm="1">
        <f t="array" ref="T227">_xlfn.IFS(D227="France",1,D227="Germany",2,D227="Spain",3)</f>
        <v>3</v>
      </c>
    </row>
    <row r="228" spans="1:20" x14ac:dyDescent="0.3">
      <c r="A228">
        <v>228</v>
      </c>
      <c r="B228" t="s">
        <v>18</v>
      </c>
      <c r="C228" s="5">
        <v>656</v>
      </c>
      <c r="D228" t="s">
        <v>22</v>
      </c>
      <c r="E228" t="s">
        <v>25</v>
      </c>
      <c r="F228">
        <v>65</v>
      </c>
      <c r="G228" s="5">
        <v>6</v>
      </c>
      <c r="H228" s="4">
        <v>244926.41</v>
      </c>
      <c r="I228" s="5">
        <v>3</v>
      </c>
      <c r="J228">
        <v>0</v>
      </c>
      <c r="K228">
        <v>1</v>
      </c>
      <c r="L228" s="4">
        <v>129494.46</v>
      </c>
      <c r="M228">
        <v>1</v>
      </c>
      <c r="N228" s="4">
        <f t="shared" si="6"/>
        <v>1.6191954433958431</v>
      </c>
      <c r="O228" s="4">
        <f t="shared" si="7"/>
        <v>1.1552072996951184</v>
      </c>
      <c r="P228" t="str" cm="1">
        <f t="array" ref="P228">_xlfn.IFS(AND(F228&gt;15,F228&lt;=30), "Youngsters", AND(F228&gt;30,F228&lt;=50), "Adults", AND(F228&gt;50,F228&lt;=70),"Old person", AND(F228&gt;70, F228&lt;92), "Senior Citizens")</f>
        <v>Old person</v>
      </c>
      <c r="Q228" t="str" cm="1">
        <f t="array" ref="Q228">_xlfn.IFS(G228=0,"No Tenure Period",AND(G228&gt;0,G228&lt;=3),"Less Tenure Period",AND(G228&gt;3,G228&lt;=7),"More Tenure Period",AND(G228&gt;7,G228&lt;=10),"Large Tenure Period")</f>
        <v>More Tenure Period</v>
      </c>
      <c r="R228" t="str" cm="1">
        <f t="array" ref="R228">_xlfn.IFS(AND(C228&gt;300,C228&lt;=525),"1 Star",AND(C228&gt;525,C228&lt;=600),"2 Star",AND(C228&gt;600,C228&lt;=700),"3 Star",AND(C228&gt;700,C228&lt;=750),"4 Star",AND(C228&gt;750,C228&lt;=900),"5 Star")</f>
        <v>3 Star</v>
      </c>
      <c r="S228" cm="1">
        <f t="array" ref="S228">_xlfn.IFS(E228="Male",1,E228="Female",2)</f>
        <v>1</v>
      </c>
      <c r="T228" cm="1">
        <f t="array" ref="T228">_xlfn.IFS(D228="France",1,D228="Germany",2,D228="Spain",3)</f>
        <v>2</v>
      </c>
    </row>
    <row r="229" spans="1:20" x14ac:dyDescent="0.3">
      <c r="A229">
        <v>229</v>
      </c>
      <c r="B229" t="s">
        <v>13</v>
      </c>
      <c r="C229" s="5">
        <v>694</v>
      </c>
      <c r="D229" t="s">
        <v>23</v>
      </c>
      <c r="E229" t="s">
        <v>25</v>
      </c>
      <c r="F229">
        <v>84</v>
      </c>
      <c r="G229" s="5">
        <v>8</v>
      </c>
      <c r="H229" s="4">
        <v>175604.34</v>
      </c>
      <c r="I229" s="5">
        <v>4</v>
      </c>
      <c r="J229">
        <v>0</v>
      </c>
      <c r="K229">
        <v>1</v>
      </c>
      <c r="L229" s="4">
        <v>45375.97</v>
      </c>
      <c r="M229">
        <v>1</v>
      </c>
      <c r="N229" s="4">
        <f t="shared" si="6"/>
        <v>0.65602103615891993</v>
      </c>
      <c r="O229" s="4">
        <f t="shared" si="7"/>
        <v>-0.9003408304991386</v>
      </c>
      <c r="P229" t="str" cm="1">
        <f t="array" ref="P229">_xlfn.IFS(AND(F229&gt;15,F229&lt;=30), "Youngsters", AND(F229&gt;30,F229&lt;=50), "Adults", AND(F229&gt;50,F229&lt;=70),"Old person", AND(F229&gt;70, F229&lt;92), "Senior Citizens")</f>
        <v>Senior Citizens</v>
      </c>
      <c r="Q229" t="str" cm="1">
        <f t="array" ref="Q229">_xlfn.IFS(G229=0,"No Tenure Period",AND(G229&gt;0,G229&lt;=3),"Less Tenure Period",AND(G229&gt;3,G229&lt;=7),"More Tenure Period",AND(G229&gt;7,G229&lt;=10),"Large Tenure Period")</f>
        <v>Large Tenure Period</v>
      </c>
      <c r="R229" t="str" cm="1">
        <f t="array" ref="R229">_xlfn.IFS(AND(C229&gt;300,C229&lt;=525),"1 Star",AND(C229&gt;525,C229&lt;=600),"2 Star",AND(C229&gt;600,C229&lt;=700),"3 Star",AND(C229&gt;700,C229&lt;=750),"4 Star",AND(C229&gt;750,C229&lt;=900),"5 Star")</f>
        <v>3 Star</v>
      </c>
      <c r="S229" cm="1">
        <f t="array" ref="S229">_xlfn.IFS(E229="Male",1,E229="Female",2)</f>
        <v>1</v>
      </c>
      <c r="T229" cm="1">
        <f t="array" ref="T229">_xlfn.IFS(D229="France",1,D229="Germany",2,D229="Spain",3)</f>
        <v>3</v>
      </c>
    </row>
    <row r="230" spans="1:20" x14ac:dyDescent="0.3">
      <c r="A230">
        <v>230</v>
      </c>
      <c r="B230" t="s">
        <v>17</v>
      </c>
      <c r="C230" s="5">
        <v>560</v>
      </c>
      <c r="D230" t="s">
        <v>22</v>
      </c>
      <c r="E230" t="s">
        <v>26</v>
      </c>
      <c r="F230">
        <v>29</v>
      </c>
      <c r="G230" s="5">
        <v>10</v>
      </c>
      <c r="H230" s="4">
        <v>199808.98</v>
      </c>
      <c r="I230" s="5">
        <v>1</v>
      </c>
      <c r="J230">
        <v>1</v>
      </c>
      <c r="K230">
        <v>1</v>
      </c>
      <c r="L230" s="4">
        <v>38969.33</v>
      </c>
      <c r="M230">
        <v>1</v>
      </c>
      <c r="N230" s="4">
        <f t="shared" si="6"/>
        <v>0.99232504128143184</v>
      </c>
      <c r="O230" s="4">
        <f t="shared" si="7"/>
        <v>-1.0568956720426295</v>
      </c>
      <c r="P230" t="str" cm="1">
        <f t="array" ref="P230">_xlfn.IFS(AND(F230&gt;15,F230&lt;=30), "Youngsters", AND(F230&gt;30,F230&lt;=50), "Adults", AND(F230&gt;50,F230&lt;=70),"Old person", AND(F230&gt;70, F230&lt;92), "Senior Citizens")</f>
        <v>Youngsters</v>
      </c>
      <c r="Q230" t="str" cm="1">
        <f t="array" ref="Q230">_xlfn.IFS(G230=0,"No Tenure Period",AND(G230&gt;0,G230&lt;=3),"Less Tenure Period",AND(G230&gt;3,G230&lt;=7),"More Tenure Period",AND(G230&gt;7,G230&lt;=10),"Large Tenure Period")</f>
        <v>Large Tenure Period</v>
      </c>
      <c r="R230" t="str" cm="1">
        <f t="array" ref="R230">_xlfn.IFS(AND(C230&gt;300,C230&lt;=525),"1 Star",AND(C230&gt;525,C230&lt;=600),"2 Star",AND(C230&gt;600,C230&lt;=700),"3 Star",AND(C230&gt;700,C230&lt;=750),"4 Star",AND(C230&gt;750,C230&lt;=900),"5 Star")</f>
        <v>2 Star</v>
      </c>
      <c r="S230" cm="1">
        <f t="array" ref="S230">_xlfn.IFS(E230="Male",1,E230="Female",2)</f>
        <v>2</v>
      </c>
      <c r="T230" cm="1">
        <f t="array" ref="T230">_xlfn.IFS(D230="France",1,D230="Germany",2,D230="Spain",3)</f>
        <v>2</v>
      </c>
    </row>
    <row r="231" spans="1:20" x14ac:dyDescent="0.3">
      <c r="A231">
        <v>231</v>
      </c>
      <c r="B231" t="s">
        <v>12</v>
      </c>
      <c r="C231" s="5">
        <v>626</v>
      </c>
      <c r="D231" t="s">
        <v>22</v>
      </c>
      <c r="E231" t="s">
        <v>25</v>
      </c>
      <c r="F231">
        <v>27</v>
      </c>
      <c r="G231" s="5">
        <v>9</v>
      </c>
      <c r="H231" s="4">
        <v>13467.28</v>
      </c>
      <c r="I231" s="5">
        <v>1</v>
      </c>
      <c r="J231">
        <v>0</v>
      </c>
      <c r="K231">
        <v>0</v>
      </c>
      <c r="L231" s="4">
        <v>114472.4</v>
      </c>
      <c r="M231">
        <v>1</v>
      </c>
      <c r="N231" s="4">
        <f t="shared" si="6"/>
        <v>-1.596743006470468</v>
      </c>
      <c r="O231" s="4">
        <f t="shared" si="7"/>
        <v>0.78812311470004814</v>
      </c>
      <c r="P231" t="str" cm="1">
        <f t="array" ref="P231">_xlfn.IFS(AND(F231&gt;15,F231&lt;=30), "Youngsters", AND(F231&gt;30,F231&lt;=50), "Adults", AND(F231&gt;50,F231&lt;=70),"Old person", AND(F231&gt;70, F231&lt;92), "Senior Citizens")</f>
        <v>Youngsters</v>
      </c>
      <c r="Q231" t="str" cm="1">
        <f t="array" ref="Q231">_xlfn.IFS(G231=0,"No Tenure Period",AND(G231&gt;0,G231&lt;=3),"Less Tenure Period",AND(G231&gt;3,G231&lt;=7),"More Tenure Period",AND(G231&gt;7,G231&lt;=10),"Large Tenure Period")</f>
        <v>Large Tenure Period</v>
      </c>
      <c r="R231" t="str" cm="1">
        <f t="array" ref="R231">_xlfn.IFS(AND(C231&gt;300,C231&lt;=525),"1 Star",AND(C231&gt;525,C231&lt;=600),"2 Star",AND(C231&gt;600,C231&lt;=700),"3 Star",AND(C231&gt;700,C231&lt;=750),"4 Star",AND(C231&gt;750,C231&lt;=900),"5 Star")</f>
        <v>3 Star</v>
      </c>
      <c r="S231" cm="1">
        <f t="array" ref="S231">_xlfn.IFS(E231="Male",1,E231="Female",2)</f>
        <v>1</v>
      </c>
      <c r="T231" cm="1">
        <f t="array" ref="T231">_xlfn.IFS(D231="France",1,D231="Germany",2,D231="Spain",3)</f>
        <v>2</v>
      </c>
    </row>
    <row r="232" spans="1:20" x14ac:dyDescent="0.3">
      <c r="A232">
        <v>232</v>
      </c>
      <c r="B232" t="s">
        <v>12</v>
      </c>
      <c r="C232" s="5">
        <v>572</v>
      </c>
      <c r="D232" t="s">
        <v>22</v>
      </c>
      <c r="E232" t="s">
        <v>26</v>
      </c>
      <c r="F232">
        <v>58</v>
      </c>
      <c r="G232" s="5">
        <v>5</v>
      </c>
      <c r="H232" s="4">
        <v>180664.35</v>
      </c>
      <c r="I232" s="5">
        <v>1</v>
      </c>
      <c r="J232">
        <v>1</v>
      </c>
      <c r="K232">
        <v>1</v>
      </c>
      <c r="L232" s="4">
        <v>36108.42</v>
      </c>
      <c r="M232">
        <v>0</v>
      </c>
      <c r="N232" s="4">
        <f t="shared" si="6"/>
        <v>0.7263258053668058</v>
      </c>
      <c r="O232" s="4">
        <f t="shared" si="7"/>
        <v>-1.1268058451942644</v>
      </c>
      <c r="P232" t="str" cm="1">
        <f t="array" ref="P232">_xlfn.IFS(AND(F232&gt;15,F232&lt;=30), "Youngsters", AND(F232&gt;30,F232&lt;=50), "Adults", AND(F232&gt;50,F232&lt;=70),"Old person", AND(F232&gt;70, F232&lt;92), "Senior Citizens")</f>
        <v>Old person</v>
      </c>
      <c r="Q232" t="str" cm="1">
        <f t="array" ref="Q232">_xlfn.IFS(G232=0,"No Tenure Period",AND(G232&gt;0,G232&lt;=3),"Less Tenure Period",AND(G232&gt;3,G232&lt;=7),"More Tenure Period",AND(G232&gt;7,G232&lt;=10),"Large Tenure Period")</f>
        <v>More Tenure Period</v>
      </c>
      <c r="R232" t="str" cm="1">
        <f t="array" ref="R232">_xlfn.IFS(AND(C232&gt;300,C232&lt;=525),"1 Star",AND(C232&gt;525,C232&lt;=600),"2 Star",AND(C232&gt;600,C232&lt;=700),"3 Star",AND(C232&gt;700,C232&lt;=750),"4 Star",AND(C232&gt;750,C232&lt;=900),"5 Star")</f>
        <v>2 Star</v>
      </c>
      <c r="S232" cm="1">
        <f t="array" ref="S232">_xlfn.IFS(E232="Male",1,E232="Female",2)</f>
        <v>2</v>
      </c>
      <c r="T232" cm="1">
        <f t="array" ref="T232">_xlfn.IFS(D232="France",1,D232="Germany",2,D232="Spain",3)</f>
        <v>2</v>
      </c>
    </row>
    <row r="233" spans="1:20" x14ac:dyDescent="0.3">
      <c r="A233">
        <v>233</v>
      </c>
      <c r="B233" t="s">
        <v>13</v>
      </c>
      <c r="C233" s="5">
        <v>506</v>
      </c>
      <c r="D233" t="s">
        <v>23</v>
      </c>
      <c r="E233" t="s">
        <v>26</v>
      </c>
      <c r="F233">
        <v>72</v>
      </c>
      <c r="G233" s="5">
        <v>5</v>
      </c>
      <c r="H233" s="4">
        <v>120906.58</v>
      </c>
      <c r="I233" s="5">
        <v>2</v>
      </c>
      <c r="J233">
        <v>1</v>
      </c>
      <c r="K233">
        <v>0</v>
      </c>
      <c r="L233" s="4">
        <v>143845.99</v>
      </c>
      <c r="M233">
        <v>1</v>
      </c>
      <c r="N233" s="4">
        <f t="shared" si="6"/>
        <v>-0.10396034589137761</v>
      </c>
      <c r="O233" s="4">
        <f t="shared" si="7"/>
        <v>1.5059061847669586</v>
      </c>
      <c r="P233" t="str" cm="1">
        <f t="array" ref="P233">_xlfn.IFS(AND(F233&gt;15,F233&lt;=30), "Youngsters", AND(F233&gt;30,F233&lt;=50), "Adults", AND(F233&gt;50,F233&lt;=70),"Old person", AND(F233&gt;70, F233&lt;92), "Senior Citizens")</f>
        <v>Senior Citizens</v>
      </c>
      <c r="Q233" t="str" cm="1">
        <f t="array" ref="Q233">_xlfn.IFS(G233=0,"No Tenure Period",AND(G233&gt;0,G233&lt;=3),"Less Tenure Period",AND(G233&gt;3,G233&lt;=7),"More Tenure Period",AND(G233&gt;7,G233&lt;=10),"Large Tenure Period")</f>
        <v>More Tenure Period</v>
      </c>
      <c r="R233" t="str" cm="1">
        <f t="array" ref="R233">_xlfn.IFS(AND(C233&gt;300,C233&lt;=525),"1 Star",AND(C233&gt;525,C233&lt;=600),"2 Star",AND(C233&gt;600,C233&lt;=700),"3 Star",AND(C233&gt;700,C233&lt;=750),"4 Star",AND(C233&gt;750,C233&lt;=900),"5 Star")</f>
        <v>1 Star</v>
      </c>
      <c r="S233" cm="1">
        <f t="array" ref="S233">_xlfn.IFS(E233="Male",1,E233="Female",2)</f>
        <v>2</v>
      </c>
      <c r="T233" cm="1">
        <f t="array" ref="T233">_xlfn.IFS(D233="France",1,D233="Germany",2,D233="Spain",3)</f>
        <v>3</v>
      </c>
    </row>
    <row r="234" spans="1:20" x14ac:dyDescent="0.3">
      <c r="A234">
        <v>234</v>
      </c>
      <c r="B234" t="s">
        <v>20</v>
      </c>
      <c r="C234" s="5">
        <v>422</v>
      </c>
      <c r="D234" t="s">
        <v>24</v>
      </c>
      <c r="E234" t="s">
        <v>26</v>
      </c>
      <c r="F234">
        <v>69</v>
      </c>
      <c r="G234" s="5">
        <v>8</v>
      </c>
      <c r="H234" s="4">
        <v>198731.58</v>
      </c>
      <c r="I234" s="5">
        <v>3</v>
      </c>
      <c r="J234">
        <v>1</v>
      </c>
      <c r="K234">
        <v>0</v>
      </c>
      <c r="L234" s="4">
        <v>37615.839999999997</v>
      </c>
      <c r="M234">
        <v>1</v>
      </c>
      <c r="N234" s="4">
        <f t="shared" si="6"/>
        <v>0.97735543482915654</v>
      </c>
      <c r="O234" s="4">
        <f t="shared" si="7"/>
        <v>-1.0899700156112866</v>
      </c>
      <c r="P234" t="str" cm="1">
        <f t="array" ref="P234">_xlfn.IFS(AND(F234&gt;15,F234&lt;=30), "Youngsters", AND(F234&gt;30,F234&lt;=50), "Adults", AND(F234&gt;50,F234&lt;=70),"Old person", AND(F234&gt;70, F234&lt;92), "Senior Citizens")</f>
        <v>Old person</v>
      </c>
      <c r="Q234" t="str" cm="1">
        <f t="array" ref="Q234">_xlfn.IFS(G234=0,"No Tenure Period",AND(G234&gt;0,G234&lt;=3),"Less Tenure Period",AND(G234&gt;3,G234&lt;=7),"More Tenure Period",AND(G234&gt;7,G234&lt;=10),"Large Tenure Period")</f>
        <v>Large Tenure Period</v>
      </c>
      <c r="R234" t="str" cm="1">
        <f t="array" ref="R234">_xlfn.IFS(AND(C234&gt;300,C234&lt;=525),"1 Star",AND(C234&gt;525,C234&lt;=600),"2 Star",AND(C234&gt;600,C234&lt;=700),"3 Star",AND(C234&gt;700,C234&lt;=750),"4 Star",AND(C234&gt;750,C234&lt;=900),"5 Star")</f>
        <v>1 Star</v>
      </c>
      <c r="S234" cm="1">
        <f t="array" ref="S234">_xlfn.IFS(E234="Male",1,E234="Female",2)</f>
        <v>2</v>
      </c>
      <c r="T234" cm="1">
        <f t="array" ref="T234">_xlfn.IFS(D234="France",1,D234="Germany",2,D234="Spain",3)</f>
        <v>1</v>
      </c>
    </row>
    <row r="235" spans="1:20" x14ac:dyDescent="0.3">
      <c r="A235">
        <v>235</v>
      </c>
      <c r="B235" t="s">
        <v>21</v>
      </c>
      <c r="C235" s="5">
        <v>624</v>
      </c>
      <c r="D235" t="s">
        <v>24</v>
      </c>
      <c r="E235" t="s">
        <v>25</v>
      </c>
      <c r="F235">
        <v>65</v>
      </c>
      <c r="G235" s="5">
        <v>4</v>
      </c>
      <c r="H235" s="4">
        <v>179014.43</v>
      </c>
      <c r="I235" s="5">
        <v>1</v>
      </c>
      <c r="J235">
        <v>1</v>
      </c>
      <c r="K235">
        <v>0</v>
      </c>
      <c r="L235" s="4">
        <v>83705.740000000005</v>
      </c>
      <c r="M235">
        <v>1</v>
      </c>
      <c r="N235" s="4">
        <f t="shared" si="6"/>
        <v>0.70340149398965923</v>
      </c>
      <c r="O235" s="4">
        <f t="shared" si="7"/>
        <v>3.6298510676338137E-2</v>
      </c>
      <c r="P235" t="str" cm="1">
        <f t="array" ref="P235">_xlfn.IFS(AND(F235&gt;15,F235&lt;=30), "Youngsters", AND(F235&gt;30,F235&lt;=50), "Adults", AND(F235&gt;50,F235&lt;=70),"Old person", AND(F235&gt;70, F235&lt;92), "Senior Citizens")</f>
        <v>Old person</v>
      </c>
      <c r="Q235" t="str" cm="1">
        <f t="array" ref="Q235">_xlfn.IFS(G235=0,"No Tenure Period",AND(G235&gt;0,G235&lt;=3),"Less Tenure Period",AND(G235&gt;3,G235&lt;=7),"More Tenure Period",AND(G235&gt;7,G235&lt;=10),"Large Tenure Period")</f>
        <v>More Tenure Period</v>
      </c>
      <c r="R235" t="str" cm="1">
        <f t="array" ref="R235">_xlfn.IFS(AND(C235&gt;300,C235&lt;=525),"1 Star",AND(C235&gt;525,C235&lt;=600),"2 Star",AND(C235&gt;600,C235&lt;=700),"3 Star",AND(C235&gt;700,C235&lt;=750),"4 Star",AND(C235&gt;750,C235&lt;=900),"5 Star")</f>
        <v>3 Star</v>
      </c>
      <c r="S235" cm="1">
        <f t="array" ref="S235">_xlfn.IFS(E235="Male",1,E235="Female",2)</f>
        <v>1</v>
      </c>
      <c r="T235" cm="1">
        <f t="array" ref="T235">_xlfn.IFS(D235="France",1,D235="Germany",2,D235="Spain",3)</f>
        <v>1</v>
      </c>
    </row>
    <row r="236" spans="1:20" x14ac:dyDescent="0.3">
      <c r="A236">
        <v>236</v>
      </c>
      <c r="B236" t="s">
        <v>21</v>
      </c>
      <c r="C236" s="5">
        <v>759</v>
      </c>
      <c r="D236" t="s">
        <v>23</v>
      </c>
      <c r="E236" t="s">
        <v>25</v>
      </c>
      <c r="F236">
        <v>22</v>
      </c>
      <c r="G236" s="5">
        <v>5</v>
      </c>
      <c r="H236" s="4">
        <v>44104.69</v>
      </c>
      <c r="I236" s="5">
        <v>4</v>
      </c>
      <c r="J236">
        <v>1</v>
      </c>
      <c r="K236">
        <v>1</v>
      </c>
      <c r="L236" s="4">
        <v>101878.09</v>
      </c>
      <c r="M236">
        <v>1</v>
      </c>
      <c r="N236" s="4">
        <f t="shared" si="6"/>
        <v>-1.1710608360444466</v>
      </c>
      <c r="O236" s="4">
        <f t="shared" si="7"/>
        <v>0.48036425726469917</v>
      </c>
      <c r="P236" t="str" cm="1">
        <f t="array" ref="P236">_xlfn.IFS(AND(F236&gt;15,F236&lt;=30), "Youngsters", AND(F236&gt;30,F236&lt;=50), "Adults", AND(F236&gt;50,F236&lt;=70),"Old person", AND(F236&gt;70, F236&lt;92), "Senior Citizens")</f>
        <v>Youngsters</v>
      </c>
      <c r="Q236" t="str" cm="1">
        <f t="array" ref="Q236">_xlfn.IFS(G236=0,"No Tenure Period",AND(G236&gt;0,G236&lt;=3),"Less Tenure Period",AND(G236&gt;3,G236&lt;=7),"More Tenure Period",AND(G236&gt;7,G236&lt;=10),"Large Tenure Period")</f>
        <v>More Tenure Period</v>
      </c>
      <c r="R236" t="str" cm="1">
        <f t="array" ref="R236">_xlfn.IFS(AND(C236&gt;300,C236&lt;=525),"1 Star",AND(C236&gt;525,C236&lt;=600),"2 Star",AND(C236&gt;600,C236&lt;=700),"3 Star",AND(C236&gt;700,C236&lt;=750),"4 Star",AND(C236&gt;750,C236&lt;=900),"5 Star")</f>
        <v>5 Star</v>
      </c>
      <c r="S236" cm="1">
        <f t="array" ref="S236">_xlfn.IFS(E236="Male",1,E236="Female",2)</f>
        <v>1</v>
      </c>
      <c r="T236" cm="1">
        <f t="array" ref="T236">_xlfn.IFS(D236="France",1,D236="Germany",2,D236="Spain",3)</f>
        <v>3</v>
      </c>
    </row>
    <row r="237" spans="1:20" x14ac:dyDescent="0.3">
      <c r="A237">
        <v>237</v>
      </c>
      <c r="B237" t="s">
        <v>13</v>
      </c>
      <c r="C237" s="5">
        <v>758</v>
      </c>
      <c r="D237" t="s">
        <v>24</v>
      </c>
      <c r="E237" t="s">
        <v>26</v>
      </c>
      <c r="F237">
        <v>28</v>
      </c>
      <c r="G237" s="5">
        <v>0</v>
      </c>
      <c r="H237" s="4">
        <v>229680.01</v>
      </c>
      <c r="I237" s="5">
        <v>1</v>
      </c>
      <c r="J237">
        <v>1</v>
      </c>
      <c r="K237">
        <v>0</v>
      </c>
      <c r="L237" s="4">
        <v>33894.089999999997</v>
      </c>
      <c r="M237">
        <v>0</v>
      </c>
      <c r="N237" s="4">
        <f t="shared" si="6"/>
        <v>1.4073589780032629</v>
      </c>
      <c r="O237" s="4">
        <f t="shared" si="7"/>
        <v>-1.1809159687964956</v>
      </c>
      <c r="P237" t="str" cm="1">
        <f t="array" ref="P237">_xlfn.IFS(AND(F237&gt;15,F237&lt;=30), "Youngsters", AND(F237&gt;30,F237&lt;=50), "Adults", AND(F237&gt;50,F237&lt;=70),"Old person", AND(F237&gt;70, F237&lt;92), "Senior Citizens")</f>
        <v>Youngsters</v>
      </c>
      <c r="Q237" t="str" cm="1">
        <f t="array" ref="Q237">_xlfn.IFS(G237=0,"No Tenure Period",AND(G237&gt;0,G237&lt;=3),"Less Tenure Period",AND(G237&gt;3,G237&lt;=7),"More Tenure Period",AND(G237&gt;7,G237&lt;=10),"Large Tenure Period")</f>
        <v>No Tenure Period</v>
      </c>
      <c r="R237" t="str" cm="1">
        <f t="array" ref="R237">_xlfn.IFS(AND(C237&gt;300,C237&lt;=525),"1 Star",AND(C237&gt;525,C237&lt;=600),"2 Star",AND(C237&gt;600,C237&lt;=700),"3 Star",AND(C237&gt;700,C237&lt;=750),"4 Star",AND(C237&gt;750,C237&lt;=900),"5 Star")</f>
        <v>5 Star</v>
      </c>
      <c r="S237" cm="1">
        <f t="array" ref="S237">_xlfn.IFS(E237="Male",1,E237="Female",2)</f>
        <v>2</v>
      </c>
      <c r="T237" cm="1">
        <f t="array" ref="T237">_xlfn.IFS(D237="France",1,D237="Germany",2,D237="Spain",3)</f>
        <v>1</v>
      </c>
    </row>
    <row r="238" spans="1:20" x14ac:dyDescent="0.3">
      <c r="A238">
        <v>238</v>
      </c>
      <c r="B238" t="s">
        <v>14</v>
      </c>
      <c r="C238" s="5">
        <v>389</v>
      </c>
      <c r="D238" t="s">
        <v>24</v>
      </c>
      <c r="E238" t="s">
        <v>26</v>
      </c>
      <c r="F238">
        <v>24</v>
      </c>
      <c r="G238" s="5">
        <v>3</v>
      </c>
      <c r="H238" s="4">
        <v>144426.62</v>
      </c>
      <c r="I238" s="5">
        <v>1</v>
      </c>
      <c r="J238">
        <v>1</v>
      </c>
      <c r="K238">
        <v>0</v>
      </c>
      <c r="L238" s="4">
        <v>64031.99</v>
      </c>
      <c r="M238">
        <v>0</v>
      </c>
      <c r="N238" s="4">
        <f t="shared" si="6"/>
        <v>0.22283169285167653</v>
      </c>
      <c r="O238" s="4">
        <f t="shared" si="7"/>
        <v>-0.4444559587204529</v>
      </c>
      <c r="P238" t="str" cm="1">
        <f t="array" ref="P238">_xlfn.IFS(AND(F238&gt;15,F238&lt;=30), "Youngsters", AND(F238&gt;30,F238&lt;=50), "Adults", AND(F238&gt;50,F238&lt;=70),"Old person", AND(F238&gt;70, F238&lt;92), "Senior Citizens")</f>
        <v>Youngsters</v>
      </c>
      <c r="Q238" t="str" cm="1">
        <f t="array" ref="Q238">_xlfn.IFS(G238=0,"No Tenure Period",AND(G238&gt;0,G238&lt;=3),"Less Tenure Period",AND(G238&gt;3,G238&lt;=7),"More Tenure Period",AND(G238&gt;7,G238&lt;=10),"Large Tenure Period")</f>
        <v>Less Tenure Period</v>
      </c>
      <c r="R238" t="str" cm="1">
        <f t="array" ref="R238">_xlfn.IFS(AND(C238&gt;300,C238&lt;=525),"1 Star",AND(C238&gt;525,C238&lt;=600),"2 Star",AND(C238&gt;600,C238&lt;=700),"3 Star",AND(C238&gt;700,C238&lt;=750),"4 Star",AND(C238&gt;750,C238&lt;=900),"5 Star")</f>
        <v>1 Star</v>
      </c>
      <c r="S238" cm="1">
        <f t="array" ref="S238">_xlfn.IFS(E238="Male",1,E238="Female",2)</f>
        <v>2</v>
      </c>
      <c r="T238" cm="1">
        <f t="array" ref="T238">_xlfn.IFS(D238="France",1,D238="Germany",2,D238="Spain",3)</f>
        <v>1</v>
      </c>
    </row>
    <row r="239" spans="1:20" x14ac:dyDescent="0.3">
      <c r="A239">
        <v>239</v>
      </c>
      <c r="B239" t="s">
        <v>20</v>
      </c>
      <c r="C239" s="5">
        <v>584</v>
      </c>
      <c r="D239" t="s">
        <v>23</v>
      </c>
      <c r="E239" t="s">
        <v>26</v>
      </c>
      <c r="F239">
        <v>62</v>
      </c>
      <c r="G239" s="5">
        <v>1</v>
      </c>
      <c r="H239" s="4">
        <v>96431.53</v>
      </c>
      <c r="I239" s="5">
        <v>3</v>
      </c>
      <c r="J239">
        <v>1</v>
      </c>
      <c r="K239">
        <v>1</v>
      </c>
      <c r="L239" s="4">
        <v>119070.68</v>
      </c>
      <c r="M239">
        <v>0</v>
      </c>
      <c r="N239" s="4">
        <f t="shared" si="6"/>
        <v>-0.44402148047440509</v>
      </c>
      <c r="O239" s="4">
        <f t="shared" si="7"/>
        <v>0.90048825411362587</v>
      </c>
      <c r="P239" t="str" cm="1">
        <f t="array" ref="P239">_xlfn.IFS(AND(F239&gt;15,F239&lt;=30), "Youngsters", AND(F239&gt;30,F239&lt;=50), "Adults", AND(F239&gt;50,F239&lt;=70),"Old person", AND(F239&gt;70, F239&lt;92), "Senior Citizens")</f>
        <v>Old person</v>
      </c>
      <c r="Q239" t="str" cm="1">
        <f t="array" ref="Q239">_xlfn.IFS(G239=0,"No Tenure Period",AND(G239&gt;0,G239&lt;=3),"Less Tenure Period",AND(G239&gt;3,G239&lt;=7),"More Tenure Period",AND(G239&gt;7,G239&lt;=10),"Large Tenure Period")</f>
        <v>Less Tenure Period</v>
      </c>
      <c r="R239" t="str" cm="1">
        <f t="array" ref="R239">_xlfn.IFS(AND(C239&gt;300,C239&lt;=525),"1 Star",AND(C239&gt;525,C239&lt;=600),"2 Star",AND(C239&gt;600,C239&lt;=700),"3 Star",AND(C239&gt;700,C239&lt;=750),"4 Star",AND(C239&gt;750,C239&lt;=900),"5 Star")</f>
        <v>2 Star</v>
      </c>
      <c r="S239" cm="1">
        <f t="array" ref="S239">_xlfn.IFS(E239="Male",1,E239="Female",2)</f>
        <v>2</v>
      </c>
      <c r="T239" cm="1">
        <f t="array" ref="T239">_xlfn.IFS(D239="France",1,D239="Germany",2,D239="Spain",3)</f>
        <v>3</v>
      </c>
    </row>
    <row r="240" spans="1:20" x14ac:dyDescent="0.3">
      <c r="A240">
        <v>240</v>
      </c>
      <c r="B240" t="s">
        <v>20</v>
      </c>
      <c r="C240" s="5">
        <v>473</v>
      </c>
      <c r="D240" t="s">
        <v>24</v>
      </c>
      <c r="E240" t="s">
        <v>26</v>
      </c>
      <c r="F240">
        <v>90</v>
      </c>
      <c r="G240" s="5">
        <v>6</v>
      </c>
      <c r="H240" s="4">
        <v>56926.6</v>
      </c>
      <c r="I240" s="5">
        <v>3</v>
      </c>
      <c r="J240">
        <v>0</v>
      </c>
      <c r="K240">
        <v>0</v>
      </c>
      <c r="L240" s="4">
        <v>52021.75</v>
      </c>
      <c r="M240">
        <v>1</v>
      </c>
      <c r="N240" s="4">
        <f t="shared" si="6"/>
        <v>-0.99291070919602475</v>
      </c>
      <c r="O240" s="4">
        <f t="shared" si="7"/>
        <v>-0.73794228230025405</v>
      </c>
      <c r="P240" t="str" cm="1">
        <f t="array" ref="P240">_xlfn.IFS(AND(F240&gt;15,F240&lt;=30), "Youngsters", AND(F240&gt;30,F240&lt;=50), "Adults", AND(F240&gt;50,F240&lt;=70),"Old person", AND(F240&gt;70, F240&lt;92), "Senior Citizens")</f>
        <v>Senior Citizens</v>
      </c>
      <c r="Q240" t="str" cm="1">
        <f t="array" ref="Q240">_xlfn.IFS(G240=0,"No Tenure Period",AND(G240&gt;0,G240&lt;=3),"Less Tenure Period",AND(G240&gt;3,G240&lt;=7),"More Tenure Period",AND(G240&gt;7,G240&lt;=10),"Large Tenure Period")</f>
        <v>More Tenure Period</v>
      </c>
      <c r="R240" t="str" cm="1">
        <f t="array" ref="R240">_xlfn.IFS(AND(C240&gt;300,C240&lt;=525),"1 Star",AND(C240&gt;525,C240&lt;=600),"2 Star",AND(C240&gt;600,C240&lt;=700),"3 Star",AND(C240&gt;700,C240&lt;=750),"4 Star",AND(C240&gt;750,C240&lt;=900),"5 Star")</f>
        <v>1 Star</v>
      </c>
      <c r="S240" cm="1">
        <f t="array" ref="S240">_xlfn.IFS(E240="Male",1,E240="Female",2)</f>
        <v>2</v>
      </c>
      <c r="T240" cm="1">
        <f t="array" ref="T240">_xlfn.IFS(D240="France",1,D240="Germany",2,D240="Spain",3)</f>
        <v>1</v>
      </c>
    </row>
    <row r="241" spans="1:20" x14ac:dyDescent="0.3">
      <c r="A241">
        <v>241</v>
      </c>
      <c r="B241" t="s">
        <v>18</v>
      </c>
      <c r="C241" s="5">
        <v>634</v>
      </c>
      <c r="D241" t="s">
        <v>23</v>
      </c>
      <c r="E241" t="s">
        <v>25</v>
      </c>
      <c r="F241">
        <v>26</v>
      </c>
      <c r="G241" s="5">
        <v>8</v>
      </c>
      <c r="H241" s="4">
        <v>195884.79999999999</v>
      </c>
      <c r="I241" s="5">
        <v>3</v>
      </c>
      <c r="J241">
        <v>0</v>
      </c>
      <c r="K241">
        <v>1</v>
      </c>
      <c r="L241" s="4">
        <v>58187.74</v>
      </c>
      <c r="M241">
        <v>1</v>
      </c>
      <c r="N241" s="4">
        <f t="shared" si="6"/>
        <v>0.93780171638084808</v>
      </c>
      <c r="O241" s="4">
        <f t="shared" si="7"/>
        <v>-0.58726804628750007</v>
      </c>
      <c r="P241" t="str" cm="1">
        <f t="array" ref="P241">_xlfn.IFS(AND(F241&gt;15,F241&lt;=30), "Youngsters", AND(F241&gt;30,F241&lt;=50), "Adults", AND(F241&gt;50,F241&lt;=70),"Old person", AND(F241&gt;70, F241&lt;92), "Senior Citizens")</f>
        <v>Youngsters</v>
      </c>
      <c r="Q241" t="str" cm="1">
        <f t="array" ref="Q241">_xlfn.IFS(G241=0,"No Tenure Period",AND(G241&gt;0,G241&lt;=3),"Less Tenure Period",AND(G241&gt;3,G241&lt;=7),"More Tenure Period",AND(G241&gt;7,G241&lt;=10),"Large Tenure Period")</f>
        <v>Large Tenure Period</v>
      </c>
      <c r="R241" t="str" cm="1">
        <f t="array" ref="R241">_xlfn.IFS(AND(C241&gt;300,C241&lt;=525),"1 Star",AND(C241&gt;525,C241&lt;=600),"2 Star",AND(C241&gt;600,C241&lt;=700),"3 Star",AND(C241&gt;700,C241&lt;=750),"4 Star",AND(C241&gt;750,C241&lt;=900),"5 Star")</f>
        <v>3 Star</v>
      </c>
      <c r="S241" cm="1">
        <f t="array" ref="S241">_xlfn.IFS(E241="Male",1,E241="Female",2)</f>
        <v>1</v>
      </c>
      <c r="T241" cm="1">
        <f t="array" ref="T241">_xlfn.IFS(D241="France",1,D241="Germany",2,D241="Spain",3)</f>
        <v>3</v>
      </c>
    </row>
    <row r="242" spans="1:20" x14ac:dyDescent="0.3">
      <c r="A242">
        <v>242</v>
      </c>
      <c r="B242" t="s">
        <v>18</v>
      </c>
      <c r="C242" s="5">
        <v>502</v>
      </c>
      <c r="D242" t="s">
        <v>22</v>
      </c>
      <c r="E242" t="s">
        <v>26</v>
      </c>
      <c r="F242">
        <v>90</v>
      </c>
      <c r="G242" s="5">
        <v>6</v>
      </c>
      <c r="H242" s="4">
        <v>242675.6</v>
      </c>
      <c r="I242" s="5">
        <v>4</v>
      </c>
      <c r="J242">
        <v>1</v>
      </c>
      <c r="K242">
        <v>0</v>
      </c>
      <c r="L242" s="4">
        <v>38576.97</v>
      </c>
      <c r="M242">
        <v>1</v>
      </c>
      <c r="N242" s="4">
        <f t="shared" si="6"/>
        <v>1.587922248761682</v>
      </c>
      <c r="O242" s="4">
        <f t="shared" si="7"/>
        <v>-1.0664835149100302</v>
      </c>
      <c r="P242" t="str" cm="1">
        <f t="array" ref="P242">_xlfn.IFS(AND(F242&gt;15,F242&lt;=30), "Youngsters", AND(F242&gt;30,F242&lt;=50), "Adults", AND(F242&gt;50,F242&lt;=70),"Old person", AND(F242&gt;70, F242&lt;92), "Senior Citizens")</f>
        <v>Senior Citizens</v>
      </c>
      <c r="Q242" t="str" cm="1">
        <f t="array" ref="Q242">_xlfn.IFS(G242=0,"No Tenure Period",AND(G242&gt;0,G242&lt;=3),"Less Tenure Period",AND(G242&gt;3,G242&lt;=7),"More Tenure Period",AND(G242&gt;7,G242&lt;=10),"Large Tenure Period")</f>
        <v>More Tenure Period</v>
      </c>
      <c r="R242" t="str" cm="1">
        <f t="array" ref="R242">_xlfn.IFS(AND(C242&gt;300,C242&lt;=525),"1 Star",AND(C242&gt;525,C242&lt;=600),"2 Star",AND(C242&gt;600,C242&lt;=700),"3 Star",AND(C242&gt;700,C242&lt;=750),"4 Star",AND(C242&gt;750,C242&lt;=900),"5 Star")</f>
        <v>1 Star</v>
      </c>
      <c r="S242" cm="1">
        <f t="array" ref="S242">_xlfn.IFS(E242="Male",1,E242="Female",2)</f>
        <v>2</v>
      </c>
      <c r="T242" cm="1">
        <f t="array" ref="T242">_xlfn.IFS(D242="France",1,D242="Germany",2,D242="Spain",3)</f>
        <v>2</v>
      </c>
    </row>
    <row r="243" spans="1:20" x14ac:dyDescent="0.3">
      <c r="A243">
        <v>243</v>
      </c>
      <c r="B243" t="s">
        <v>13</v>
      </c>
      <c r="C243" s="5">
        <v>496</v>
      </c>
      <c r="D243" t="s">
        <v>22</v>
      </c>
      <c r="E243" t="s">
        <v>25</v>
      </c>
      <c r="F243">
        <v>36</v>
      </c>
      <c r="G243" s="5">
        <v>3</v>
      </c>
      <c r="H243" s="4">
        <v>183880.09</v>
      </c>
      <c r="I243" s="5">
        <v>3</v>
      </c>
      <c r="J243">
        <v>1</v>
      </c>
      <c r="K243">
        <v>1</v>
      </c>
      <c r="L243" s="4">
        <v>116196.88</v>
      </c>
      <c r="M243">
        <v>0</v>
      </c>
      <c r="N243" s="4">
        <f t="shared" si="6"/>
        <v>0.771005926262331</v>
      </c>
      <c r="O243" s="4">
        <f t="shared" si="7"/>
        <v>0.83026309652280095</v>
      </c>
      <c r="P243" t="str" cm="1">
        <f t="array" ref="P243">_xlfn.IFS(AND(F243&gt;15,F243&lt;=30), "Youngsters", AND(F243&gt;30,F243&lt;=50), "Adults", AND(F243&gt;50,F243&lt;=70),"Old person", AND(F243&gt;70, F243&lt;92), "Senior Citizens")</f>
        <v>Adults</v>
      </c>
      <c r="Q243" t="str" cm="1">
        <f t="array" ref="Q243">_xlfn.IFS(G243=0,"No Tenure Period",AND(G243&gt;0,G243&lt;=3),"Less Tenure Period",AND(G243&gt;3,G243&lt;=7),"More Tenure Period",AND(G243&gt;7,G243&lt;=10),"Large Tenure Period")</f>
        <v>Less Tenure Period</v>
      </c>
      <c r="R243" t="str" cm="1">
        <f t="array" ref="R243">_xlfn.IFS(AND(C243&gt;300,C243&lt;=525),"1 Star",AND(C243&gt;525,C243&lt;=600),"2 Star",AND(C243&gt;600,C243&lt;=700),"3 Star",AND(C243&gt;700,C243&lt;=750),"4 Star",AND(C243&gt;750,C243&lt;=900),"5 Star")</f>
        <v>1 Star</v>
      </c>
      <c r="S243" cm="1">
        <f t="array" ref="S243">_xlfn.IFS(E243="Male",1,E243="Female",2)</f>
        <v>1</v>
      </c>
      <c r="T243" cm="1">
        <f t="array" ref="T243">_xlfn.IFS(D243="France",1,D243="Germany",2,D243="Spain",3)</f>
        <v>2</v>
      </c>
    </row>
    <row r="244" spans="1:20" x14ac:dyDescent="0.3">
      <c r="A244">
        <v>244</v>
      </c>
      <c r="B244" t="s">
        <v>16</v>
      </c>
      <c r="C244" s="5">
        <v>545</v>
      </c>
      <c r="D244" t="s">
        <v>24</v>
      </c>
      <c r="E244" t="s">
        <v>26</v>
      </c>
      <c r="F244">
        <v>20</v>
      </c>
      <c r="G244" s="5">
        <v>4</v>
      </c>
      <c r="H244" s="4">
        <v>152465.9</v>
      </c>
      <c r="I244" s="5">
        <v>3</v>
      </c>
      <c r="J244">
        <v>1</v>
      </c>
      <c r="K244">
        <v>1</v>
      </c>
      <c r="L244" s="4">
        <v>43527.09</v>
      </c>
      <c r="M244">
        <v>0</v>
      </c>
      <c r="N244" s="4">
        <f t="shared" si="6"/>
        <v>0.33453102249679029</v>
      </c>
      <c r="O244" s="4">
        <f t="shared" si="7"/>
        <v>-0.94552069317800458</v>
      </c>
      <c r="P244" t="str" cm="1">
        <f t="array" ref="P244">_xlfn.IFS(AND(F244&gt;15,F244&lt;=30), "Youngsters", AND(F244&gt;30,F244&lt;=50), "Adults", AND(F244&gt;50,F244&lt;=70),"Old person", AND(F244&gt;70, F244&lt;92), "Senior Citizens")</f>
        <v>Youngsters</v>
      </c>
      <c r="Q244" t="str" cm="1">
        <f t="array" ref="Q244">_xlfn.IFS(G244=0,"No Tenure Period",AND(G244&gt;0,G244&lt;=3),"Less Tenure Period",AND(G244&gt;3,G244&lt;=7),"More Tenure Period",AND(G244&gt;7,G244&lt;=10),"Large Tenure Period")</f>
        <v>More Tenure Period</v>
      </c>
      <c r="R244" t="str" cm="1">
        <f t="array" ref="R244">_xlfn.IFS(AND(C244&gt;300,C244&lt;=525),"1 Star",AND(C244&gt;525,C244&lt;=600),"2 Star",AND(C244&gt;600,C244&lt;=700),"3 Star",AND(C244&gt;700,C244&lt;=750),"4 Star",AND(C244&gt;750,C244&lt;=900),"5 Star")</f>
        <v>2 Star</v>
      </c>
      <c r="S244" cm="1">
        <f t="array" ref="S244">_xlfn.IFS(E244="Male",1,E244="Female",2)</f>
        <v>2</v>
      </c>
      <c r="T244" cm="1">
        <f t="array" ref="T244">_xlfn.IFS(D244="France",1,D244="Germany",2,D244="Spain",3)</f>
        <v>1</v>
      </c>
    </row>
    <row r="245" spans="1:20" x14ac:dyDescent="0.3">
      <c r="A245">
        <v>245</v>
      </c>
      <c r="B245" t="s">
        <v>14</v>
      </c>
      <c r="C245" s="5">
        <v>522</v>
      </c>
      <c r="D245" t="s">
        <v>23</v>
      </c>
      <c r="E245" t="s">
        <v>25</v>
      </c>
      <c r="F245">
        <v>87</v>
      </c>
      <c r="G245" s="5">
        <v>5</v>
      </c>
      <c r="H245" s="4">
        <v>237584.05</v>
      </c>
      <c r="I245" s="5">
        <v>3</v>
      </c>
      <c r="J245">
        <v>1</v>
      </c>
      <c r="K245">
        <v>1</v>
      </c>
      <c r="L245" s="4">
        <v>47917.63</v>
      </c>
      <c r="M245">
        <v>1</v>
      </c>
      <c r="N245" s="4">
        <f t="shared" si="6"/>
        <v>1.5171792566212687</v>
      </c>
      <c r="O245" s="4">
        <f t="shared" si="7"/>
        <v>-0.83823195930340588</v>
      </c>
      <c r="P245" t="str" cm="1">
        <f t="array" ref="P245">_xlfn.IFS(AND(F245&gt;15,F245&lt;=30), "Youngsters", AND(F245&gt;30,F245&lt;=50), "Adults", AND(F245&gt;50,F245&lt;=70),"Old person", AND(F245&gt;70, F245&lt;92), "Senior Citizens")</f>
        <v>Senior Citizens</v>
      </c>
      <c r="Q245" t="str" cm="1">
        <f t="array" ref="Q245">_xlfn.IFS(G245=0,"No Tenure Period",AND(G245&gt;0,G245&lt;=3),"Less Tenure Period",AND(G245&gt;3,G245&lt;=7),"More Tenure Period",AND(G245&gt;7,G245&lt;=10),"Large Tenure Period")</f>
        <v>More Tenure Period</v>
      </c>
      <c r="R245" t="str" cm="1">
        <f t="array" ref="R245">_xlfn.IFS(AND(C245&gt;300,C245&lt;=525),"1 Star",AND(C245&gt;525,C245&lt;=600),"2 Star",AND(C245&gt;600,C245&lt;=700),"3 Star",AND(C245&gt;700,C245&lt;=750),"4 Star",AND(C245&gt;750,C245&lt;=900),"5 Star")</f>
        <v>1 Star</v>
      </c>
      <c r="S245" cm="1">
        <f t="array" ref="S245">_xlfn.IFS(E245="Male",1,E245="Female",2)</f>
        <v>1</v>
      </c>
      <c r="T245" cm="1">
        <f t="array" ref="T245">_xlfn.IFS(D245="France",1,D245="Germany",2,D245="Spain",3)</f>
        <v>3</v>
      </c>
    </row>
    <row r="246" spans="1:20" x14ac:dyDescent="0.3">
      <c r="A246">
        <v>246</v>
      </c>
      <c r="B246" t="s">
        <v>15</v>
      </c>
      <c r="C246" s="5">
        <v>561</v>
      </c>
      <c r="D246" t="s">
        <v>22</v>
      </c>
      <c r="E246" t="s">
        <v>25</v>
      </c>
      <c r="F246">
        <v>47</v>
      </c>
      <c r="G246" s="5">
        <v>8</v>
      </c>
      <c r="H246" s="4">
        <v>177892.9</v>
      </c>
      <c r="I246" s="5">
        <v>1</v>
      </c>
      <c r="J246">
        <v>0</v>
      </c>
      <c r="K246">
        <v>0</v>
      </c>
      <c r="L246" s="4">
        <v>78723.149999999994</v>
      </c>
      <c r="M246">
        <v>1</v>
      </c>
      <c r="N246" s="4">
        <f t="shared" si="6"/>
        <v>0.68781873668093452</v>
      </c>
      <c r="O246" s="4">
        <f t="shared" si="7"/>
        <v>-8.5457759057279578E-2</v>
      </c>
      <c r="P246" t="str" cm="1">
        <f t="array" ref="P246">_xlfn.IFS(AND(F246&gt;15,F246&lt;=30), "Youngsters", AND(F246&gt;30,F246&lt;=50), "Adults", AND(F246&gt;50,F246&lt;=70),"Old person", AND(F246&gt;70, F246&lt;92), "Senior Citizens")</f>
        <v>Adults</v>
      </c>
      <c r="Q246" t="str" cm="1">
        <f t="array" ref="Q246">_xlfn.IFS(G246=0,"No Tenure Period",AND(G246&gt;0,G246&lt;=3),"Less Tenure Period",AND(G246&gt;3,G246&lt;=7),"More Tenure Period",AND(G246&gt;7,G246&lt;=10),"Large Tenure Period")</f>
        <v>Large Tenure Period</v>
      </c>
      <c r="R246" t="str" cm="1">
        <f t="array" ref="R246">_xlfn.IFS(AND(C246&gt;300,C246&lt;=525),"1 Star",AND(C246&gt;525,C246&lt;=600),"2 Star",AND(C246&gt;600,C246&lt;=700),"3 Star",AND(C246&gt;700,C246&lt;=750),"4 Star",AND(C246&gt;750,C246&lt;=900),"5 Star")</f>
        <v>2 Star</v>
      </c>
      <c r="S246" cm="1">
        <f t="array" ref="S246">_xlfn.IFS(E246="Male",1,E246="Female",2)</f>
        <v>1</v>
      </c>
      <c r="T246" cm="1">
        <f t="array" ref="T246">_xlfn.IFS(D246="France",1,D246="Germany",2,D246="Spain",3)</f>
        <v>2</v>
      </c>
    </row>
    <row r="247" spans="1:20" x14ac:dyDescent="0.3">
      <c r="A247">
        <v>247</v>
      </c>
      <c r="B247" t="s">
        <v>14</v>
      </c>
      <c r="C247" s="5">
        <v>651</v>
      </c>
      <c r="D247" t="s">
        <v>23</v>
      </c>
      <c r="E247" t="s">
        <v>26</v>
      </c>
      <c r="F247">
        <v>45</v>
      </c>
      <c r="G247" s="5">
        <v>2</v>
      </c>
      <c r="H247" s="4">
        <v>114118.16</v>
      </c>
      <c r="I247" s="5">
        <v>4</v>
      </c>
      <c r="J247">
        <v>0</v>
      </c>
      <c r="K247">
        <v>0</v>
      </c>
      <c r="L247" s="4">
        <v>36850.699999999997</v>
      </c>
      <c r="M247">
        <v>0</v>
      </c>
      <c r="N247" s="4">
        <f t="shared" si="6"/>
        <v>-0.198279981897274</v>
      </c>
      <c r="O247" s="4">
        <f t="shared" si="7"/>
        <v>-1.1086672377836868</v>
      </c>
      <c r="P247" t="str" cm="1">
        <f t="array" ref="P247">_xlfn.IFS(AND(F247&gt;15,F247&lt;=30), "Youngsters", AND(F247&gt;30,F247&lt;=50), "Adults", AND(F247&gt;50,F247&lt;=70),"Old person", AND(F247&gt;70, F247&lt;92), "Senior Citizens")</f>
        <v>Adults</v>
      </c>
      <c r="Q247" t="str" cm="1">
        <f t="array" ref="Q247">_xlfn.IFS(G247=0,"No Tenure Period",AND(G247&gt;0,G247&lt;=3),"Less Tenure Period",AND(G247&gt;3,G247&lt;=7),"More Tenure Period",AND(G247&gt;7,G247&lt;=10),"Large Tenure Period")</f>
        <v>Less Tenure Period</v>
      </c>
      <c r="R247" t="str" cm="1">
        <f t="array" ref="R247">_xlfn.IFS(AND(C247&gt;300,C247&lt;=525),"1 Star",AND(C247&gt;525,C247&lt;=600),"2 Star",AND(C247&gt;600,C247&lt;=700),"3 Star",AND(C247&gt;700,C247&lt;=750),"4 Star",AND(C247&gt;750,C247&lt;=900),"5 Star")</f>
        <v>3 Star</v>
      </c>
      <c r="S247" cm="1">
        <f t="array" ref="S247">_xlfn.IFS(E247="Male",1,E247="Female",2)</f>
        <v>2</v>
      </c>
      <c r="T247" cm="1">
        <f t="array" ref="T247">_xlfn.IFS(D247="France",1,D247="Germany",2,D247="Spain",3)</f>
        <v>3</v>
      </c>
    </row>
    <row r="248" spans="1:20" x14ac:dyDescent="0.3">
      <c r="A248">
        <v>248</v>
      </c>
      <c r="B248" t="s">
        <v>17</v>
      </c>
      <c r="C248" s="5">
        <v>660</v>
      </c>
      <c r="D248" t="s">
        <v>23</v>
      </c>
      <c r="E248" t="s">
        <v>26</v>
      </c>
      <c r="F248">
        <v>35</v>
      </c>
      <c r="G248" s="5">
        <v>9</v>
      </c>
      <c r="H248" s="4">
        <v>80413.460000000006</v>
      </c>
      <c r="I248" s="5">
        <v>2</v>
      </c>
      <c r="J248">
        <v>0</v>
      </c>
      <c r="K248">
        <v>1</v>
      </c>
      <c r="L248" s="4">
        <v>42147.48</v>
      </c>
      <c r="M248">
        <v>0</v>
      </c>
      <c r="N248" s="4">
        <f t="shared" si="6"/>
        <v>-0.66657967986645339</v>
      </c>
      <c r="O248" s="4">
        <f t="shared" si="7"/>
        <v>-0.97923331398107993</v>
      </c>
      <c r="P248" t="str" cm="1">
        <f t="array" ref="P248">_xlfn.IFS(AND(F248&gt;15,F248&lt;=30), "Youngsters", AND(F248&gt;30,F248&lt;=50), "Adults", AND(F248&gt;50,F248&lt;=70),"Old person", AND(F248&gt;70, F248&lt;92), "Senior Citizens")</f>
        <v>Adults</v>
      </c>
      <c r="Q248" t="str" cm="1">
        <f t="array" ref="Q248">_xlfn.IFS(G248=0,"No Tenure Period",AND(G248&gt;0,G248&lt;=3),"Less Tenure Period",AND(G248&gt;3,G248&lt;=7),"More Tenure Period",AND(G248&gt;7,G248&lt;=10),"Large Tenure Period")</f>
        <v>Large Tenure Period</v>
      </c>
      <c r="R248" t="str" cm="1">
        <f t="array" ref="R248">_xlfn.IFS(AND(C248&gt;300,C248&lt;=525),"1 Star",AND(C248&gt;525,C248&lt;=600),"2 Star",AND(C248&gt;600,C248&lt;=700),"3 Star",AND(C248&gt;700,C248&lt;=750),"4 Star",AND(C248&gt;750,C248&lt;=900),"5 Star")</f>
        <v>3 Star</v>
      </c>
      <c r="S248" cm="1">
        <f t="array" ref="S248">_xlfn.IFS(E248="Male",1,E248="Female",2)</f>
        <v>2</v>
      </c>
      <c r="T248" cm="1">
        <f t="array" ref="T248">_xlfn.IFS(D248="France",1,D248="Germany",2,D248="Spain",3)</f>
        <v>3</v>
      </c>
    </row>
    <row r="249" spans="1:20" x14ac:dyDescent="0.3">
      <c r="A249">
        <v>249</v>
      </c>
      <c r="B249" t="s">
        <v>21</v>
      </c>
      <c r="C249" s="5">
        <v>350</v>
      </c>
      <c r="D249" t="s">
        <v>23</v>
      </c>
      <c r="E249" t="s">
        <v>26</v>
      </c>
      <c r="F249">
        <v>76</v>
      </c>
      <c r="G249" s="5">
        <v>3</v>
      </c>
      <c r="H249" s="4">
        <v>47176.34</v>
      </c>
      <c r="I249" s="5">
        <v>4</v>
      </c>
      <c r="J249">
        <v>1</v>
      </c>
      <c r="K249">
        <v>1</v>
      </c>
      <c r="L249" s="4">
        <v>139671.97</v>
      </c>
      <c r="M249">
        <v>0</v>
      </c>
      <c r="N249" s="4">
        <f t="shared" si="6"/>
        <v>-1.1283827298080158</v>
      </c>
      <c r="O249" s="4">
        <f t="shared" si="7"/>
        <v>1.4039084075078399</v>
      </c>
      <c r="P249" t="str" cm="1">
        <f t="array" ref="P249">_xlfn.IFS(AND(F249&gt;15,F249&lt;=30), "Youngsters", AND(F249&gt;30,F249&lt;=50), "Adults", AND(F249&gt;50,F249&lt;=70),"Old person", AND(F249&gt;70, F249&lt;92), "Senior Citizens")</f>
        <v>Senior Citizens</v>
      </c>
      <c r="Q249" t="str" cm="1">
        <f t="array" ref="Q249">_xlfn.IFS(G249=0,"No Tenure Period",AND(G249&gt;0,G249&lt;=3),"Less Tenure Period",AND(G249&gt;3,G249&lt;=7),"More Tenure Period",AND(G249&gt;7,G249&lt;=10),"Large Tenure Period")</f>
        <v>Less Tenure Period</v>
      </c>
      <c r="R249" t="str" cm="1">
        <f t="array" ref="R249">_xlfn.IFS(AND(C249&gt;300,C249&lt;=525),"1 Star",AND(C249&gt;525,C249&lt;=600),"2 Star",AND(C249&gt;600,C249&lt;=700),"3 Star",AND(C249&gt;700,C249&lt;=750),"4 Star",AND(C249&gt;750,C249&lt;=900),"5 Star")</f>
        <v>1 Star</v>
      </c>
      <c r="S249" cm="1">
        <f t="array" ref="S249">_xlfn.IFS(E249="Male",1,E249="Female",2)</f>
        <v>2</v>
      </c>
      <c r="T249" cm="1">
        <f t="array" ref="T249">_xlfn.IFS(D249="France",1,D249="Germany",2,D249="Spain",3)</f>
        <v>3</v>
      </c>
    </row>
    <row r="250" spans="1:20" x14ac:dyDescent="0.3">
      <c r="A250">
        <v>250</v>
      </c>
      <c r="B250" t="s">
        <v>21</v>
      </c>
      <c r="C250" s="5">
        <v>488</v>
      </c>
      <c r="D250" t="s">
        <v>24</v>
      </c>
      <c r="E250" t="s">
        <v>26</v>
      </c>
      <c r="F250">
        <v>29</v>
      </c>
      <c r="G250" s="5">
        <v>2</v>
      </c>
      <c r="H250" s="4">
        <v>218420.19</v>
      </c>
      <c r="I250" s="5">
        <v>1</v>
      </c>
      <c r="J250">
        <v>1</v>
      </c>
      <c r="K250">
        <v>0</v>
      </c>
      <c r="L250" s="4">
        <v>122291.38</v>
      </c>
      <c r="M250">
        <v>0</v>
      </c>
      <c r="N250" s="4">
        <f t="shared" si="6"/>
        <v>1.250912835323241</v>
      </c>
      <c r="O250" s="4">
        <f t="shared" si="7"/>
        <v>0.97919037849694124</v>
      </c>
      <c r="P250" t="str" cm="1">
        <f t="array" ref="P250">_xlfn.IFS(AND(F250&gt;15,F250&lt;=30), "Youngsters", AND(F250&gt;30,F250&lt;=50), "Adults", AND(F250&gt;50,F250&lt;=70),"Old person", AND(F250&gt;70, F250&lt;92), "Senior Citizens")</f>
        <v>Youngsters</v>
      </c>
      <c r="Q250" t="str" cm="1">
        <f t="array" ref="Q250">_xlfn.IFS(G250=0,"No Tenure Period",AND(G250&gt;0,G250&lt;=3),"Less Tenure Period",AND(G250&gt;3,G250&lt;=7),"More Tenure Period",AND(G250&gt;7,G250&lt;=10),"Large Tenure Period")</f>
        <v>Less Tenure Period</v>
      </c>
      <c r="R250" t="str" cm="1">
        <f t="array" ref="R250">_xlfn.IFS(AND(C250&gt;300,C250&lt;=525),"1 Star",AND(C250&gt;525,C250&lt;=600),"2 Star",AND(C250&gt;600,C250&lt;=700),"3 Star",AND(C250&gt;700,C250&lt;=750),"4 Star",AND(C250&gt;750,C250&lt;=900),"5 Star")</f>
        <v>1 Star</v>
      </c>
      <c r="S250" cm="1">
        <f t="array" ref="S250">_xlfn.IFS(E250="Male",1,E250="Female",2)</f>
        <v>2</v>
      </c>
      <c r="T250" cm="1">
        <f t="array" ref="T250">_xlfn.IFS(D250="France",1,D250="Germany",2,D250="Spain",3)</f>
        <v>1</v>
      </c>
    </row>
    <row r="251" spans="1:20" x14ac:dyDescent="0.3">
      <c r="A251">
        <v>251</v>
      </c>
      <c r="B251" t="s">
        <v>17</v>
      </c>
      <c r="C251" s="5">
        <v>545</v>
      </c>
      <c r="D251" t="s">
        <v>22</v>
      </c>
      <c r="E251" t="s">
        <v>25</v>
      </c>
      <c r="F251">
        <v>67</v>
      </c>
      <c r="G251" s="5">
        <v>9</v>
      </c>
      <c r="H251" s="4">
        <v>180722.3</v>
      </c>
      <c r="I251" s="5">
        <v>2</v>
      </c>
      <c r="J251">
        <v>1</v>
      </c>
      <c r="K251">
        <v>1</v>
      </c>
      <c r="L251" s="4">
        <v>47605.64</v>
      </c>
      <c r="M251">
        <v>0</v>
      </c>
      <c r="N251" s="4">
        <f t="shared" si="6"/>
        <v>0.72713097400789461</v>
      </c>
      <c r="O251" s="4">
        <f t="shared" si="7"/>
        <v>-0.84585585342156355</v>
      </c>
      <c r="P251" t="str" cm="1">
        <f t="array" ref="P251">_xlfn.IFS(AND(F251&gt;15,F251&lt;=30), "Youngsters", AND(F251&gt;30,F251&lt;=50), "Adults", AND(F251&gt;50,F251&lt;=70),"Old person", AND(F251&gt;70, F251&lt;92), "Senior Citizens")</f>
        <v>Old person</v>
      </c>
      <c r="Q251" t="str" cm="1">
        <f t="array" ref="Q251">_xlfn.IFS(G251=0,"No Tenure Period",AND(G251&gt;0,G251&lt;=3),"Less Tenure Period",AND(G251&gt;3,G251&lt;=7),"More Tenure Period",AND(G251&gt;7,G251&lt;=10),"Large Tenure Period")</f>
        <v>Large Tenure Period</v>
      </c>
      <c r="R251" t="str" cm="1">
        <f t="array" ref="R251">_xlfn.IFS(AND(C251&gt;300,C251&lt;=525),"1 Star",AND(C251&gt;525,C251&lt;=600),"2 Star",AND(C251&gt;600,C251&lt;=700),"3 Star",AND(C251&gt;700,C251&lt;=750),"4 Star",AND(C251&gt;750,C251&lt;=900),"5 Star")</f>
        <v>2 Star</v>
      </c>
      <c r="S251" cm="1">
        <f t="array" ref="S251">_xlfn.IFS(E251="Male",1,E251="Female",2)</f>
        <v>1</v>
      </c>
      <c r="T251" cm="1">
        <f t="array" ref="T251">_xlfn.IFS(D251="France",1,D251="Germany",2,D251="Spain",3)</f>
        <v>2</v>
      </c>
    </row>
    <row r="252" spans="1:20" x14ac:dyDescent="0.3">
      <c r="A252">
        <v>252</v>
      </c>
      <c r="B252" t="s">
        <v>21</v>
      </c>
      <c r="C252" s="5">
        <v>740</v>
      </c>
      <c r="D252" t="s">
        <v>24</v>
      </c>
      <c r="E252" t="s">
        <v>25</v>
      </c>
      <c r="F252">
        <v>90</v>
      </c>
      <c r="G252" s="5">
        <v>1</v>
      </c>
      <c r="H252" s="4">
        <v>244519.73</v>
      </c>
      <c r="I252" s="5">
        <v>4</v>
      </c>
      <c r="J252">
        <v>0</v>
      </c>
      <c r="K252">
        <v>1</v>
      </c>
      <c r="L252" s="4">
        <v>107875.29</v>
      </c>
      <c r="M252">
        <v>0</v>
      </c>
      <c r="N252" s="4">
        <f t="shared" si="6"/>
        <v>1.6135449518866438</v>
      </c>
      <c r="O252" s="4">
        <f t="shared" si="7"/>
        <v>0.62691388323160602</v>
      </c>
      <c r="P252" t="str" cm="1">
        <f t="array" ref="P252">_xlfn.IFS(AND(F252&gt;15,F252&lt;=30), "Youngsters", AND(F252&gt;30,F252&lt;=50), "Adults", AND(F252&gt;50,F252&lt;=70),"Old person", AND(F252&gt;70, F252&lt;92), "Senior Citizens")</f>
        <v>Senior Citizens</v>
      </c>
      <c r="Q252" t="str" cm="1">
        <f t="array" ref="Q252">_xlfn.IFS(G252=0,"No Tenure Period",AND(G252&gt;0,G252&lt;=3),"Less Tenure Period",AND(G252&gt;3,G252&lt;=7),"More Tenure Period",AND(G252&gt;7,G252&lt;=10),"Large Tenure Period")</f>
        <v>Less Tenure Period</v>
      </c>
      <c r="R252" t="str" cm="1">
        <f t="array" ref="R252">_xlfn.IFS(AND(C252&gt;300,C252&lt;=525),"1 Star",AND(C252&gt;525,C252&lt;=600),"2 Star",AND(C252&gt;600,C252&lt;=700),"3 Star",AND(C252&gt;700,C252&lt;=750),"4 Star",AND(C252&gt;750,C252&lt;=900),"5 Star")</f>
        <v>4 Star</v>
      </c>
      <c r="S252" cm="1">
        <f t="array" ref="S252">_xlfn.IFS(E252="Male",1,E252="Female",2)</f>
        <v>1</v>
      </c>
      <c r="T252" cm="1">
        <f t="array" ref="T252">_xlfn.IFS(D252="France",1,D252="Germany",2,D252="Spain",3)</f>
        <v>1</v>
      </c>
    </row>
    <row r="253" spans="1:20" x14ac:dyDescent="0.3">
      <c r="A253">
        <v>253</v>
      </c>
      <c r="B253" t="s">
        <v>18</v>
      </c>
      <c r="C253" s="5">
        <v>569</v>
      </c>
      <c r="D253" t="s">
        <v>23</v>
      </c>
      <c r="E253" t="s">
        <v>25</v>
      </c>
      <c r="F253">
        <v>21</v>
      </c>
      <c r="G253" s="5">
        <v>1</v>
      </c>
      <c r="H253" s="4">
        <v>18800.849999999999</v>
      </c>
      <c r="I253" s="5">
        <v>1</v>
      </c>
      <c r="J253">
        <v>0</v>
      </c>
      <c r="K253">
        <v>0</v>
      </c>
      <c r="L253" s="4">
        <v>60995.519999999997</v>
      </c>
      <c r="M253">
        <v>1</v>
      </c>
      <c r="N253" s="4">
        <f t="shared" si="6"/>
        <v>-1.5226373410855965</v>
      </c>
      <c r="O253" s="4">
        <f t="shared" si="7"/>
        <v>-0.51865617594844826</v>
      </c>
      <c r="P253" t="str" cm="1">
        <f t="array" ref="P253">_xlfn.IFS(AND(F253&gt;15,F253&lt;=30), "Youngsters", AND(F253&gt;30,F253&lt;=50), "Adults", AND(F253&gt;50,F253&lt;=70),"Old person", AND(F253&gt;70, F253&lt;92), "Senior Citizens")</f>
        <v>Youngsters</v>
      </c>
      <c r="Q253" t="str" cm="1">
        <f t="array" ref="Q253">_xlfn.IFS(G253=0,"No Tenure Period",AND(G253&gt;0,G253&lt;=3),"Less Tenure Period",AND(G253&gt;3,G253&lt;=7),"More Tenure Period",AND(G253&gt;7,G253&lt;=10),"Large Tenure Period")</f>
        <v>Less Tenure Period</v>
      </c>
      <c r="R253" t="str" cm="1">
        <f t="array" ref="R253">_xlfn.IFS(AND(C253&gt;300,C253&lt;=525),"1 Star",AND(C253&gt;525,C253&lt;=600),"2 Star",AND(C253&gt;600,C253&lt;=700),"3 Star",AND(C253&gt;700,C253&lt;=750),"4 Star",AND(C253&gt;750,C253&lt;=900),"5 Star")</f>
        <v>2 Star</v>
      </c>
      <c r="S253" cm="1">
        <f t="array" ref="S253">_xlfn.IFS(E253="Male",1,E253="Female",2)</f>
        <v>1</v>
      </c>
      <c r="T253" cm="1">
        <f t="array" ref="T253">_xlfn.IFS(D253="France",1,D253="Germany",2,D253="Spain",3)</f>
        <v>3</v>
      </c>
    </row>
    <row r="254" spans="1:20" x14ac:dyDescent="0.3">
      <c r="A254">
        <v>254</v>
      </c>
      <c r="B254" t="s">
        <v>17</v>
      </c>
      <c r="C254" s="5">
        <v>705</v>
      </c>
      <c r="D254" t="s">
        <v>22</v>
      </c>
      <c r="E254" t="s">
        <v>25</v>
      </c>
      <c r="F254">
        <v>29</v>
      </c>
      <c r="G254" s="5">
        <v>10</v>
      </c>
      <c r="H254" s="4">
        <v>78681.009999999995</v>
      </c>
      <c r="I254" s="5">
        <v>1</v>
      </c>
      <c r="J254">
        <v>0</v>
      </c>
      <c r="K254">
        <v>0</v>
      </c>
      <c r="L254" s="4">
        <v>69503.59</v>
      </c>
      <c r="M254">
        <v>0</v>
      </c>
      <c r="N254" s="4">
        <f t="shared" si="6"/>
        <v>-0.69065067921511136</v>
      </c>
      <c r="O254" s="4">
        <f t="shared" si="7"/>
        <v>-0.31075007373403801</v>
      </c>
      <c r="P254" t="str" cm="1">
        <f t="array" ref="P254">_xlfn.IFS(AND(F254&gt;15,F254&lt;=30), "Youngsters", AND(F254&gt;30,F254&lt;=50), "Adults", AND(F254&gt;50,F254&lt;=70),"Old person", AND(F254&gt;70, F254&lt;92), "Senior Citizens")</f>
        <v>Youngsters</v>
      </c>
      <c r="Q254" t="str" cm="1">
        <f t="array" ref="Q254">_xlfn.IFS(G254=0,"No Tenure Period",AND(G254&gt;0,G254&lt;=3),"Less Tenure Period",AND(G254&gt;3,G254&lt;=7),"More Tenure Period",AND(G254&gt;7,G254&lt;=10),"Large Tenure Period")</f>
        <v>Large Tenure Period</v>
      </c>
      <c r="R254" t="str" cm="1">
        <f t="array" ref="R254">_xlfn.IFS(AND(C254&gt;300,C254&lt;=525),"1 Star",AND(C254&gt;525,C254&lt;=600),"2 Star",AND(C254&gt;600,C254&lt;=700),"3 Star",AND(C254&gt;700,C254&lt;=750),"4 Star",AND(C254&gt;750,C254&lt;=900),"5 Star")</f>
        <v>4 Star</v>
      </c>
      <c r="S254" cm="1">
        <f t="array" ref="S254">_xlfn.IFS(E254="Male",1,E254="Female",2)</f>
        <v>1</v>
      </c>
      <c r="T254" cm="1">
        <f t="array" ref="T254">_xlfn.IFS(D254="France",1,D254="Germany",2,D254="Spain",3)</f>
        <v>2</v>
      </c>
    </row>
    <row r="255" spans="1:20" x14ac:dyDescent="0.3">
      <c r="A255">
        <v>255</v>
      </c>
      <c r="B255" t="s">
        <v>12</v>
      </c>
      <c r="C255" s="5">
        <v>791</v>
      </c>
      <c r="D255" t="s">
        <v>24</v>
      </c>
      <c r="E255" t="s">
        <v>25</v>
      </c>
      <c r="F255">
        <v>75</v>
      </c>
      <c r="G255" s="5">
        <v>8</v>
      </c>
      <c r="H255" s="4">
        <v>101615.64</v>
      </c>
      <c r="I255" s="5">
        <v>2</v>
      </c>
      <c r="J255">
        <v>1</v>
      </c>
      <c r="K255">
        <v>0</v>
      </c>
      <c r="L255" s="4">
        <v>108820.32</v>
      </c>
      <c r="M255">
        <v>1</v>
      </c>
      <c r="N255" s="4">
        <f t="shared" si="6"/>
        <v>-0.37199244157956246</v>
      </c>
      <c r="O255" s="4">
        <f t="shared" si="7"/>
        <v>0.65000695883814041</v>
      </c>
      <c r="P255" t="str" cm="1">
        <f t="array" ref="P255">_xlfn.IFS(AND(F255&gt;15,F255&lt;=30), "Youngsters", AND(F255&gt;30,F255&lt;=50), "Adults", AND(F255&gt;50,F255&lt;=70),"Old person", AND(F255&gt;70, F255&lt;92), "Senior Citizens")</f>
        <v>Senior Citizens</v>
      </c>
      <c r="Q255" t="str" cm="1">
        <f t="array" ref="Q255">_xlfn.IFS(G255=0,"No Tenure Period",AND(G255&gt;0,G255&lt;=3),"Less Tenure Period",AND(G255&gt;3,G255&lt;=7),"More Tenure Period",AND(G255&gt;7,G255&lt;=10),"Large Tenure Period")</f>
        <v>Large Tenure Period</v>
      </c>
      <c r="R255" t="str" cm="1">
        <f t="array" ref="R255">_xlfn.IFS(AND(C255&gt;300,C255&lt;=525),"1 Star",AND(C255&gt;525,C255&lt;=600),"2 Star",AND(C255&gt;600,C255&lt;=700),"3 Star",AND(C255&gt;700,C255&lt;=750),"4 Star",AND(C255&gt;750,C255&lt;=900),"5 Star")</f>
        <v>5 Star</v>
      </c>
      <c r="S255" cm="1">
        <f t="array" ref="S255">_xlfn.IFS(E255="Male",1,E255="Female",2)</f>
        <v>1</v>
      </c>
      <c r="T255" cm="1">
        <f t="array" ref="T255">_xlfn.IFS(D255="France",1,D255="Germany",2,D255="Spain",3)</f>
        <v>1</v>
      </c>
    </row>
    <row r="256" spans="1:20" x14ac:dyDescent="0.3">
      <c r="A256">
        <v>256</v>
      </c>
      <c r="B256" t="s">
        <v>12</v>
      </c>
      <c r="C256" s="5">
        <v>804</v>
      </c>
      <c r="D256" t="s">
        <v>22</v>
      </c>
      <c r="E256" t="s">
        <v>26</v>
      </c>
      <c r="F256">
        <v>68</v>
      </c>
      <c r="G256" s="5">
        <v>10</v>
      </c>
      <c r="H256" s="4">
        <v>240635.59</v>
      </c>
      <c r="I256" s="5">
        <v>1</v>
      </c>
      <c r="J256">
        <v>0</v>
      </c>
      <c r="K256">
        <v>0</v>
      </c>
      <c r="L256" s="4">
        <v>122764.08</v>
      </c>
      <c r="M256">
        <v>0</v>
      </c>
      <c r="N256" s="4">
        <f t="shared" si="6"/>
        <v>1.5595779505820777</v>
      </c>
      <c r="O256" s="4">
        <f t="shared" si="7"/>
        <v>0.99074143702334627</v>
      </c>
      <c r="P256" t="str" cm="1">
        <f t="array" ref="P256">_xlfn.IFS(AND(F256&gt;15,F256&lt;=30), "Youngsters", AND(F256&gt;30,F256&lt;=50), "Adults", AND(F256&gt;50,F256&lt;=70),"Old person", AND(F256&gt;70, F256&lt;92), "Senior Citizens")</f>
        <v>Old person</v>
      </c>
      <c r="Q256" t="str" cm="1">
        <f t="array" ref="Q256">_xlfn.IFS(G256=0,"No Tenure Period",AND(G256&gt;0,G256&lt;=3),"Less Tenure Period",AND(G256&gt;3,G256&lt;=7),"More Tenure Period",AND(G256&gt;7,G256&lt;=10),"Large Tenure Period")</f>
        <v>Large Tenure Period</v>
      </c>
      <c r="R256" t="str" cm="1">
        <f t="array" ref="R256">_xlfn.IFS(AND(C256&gt;300,C256&lt;=525),"1 Star",AND(C256&gt;525,C256&lt;=600),"2 Star",AND(C256&gt;600,C256&lt;=700),"3 Star",AND(C256&gt;700,C256&lt;=750),"4 Star",AND(C256&gt;750,C256&lt;=900),"5 Star")</f>
        <v>5 Star</v>
      </c>
      <c r="S256" cm="1">
        <f t="array" ref="S256">_xlfn.IFS(E256="Male",1,E256="Female",2)</f>
        <v>2</v>
      </c>
      <c r="T256" cm="1">
        <f t="array" ref="T256">_xlfn.IFS(D256="France",1,D256="Germany",2,D256="Spain",3)</f>
        <v>2</v>
      </c>
    </row>
    <row r="257" spans="1:20" x14ac:dyDescent="0.3">
      <c r="A257">
        <v>257</v>
      </c>
      <c r="B257" t="s">
        <v>12</v>
      </c>
      <c r="C257" s="5">
        <v>753</v>
      </c>
      <c r="D257" t="s">
        <v>24</v>
      </c>
      <c r="E257" t="s">
        <v>25</v>
      </c>
      <c r="F257">
        <v>33</v>
      </c>
      <c r="G257" s="5">
        <v>6</v>
      </c>
      <c r="H257" s="4">
        <v>147696.65</v>
      </c>
      <c r="I257" s="5">
        <v>2</v>
      </c>
      <c r="J257">
        <v>1</v>
      </c>
      <c r="K257">
        <v>0</v>
      </c>
      <c r="L257" s="4">
        <v>46897.41</v>
      </c>
      <c r="M257">
        <v>1</v>
      </c>
      <c r="N257" s="4">
        <f t="shared" si="6"/>
        <v>0.26826612963201146</v>
      </c>
      <c r="O257" s="4">
        <f t="shared" si="7"/>
        <v>-0.86316240341131567</v>
      </c>
      <c r="P257" t="str" cm="1">
        <f t="array" ref="P257">_xlfn.IFS(AND(F257&gt;15,F257&lt;=30), "Youngsters", AND(F257&gt;30,F257&lt;=50), "Adults", AND(F257&gt;50,F257&lt;=70),"Old person", AND(F257&gt;70, F257&lt;92), "Senior Citizens")</f>
        <v>Adults</v>
      </c>
      <c r="Q257" t="str" cm="1">
        <f t="array" ref="Q257">_xlfn.IFS(G257=0,"No Tenure Period",AND(G257&gt;0,G257&lt;=3),"Less Tenure Period",AND(G257&gt;3,G257&lt;=7),"More Tenure Period",AND(G257&gt;7,G257&lt;=10),"Large Tenure Period")</f>
        <v>More Tenure Period</v>
      </c>
      <c r="R257" t="str" cm="1">
        <f t="array" ref="R257">_xlfn.IFS(AND(C257&gt;300,C257&lt;=525),"1 Star",AND(C257&gt;525,C257&lt;=600),"2 Star",AND(C257&gt;600,C257&lt;=700),"3 Star",AND(C257&gt;700,C257&lt;=750),"4 Star",AND(C257&gt;750,C257&lt;=900),"5 Star")</f>
        <v>5 Star</v>
      </c>
      <c r="S257" cm="1">
        <f t="array" ref="S257">_xlfn.IFS(E257="Male",1,E257="Female",2)</f>
        <v>1</v>
      </c>
      <c r="T257" cm="1">
        <f t="array" ref="T257">_xlfn.IFS(D257="France",1,D257="Germany",2,D257="Spain",3)</f>
        <v>1</v>
      </c>
    </row>
    <row r="258" spans="1:20" x14ac:dyDescent="0.3">
      <c r="A258">
        <v>258</v>
      </c>
      <c r="B258" t="s">
        <v>17</v>
      </c>
      <c r="C258" s="5">
        <v>512</v>
      </c>
      <c r="D258" t="s">
        <v>23</v>
      </c>
      <c r="E258" t="s">
        <v>26</v>
      </c>
      <c r="F258">
        <v>75</v>
      </c>
      <c r="G258" s="5">
        <v>10</v>
      </c>
      <c r="H258" s="4">
        <v>170020.95</v>
      </c>
      <c r="I258" s="5">
        <v>4</v>
      </c>
      <c r="J258">
        <v>1</v>
      </c>
      <c r="K258">
        <v>1</v>
      </c>
      <c r="L258" s="4">
        <v>34325.360000000001</v>
      </c>
      <c r="M258">
        <v>1</v>
      </c>
      <c r="N258" s="4">
        <f t="shared" ref="N258:N321" si="8">(H258-$X$4)/$X$7</f>
        <v>0.57844432280309332</v>
      </c>
      <c r="O258" s="4">
        <f t="shared" ref="O258:O321" si="9">(L258-$Y$5)/$Y$8</f>
        <v>-1.1703773078896142</v>
      </c>
      <c r="P258" t="str" cm="1">
        <f t="array" ref="P258">_xlfn.IFS(AND(F258&gt;15,F258&lt;=30), "Youngsters", AND(F258&gt;30,F258&lt;=50), "Adults", AND(F258&gt;50,F258&lt;=70),"Old person", AND(F258&gt;70, F258&lt;92), "Senior Citizens")</f>
        <v>Senior Citizens</v>
      </c>
      <c r="Q258" t="str" cm="1">
        <f t="array" ref="Q258">_xlfn.IFS(G258=0,"No Tenure Period",AND(G258&gt;0,G258&lt;=3),"Less Tenure Period",AND(G258&gt;3,G258&lt;=7),"More Tenure Period",AND(G258&gt;7,G258&lt;=10),"Large Tenure Period")</f>
        <v>Large Tenure Period</v>
      </c>
      <c r="R258" t="str" cm="1">
        <f t="array" ref="R258">_xlfn.IFS(AND(C258&gt;300,C258&lt;=525),"1 Star",AND(C258&gt;525,C258&lt;=600),"2 Star",AND(C258&gt;600,C258&lt;=700),"3 Star",AND(C258&gt;700,C258&lt;=750),"4 Star",AND(C258&gt;750,C258&lt;=900),"5 Star")</f>
        <v>1 Star</v>
      </c>
      <c r="S258" cm="1">
        <f t="array" ref="S258">_xlfn.IFS(E258="Male",1,E258="Female",2)</f>
        <v>2</v>
      </c>
      <c r="T258" cm="1">
        <f t="array" ref="T258">_xlfn.IFS(D258="France",1,D258="Germany",2,D258="Spain",3)</f>
        <v>3</v>
      </c>
    </row>
    <row r="259" spans="1:20" x14ac:dyDescent="0.3">
      <c r="A259">
        <v>259</v>
      </c>
      <c r="B259" t="s">
        <v>12</v>
      </c>
      <c r="C259" s="5">
        <v>400</v>
      </c>
      <c r="D259" t="s">
        <v>22</v>
      </c>
      <c r="E259" t="s">
        <v>25</v>
      </c>
      <c r="F259">
        <v>21</v>
      </c>
      <c r="G259" s="5">
        <v>3</v>
      </c>
      <c r="H259" s="4">
        <v>67715.59</v>
      </c>
      <c r="I259" s="5">
        <v>2</v>
      </c>
      <c r="J259">
        <v>1</v>
      </c>
      <c r="K259">
        <v>1</v>
      </c>
      <c r="L259" s="4">
        <v>71585.87</v>
      </c>
      <c r="M259">
        <v>1</v>
      </c>
      <c r="N259" s="4">
        <f t="shared" si="8"/>
        <v>-0.84300637067966078</v>
      </c>
      <c r="O259" s="4">
        <f t="shared" si="9"/>
        <v>-0.25986676899876643</v>
      </c>
      <c r="P259" t="str" cm="1">
        <f t="array" ref="P259">_xlfn.IFS(AND(F259&gt;15,F259&lt;=30), "Youngsters", AND(F259&gt;30,F259&lt;=50), "Adults", AND(F259&gt;50,F259&lt;=70),"Old person", AND(F259&gt;70, F259&lt;92), "Senior Citizens")</f>
        <v>Youngsters</v>
      </c>
      <c r="Q259" t="str" cm="1">
        <f t="array" ref="Q259">_xlfn.IFS(G259=0,"No Tenure Period",AND(G259&gt;0,G259&lt;=3),"Less Tenure Period",AND(G259&gt;3,G259&lt;=7),"More Tenure Period",AND(G259&gt;7,G259&lt;=10),"Large Tenure Period")</f>
        <v>Less Tenure Period</v>
      </c>
      <c r="R259" t="str" cm="1">
        <f t="array" ref="R259">_xlfn.IFS(AND(C259&gt;300,C259&lt;=525),"1 Star",AND(C259&gt;525,C259&lt;=600),"2 Star",AND(C259&gt;600,C259&lt;=700),"3 Star",AND(C259&gt;700,C259&lt;=750),"4 Star",AND(C259&gt;750,C259&lt;=900),"5 Star")</f>
        <v>1 Star</v>
      </c>
      <c r="S259" cm="1">
        <f t="array" ref="S259">_xlfn.IFS(E259="Male",1,E259="Female",2)</f>
        <v>1</v>
      </c>
      <c r="T259" cm="1">
        <f t="array" ref="T259">_xlfn.IFS(D259="France",1,D259="Germany",2,D259="Spain",3)</f>
        <v>2</v>
      </c>
    </row>
    <row r="260" spans="1:20" x14ac:dyDescent="0.3">
      <c r="A260">
        <v>260</v>
      </c>
      <c r="B260" t="s">
        <v>15</v>
      </c>
      <c r="C260" s="5">
        <v>592</v>
      </c>
      <c r="D260" t="s">
        <v>23</v>
      </c>
      <c r="E260" t="s">
        <v>25</v>
      </c>
      <c r="F260">
        <v>78</v>
      </c>
      <c r="G260" s="5">
        <v>2</v>
      </c>
      <c r="H260" s="4">
        <v>64372.08</v>
      </c>
      <c r="I260" s="5">
        <v>2</v>
      </c>
      <c r="J260">
        <v>0</v>
      </c>
      <c r="K260">
        <v>1</v>
      </c>
      <c r="L260" s="4">
        <v>45223.9</v>
      </c>
      <c r="M260">
        <v>1</v>
      </c>
      <c r="N260" s="4">
        <f t="shared" si="8"/>
        <v>-0.88946175296037921</v>
      </c>
      <c r="O260" s="4">
        <f t="shared" si="9"/>
        <v>-0.90405686491866555</v>
      </c>
      <c r="P260" t="str" cm="1">
        <f t="array" ref="P260">_xlfn.IFS(AND(F260&gt;15,F260&lt;=30), "Youngsters", AND(F260&gt;30,F260&lt;=50), "Adults", AND(F260&gt;50,F260&lt;=70),"Old person", AND(F260&gt;70, F260&lt;92), "Senior Citizens")</f>
        <v>Senior Citizens</v>
      </c>
      <c r="Q260" t="str" cm="1">
        <f t="array" ref="Q260">_xlfn.IFS(G260=0,"No Tenure Period",AND(G260&gt;0,G260&lt;=3),"Less Tenure Period",AND(G260&gt;3,G260&lt;=7),"More Tenure Period",AND(G260&gt;7,G260&lt;=10),"Large Tenure Period")</f>
        <v>Less Tenure Period</v>
      </c>
      <c r="R260" t="str" cm="1">
        <f t="array" ref="R260">_xlfn.IFS(AND(C260&gt;300,C260&lt;=525),"1 Star",AND(C260&gt;525,C260&lt;=600),"2 Star",AND(C260&gt;600,C260&lt;=700),"3 Star",AND(C260&gt;700,C260&lt;=750),"4 Star",AND(C260&gt;750,C260&lt;=900),"5 Star")</f>
        <v>2 Star</v>
      </c>
      <c r="S260" cm="1">
        <f t="array" ref="S260">_xlfn.IFS(E260="Male",1,E260="Female",2)</f>
        <v>1</v>
      </c>
      <c r="T260" cm="1">
        <f t="array" ref="T260">_xlfn.IFS(D260="France",1,D260="Germany",2,D260="Spain",3)</f>
        <v>3</v>
      </c>
    </row>
    <row r="261" spans="1:20" x14ac:dyDescent="0.3">
      <c r="A261">
        <v>261</v>
      </c>
      <c r="B261" t="s">
        <v>15</v>
      </c>
      <c r="C261" s="5">
        <v>708</v>
      </c>
      <c r="D261" t="s">
        <v>23</v>
      </c>
      <c r="E261" t="s">
        <v>26</v>
      </c>
      <c r="F261">
        <v>57</v>
      </c>
      <c r="G261" s="5">
        <v>2</v>
      </c>
      <c r="H261" s="4">
        <v>85692.93</v>
      </c>
      <c r="I261" s="5">
        <v>1</v>
      </c>
      <c r="J261">
        <v>1</v>
      </c>
      <c r="K261">
        <v>1</v>
      </c>
      <c r="L261" s="4">
        <v>122538.35</v>
      </c>
      <c r="M261">
        <v>0</v>
      </c>
      <c r="N261" s="4">
        <f t="shared" si="8"/>
        <v>-0.59322569046920803</v>
      </c>
      <c r="O261" s="4">
        <f t="shared" si="9"/>
        <v>0.98522542170461258</v>
      </c>
      <c r="P261" t="str" cm="1">
        <f t="array" ref="P261">_xlfn.IFS(AND(F261&gt;15,F261&lt;=30), "Youngsters", AND(F261&gt;30,F261&lt;=50), "Adults", AND(F261&gt;50,F261&lt;=70),"Old person", AND(F261&gt;70, F261&lt;92), "Senior Citizens")</f>
        <v>Old person</v>
      </c>
      <c r="Q261" t="str" cm="1">
        <f t="array" ref="Q261">_xlfn.IFS(G261=0,"No Tenure Period",AND(G261&gt;0,G261&lt;=3),"Less Tenure Period",AND(G261&gt;3,G261&lt;=7),"More Tenure Period",AND(G261&gt;7,G261&lt;=10),"Large Tenure Period")</f>
        <v>Less Tenure Period</v>
      </c>
      <c r="R261" t="str" cm="1">
        <f t="array" ref="R261">_xlfn.IFS(AND(C261&gt;300,C261&lt;=525),"1 Star",AND(C261&gt;525,C261&lt;=600),"2 Star",AND(C261&gt;600,C261&lt;=700),"3 Star",AND(C261&gt;700,C261&lt;=750),"4 Star",AND(C261&gt;750,C261&lt;=900),"5 Star")</f>
        <v>4 Star</v>
      </c>
      <c r="S261" cm="1">
        <f t="array" ref="S261">_xlfn.IFS(E261="Male",1,E261="Female",2)</f>
        <v>2</v>
      </c>
      <c r="T261" cm="1">
        <f t="array" ref="T261">_xlfn.IFS(D261="France",1,D261="Germany",2,D261="Spain",3)</f>
        <v>3</v>
      </c>
    </row>
    <row r="262" spans="1:20" x14ac:dyDescent="0.3">
      <c r="A262">
        <v>262</v>
      </c>
      <c r="B262" t="s">
        <v>19</v>
      </c>
      <c r="C262" s="5">
        <v>370</v>
      </c>
      <c r="D262" t="s">
        <v>22</v>
      </c>
      <c r="E262" t="s">
        <v>25</v>
      </c>
      <c r="F262">
        <v>47</v>
      </c>
      <c r="G262" s="5">
        <v>4</v>
      </c>
      <c r="H262" s="4">
        <v>20999.24</v>
      </c>
      <c r="I262" s="5">
        <v>3</v>
      </c>
      <c r="J262">
        <v>1</v>
      </c>
      <c r="K262">
        <v>1</v>
      </c>
      <c r="L262" s="4">
        <v>33647.800000000003</v>
      </c>
      <c r="M262">
        <v>1</v>
      </c>
      <c r="N262" s="4">
        <f t="shared" si="8"/>
        <v>-1.4920924801902773</v>
      </c>
      <c r="O262" s="4">
        <f t="shared" si="9"/>
        <v>-1.1869343952920917</v>
      </c>
      <c r="P262" t="str" cm="1">
        <f t="array" ref="P262">_xlfn.IFS(AND(F262&gt;15,F262&lt;=30), "Youngsters", AND(F262&gt;30,F262&lt;=50), "Adults", AND(F262&gt;50,F262&lt;=70),"Old person", AND(F262&gt;70, F262&lt;92), "Senior Citizens")</f>
        <v>Adults</v>
      </c>
      <c r="Q262" t="str" cm="1">
        <f t="array" ref="Q262">_xlfn.IFS(G262=0,"No Tenure Period",AND(G262&gt;0,G262&lt;=3),"Less Tenure Period",AND(G262&gt;3,G262&lt;=7),"More Tenure Period",AND(G262&gt;7,G262&lt;=10),"Large Tenure Period")</f>
        <v>More Tenure Period</v>
      </c>
      <c r="R262" t="str" cm="1">
        <f t="array" ref="R262">_xlfn.IFS(AND(C262&gt;300,C262&lt;=525),"1 Star",AND(C262&gt;525,C262&lt;=600),"2 Star",AND(C262&gt;600,C262&lt;=700),"3 Star",AND(C262&gt;700,C262&lt;=750),"4 Star",AND(C262&gt;750,C262&lt;=900),"5 Star")</f>
        <v>1 Star</v>
      </c>
      <c r="S262" cm="1">
        <f t="array" ref="S262">_xlfn.IFS(E262="Male",1,E262="Female",2)</f>
        <v>1</v>
      </c>
      <c r="T262" cm="1">
        <f t="array" ref="T262">_xlfn.IFS(D262="France",1,D262="Germany",2,D262="Spain",3)</f>
        <v>2</v>
      </c>
    </row>
    <row r="263" spans="1:20" x14ac:dyDescent="0.3">
      <c r="A263">
        <v>263</v>
      </c>
      <c r="B263" t="s">
        <v>21</v>
      </c>
      <c r="C263" s="5">
        <v>521</v>
      </c>
      <c r="D263" t="s">
        <v>22</v>
      </c>
      <c r="E263" t="s">
        <v>25</v>
      </c>
      <c r="F263">
        <v>71</v>
      </c>
      <c r="G263" s="5">
        <v>10</v>
      </c>
      <c r="H263" s="4">
        <v>234878.9</v>
      </c>
      <c r="I263" s="5">
        <v>1</v>
      </c>
      <c r="J263">
        <v>0</v>
      </c>
      <c r="K263">
        <v>1</v>
      </c>
      <c r="L263" s="4">
        <v>55748.58</v>
      </c>
      <c r="M263">
        <v>1</v>
      </c>
      <c r="N263" s="4">
        <f t="shared" si="8"/>
        <v>1.4795933731106212</v>
      </c>
      <c r="O263" s="4">
        <f t="shared" si="9"/>
        <v>-0.64687219250130656</v>
      </c>
      <c r="P263" t="str" cm="1">
        <f t="array" ref="P263">_xlfn.IFS(AND(F263&gt;15,F263&lt;=30), "Youngsters", AND(F263&gt;30,F263&lt;=50), "Adults", AND(F263&gt;50,F263&lt;=70),"Old person", AND(F263&gt;70, F263&lt;92), "Senior Citizens")</f>
        <v>Senior Citizens</v>
      </c>
      <c r="Q263" t="str" cm="1">
        <f t="array" ref="Q263">_xlfn.IFS(G263=0,"No Tenure Period",AND(G263&gt;0,G263&lt;=3),"Less Tenure Period",AND(G263&gt;3,G263&lt;=7),"More Tenure Period",AND(G263&gt;7,G263&lt;=10),"Large Tenure Period")</f>
        <v>Large Tenure Period</v>
      </c>
      <c r="R263" t="str" cm="1">
        <f t="array" ref="R263">_xlfn.IFS(AND(C263&gt;300,C263&lt;=525),"1 Star",AND(C263&gt;525,C263&lt;=600),"2 Star",AND(C263&gt;600,C263&lt;=700),"3 Star",AND(C263&gt;700,C263&lt;=750),"4 Star",AND(C263&gt;750,C263&lt;=900),"5 Star")</f>
        <v>1 Star</v>
      </c>
      <c r="S263" cm="1">
        <f t="array" ref="S263">_xlfn.IFS(E263="Male",1,E263="Female",2)</f>
        <v>1</v>
      </c>
      <c r="T263" cm="1">
        <f t="array" ref="T263">_xlfn.IFS(D263="France",1,D263="Germany",2,D263="Spain",3)</f>
        <v>2</v>
      </c>
    </row>
    <row r="264" spans="1:20" x14ac:dyDescent="0.3">
      <c r="A264">
        <v>264</v>
      </c>
      <c r="B264" t="s">
        <v>19</v>
      </c>
      <c r="C264" s="5">
        <v>468</v>
      </c>
      <c r="D264" t="s">
        <v>24</v>
      </c>
      <c r="E264" t="s">
        <v>26</v>
      </c>
      <c r="F264">
        <v>85</v>
      </c>
      <c r="G264" s="5">
        <v>7</v>
      </c>
      <c r="H264" s="4">
        <v>101290.26</v>
      </c>
      <c r="I264" s="5">
        <v>1</v>
      </c>
      <c r="J264">
        <v>1</v>
      </c>
      <c r="K264">
        <v>1</v>
      </c>
      <c r="L264" s="4">
        <v>37047.949999999997</v>
      </c>
      <c r="M264">
        <v>0</v>
      </c>
      <c r="N264" s="4">
        <f t="shared" si="8"/>
        <v>-0.37651333497796724</v>
      </c>
      <c r="O264" s="4">
        <f t="shared" si="9"/>
        <v>-1.1038471694648093</v>
      </c>
      <c r="P264" t="str" cm="1">
        <f t="array" ref="P264">_xlfn.IFS(AND(F264&gt;15,F264&lt;=30), "Youngsters", AND(F264&gt;30,F264&lt;=50), "Adults", AND(F264&gt;50,F264&lt;=70),"Old person", AND(F264&gt;70, F264&lt;92), "Senior Citizens")</f>
        <v>Senior Citizens</v>
      </c>
      <c r="Q264" t="str" cm="1">
        <f t="array" ref="Q264">_xlfn.IFS(G264=0,"No Tenure Period",AND(G264&gt;0,G264&lt;=3),"Less Tenure Period",AND(G264&gt;3,G264&lt;=7),"More Tenure Period",AND(G264&gt;7,G264&lt;=10),"Large Tenure Period")</f>
        <v>More Tenure Period</v>
      </c>
      <c r="R264" t="str" cm="1">
        <f t="array" ref="R264">_xlfn.IFS(AND(C264&gt;300,C264&lt;=525),"1 Star",AND(C264&gt;525,C264&lt;=600),"2 Star",AND(C264&gt;600,C264&lt;=700),"3 Star",AND(C264&gt;700,C264&lt;=750),"4 Star",AND(C264&gt;750,C264&lt;=900),"5 Star")</f>
        <v>1 Star</v>
      </c>
      <c r="S264" cm="1">
        <f t="array" ref="S264">_xlfn.IFS(E264="Male",1,E264="Female",2)</f>
        <v>2</v>
      </c>
      <c r="T264" cm="1">
        <f t="array" ref="T264">_xlfn.IFS(D264="France",1,D264="Germany",2,D264="Spain",3)</f>
        <v>1</v>
      </c>
    </row>
    <row r="265" spans="1:20" x14ac:dyDescent="0.3">
      <c r="A265">
        <v>265</v>
      </c>
      <c r="B265" t="s">
        <v>15</v>
      </c>
      <c r="C265" s="5">
        <v>478</v>
      </c>
      <c r="D265" t="s">
        <v>24</v>
      </c>
      <c r="E265" t="s">
        <v>25</v>
      </c>
      <c r="F265">
        <v>74</v>
      </c>
      <c r="G265" s="5">
        <v>2</v>
      </c>
      <c r="H265" s="4">
        <v>50125.4</v>
      </c>
      <c r="I265" s="5">
        <v>4</v>
      </c>
      <c r="J265">
        <v>1</v>
      </c>
      <c r="K265">
        <v>1</v>
      </c>
      <c r="L265" s="4">
        <v>14640.19</v>
      </c>
      <c r="M265">
        <v>1</v>
      </c>
      <c r="N265" s="4">
        <f t="shared" si="8"/>
        <v>-1.0874079130230279</v>
      </c>
      <c r="O265" s="4">
        <f t="shared" si="9"/>
        <v>-1.6514108403039036</v>
      </c>
      <c r="P265" t="str" cm="1">
        <f t="array" ref="P265">_xlfn.IFS(AND(F265&gt;15,F265&lt;=30), "Youngsters", AND(F265&gt;30,F265&lt;=50), "Adults", AND(F265&gt;50,F265&lt;=70),"Old person", AND(F265&gt;70, F265&lt;92), "Senior Citizens")</f>
        <v>Senior Citizens</v>
      </c>
      <c r="Q265" t="str" cm="1">
        <f t="array" ref="Q265">_xlfn.IFS(G265=0,"No Tenure Period",AND(G265&gt;0,G265&lt;=3),"Less Tenure Period",AND(G265&gt;3,G265&lt;=7),"More Tenure Period",AND(G265&gt;7,G265&lt;=10),"Large Tenure Period")</f>
        <v>Less Tenure Period</v>
      </c>
      <c r="R265" t="str" cm="1">
        <f t="array" ref="R265">_xlfn.IFS(AND(C265&gt;300,C265&lt;=525),"1 Star",AND(C265&gt;525,C265&lt;=600),"2 Star",AND(C265&gt;600,C265&lt;=700),"3 Star",AND(C265&gt;700,C265&lt;=750),"4 Star",AND(C265&gt;750,C265&lt;=900),"5 Star")</f>
        <v>1 Star</v>
      </c>
      <c r="S265" cm="1">
        <f t="array" ref="S265">_xlfn.IFS(E265="Male",1,E265="Female",2)</f>
        <v>1</v>
      </c>
      <c r="T265" cm="1">
        <f t="array" ref="T265">_xlfn.IFS(D265="France",1,D265="Germany",2,D265="Spain",3)</f>
        <v>1</v>
      </c>
    </row>
    <row r="266" spans="1:20" x14ac:dyDescent="0.3">
      <c r="A266">
        <v>266</v>
      </c>
      <c r="B266" t="s">
        <v>17</v>
      </c>
      <c r="C266" s="5">
        <v>834</v>
      </c>
      <c r="D266" t="s">
        <v>23</v>
      </c>
      <c r="E266" t="s">
        <v>26</v>
      </c>
      <c r="F266">
        <v>63</v>
      </c>
      <c r="G266" s="5">
        <v>4</v>
      </c>
      <c r="H266" s="4">
        <v>85953.51</v>
      </c>
      <c r="I266" s="5">
        <v>2</v>
      </c>
      <c r="J266">
        <v>1</v>
      </c>
      <c r="K266">
        <v>1</v>
      </c>
      <c r="L266" s="4">
        <v>91754.31</v>
      </c>
      <c r="M266">
        <v>0</v>
      </c>
      <c r="N266" s="4">
        <f t="shared" si="8"/>
        <v>-0.58960514095246974</v>
      </c>
      <c r="O266" s="4">
        <f t="shared" si="9"/>
        <v>0.23297611406933263</v>
      </c>
      <c r="P266" t="str" cm="1">
        <f t="array" ref="P266">_xlfn.IFS(AND(F266&gt;15,F266&lt;=30), "Youngsters", AND(F266&gt;30,F266&lt;=50), "Adults", AND(F266&gt;50,F266&lt;=70),"Old person", AND(F266&gt;70, F266&lt;92), "Senior Citizens")</f>
        <v>Old person</v>
      </c>
      <c r="Q266" t="str" cm="1">
        <f t="array" ref="Q266">_xlfn.IFS(G266=0,"No Tenure Period",AND(G266&gt;0,G266&lt;=3),"Less Tenure Period",AND(G266&gt;3,G266&lt;=7),"More Tenure Period",AND(G266&gt;7,G266&lt;=10),"Large Tenure Period")</f>
        <v>More Tenure Period</v>
      </c>
      <c r="R266" t="str" cm="1">
        <f t="array" ref="R266">_xlfn.IFS(AND(C266&gt;300,C266&lt;=525),"1 Star",AND(C266&gt;525,C266&lt;=600),"2 Star",AND(C266&gt;600,C266&lt;=700),"3 Star",AND(C266&gt;700,C266&lt;=750),"4 Star",AND(C266&gt;750,C266&lt;=900),"5 Star")</f>
        <v>5 Star</v>
      </c>
      <c r="S266" cm="1">
        <f t="array" ref="S266">_xlfn.IFS(E266="Male",1,E266="Female",2)</f>
        <v>2</v>
      </c>
      <c r="T266" cm="1">
        <f t="array" ref="T266">_xlfn.IFS(D266="France",1,D266="Germany",2,D266="Spain",3)</f>
        <v>3</v>
      </c>
    </row>
    <row r="267" spans="1:20" x14ac:dyDescent="0.3">
      <c r="A267">
        <v>267</v>
      </c>
      <c r="B267" t="s">
        <v>14</v>
      </c>
      <c r="C267" s="5">
        <v>715</v>
      </c>
      <c r="D267" t="s">
        <v>24</v>
      </c>
      <c r="E267" t="s">
        <v>25</v>
      </c>
      <c r="F267">
        <v>29</v>
      </c>
      <c r="G267" s="5">
        <v>4</v>
      </c>
      <c r="H267" s="4">
        <v>48947.26</v>
      </c>
      <c r="I267" s="5">
        <v>4</v>
      </c>
      <c r="J267">
        <v>1</v>
      </c>
      <c r="K267">
        <v>0</v>
      </c>
      <c r="L267" s="4">
        <v>119204.73</v>
      </c>
      <c r="M267">
        <v>1</v>
      </c>
      <c r="N267" s="4">
        <f t="shared" si="8"/>
        <v>-1.1037772207505969</v>
      </c>
      <c r="O267" s="4">
        <f t="shared" si="9"/>
        <v>0.90376394566315965</v>
      </c>
      <c r="P267" t="str" cm="1">
        <f t="array" ref="P267">_xlfn.IFS(AND(F267&gt;15,F267&lt;=30), "Youngsters", AND(F267&gt;30,F267&lt;=50), "Adults", AND(F267&gt;50,F267&lt;=70),"Old person", AND(F267&gt;70, F267&lt;92), "Senior Citizens")</f>
        <v>Youngsters</v>
      </c>
      <c r="Q267" t="str" cm="1">
        <f t="array" ref="Q267">_xlfn.IFS(G267=0,"No Tenure Period",AND(G267&gt;0,G267&lt;=3),"Less Tenure Period",AND(G267&gt;3,G267&lt;=7),"More Tenure Period",AND(G267&gt;7,G267&lt;=10),"Large Tenure Period")</f>
        <v>More Tenure Period</v>
      </c>
      <c r="R267" t="str" cm="1">
        <f t="array" ref="R267">_xlfn.IFS(AND(C267&gt;300,C267&lt;=525),"1 Star",AND(C267&gt;525,C267&lt;=600),"2 Star",AND(C267&gt;600,C267&lt;=700),"3 Star",AND(C267&gt;700,C267&lt;=750),"4 Star",AND(C267&gt;750,C267&lt;=900),"5 Star")</f>
        <v>4 Star</v>
      </c>
      <c r="S267" cm="1">
        <f t="array" ref="S267">_xlfn.IFS(E267="Male",1,E267="Female",2)</f>
        <v>1</v>
      </c>
      <c r="T267" cm="1">
        <f t="array" ref="T267">_xlfn.IFS(D267="France",1,D267="Germany",2,D267="Spain",3)</f>
        <v>1</v>
      </c>
    </row>
    <row r="268" spans="1:20" x14ac:dyDescent="0.3">
      <c r="A268">
        <v>268</v>
      </c>
      <c r="B268" t="s">
        <v>21</v>
      </c>
      <c r="C268" s="5">
        <v>455</v>
      </c>
      <c r="D268" t="s">
        <v>22</v>
      </c>
      <c r="E268" t="s">
        <v>26</v>
      </c>
      <c r="F268">
        <v>23</v>
      </c>
      <c r="G268" s="5">
        <v>9</v>
      </c>
      <c r="H268" s="4">
        <v>63959.82</v>
      </c>
      <c r="I268" s="5">
        <v>4</v>
      </c>
      <c r="J268">
        <v>0</v>
      </c>
      <c r="K268">
        <v>1</v>
      </c>
      <c r="L268" s="4">
        <v>124481.95</v>
      </c>
      <c r="M268">
        <v>0</v>
      </c>
      <c r="N268" s="4">
        <f t="shared" si="8"/>
        <v>-0.89518977408161082</v>
      </c>
      <c r="O268" s="4">
        <f t="shared" si="9"/>
        <v>1.032719894630191</v>
      </c>
      <c r="P268" t="str" cm="1">
        <f t="array" ref="P268">_xlfn.IFS(AND(F268&gt;15,F268&lt;=30), "Youngsters", AND(F268&gt;30,F268&lt;=50), "Adults", AND(F268&gt;50,F268&lt;=70),"Old person", AND(F268&gt;70, F268&lt;92), "Senior Citizens")</f>
        <v>Youngsters</v>
      </c>
      <c r="Q268" t="str" cm="1">
        <f t="array" ref="Q268">_xlfn.IFS(G268=0,"No Tenure Period",AND(G268&gt;0,G268&lt;=3),"Less Tenure Period",AND(G268&gt;3,G268&lt;=7),"More Tenure Period",AND(G268&gt;7,G268&lt;=10),"Large Tenure Period")</f>
        <v>Large Tenure Period</v>
      </c>
      <c r="R268" t="str" cm="1">
        <f t="array" ref="R268">_xlfn.IFS(AND(C268&gt;300,C268&lt;=525),"1 Star",AND(C268&gt;525,C268&lt;=600),"2 Star",AND(C268&gt;600,C268&lt;=700),"3 Star",AND(C268&gt;700,C268&lt;=750),"4 Star",AND(C268&gt;750,C268&lt;=900),"5 Star")</f>
        <v>1 Star</v>
      </c>
      <c r="S268" cm="1">
        <f t="array" ref="S268">_xlfn.IFS(E268="Male",1,E268="Female",2)</f>
        <v>2</v>
      </c>
      <c r="T268" cm="1">
        <f t="array" ref="T268">_xlfn.IFS(D268="France",1,D268="Germany",2,D268="Spain",3)</f>
        <v>2</v>
      </c>
    </row>
    <row r="269" spans="1:20" x14ac:dyDescent="0.3">
      <c r="A269">
        <v>269</v>
      </c>
      <c r="B269" t="s">
        <v>16</v>
      </c>
      <c r="C269" s="5">
        <v>544</v>
      </c>
      <c r="D269" t="s">
        <v>22</v>
      </c>
      <c r="E269" t="s">
        <v>25</v>
      </c>
      <c r="F269">
        <v>48</v>
      </c>
      <c r="G269" s="5">
        <v>1</v>
      </c>
      <c r="H269" s="4">
        <v>189398.99</v>
      </c>
      <c r="I269" s="5">
        <v>2</v>
      </c>
      <c r="J269">
        <v>1</v>
      </c>
      <c r="K269">
        <v>1</v>
      </c>
      <c r="L269" s="4">
        <v>106385.78</v>
      </c>
      <c r="M269">
        <v>1</v>
      </c>
      <c r="N269" s="4">
        <f t="shared" si="8"/>
        <v>0.84768660293715969</v>
      </c>
      <c r="O269" s="4">
        <f t="shared" si="9"/>
        <v>0.59051570852107993</v>
      </c>
      <c r="P269" t="str" cm="1">
        <f t="array" ref="P269">_xlfn.IFS(AND(F269&gt;15,F269&lt;=30), "Youngsters", AND(F269&gt;30,F269&lt;=50), "Adults", AND(F269&gt;50,F269&lt;=70),"Old person", AND(F269&gt;70, F269&lt;92), "Senior Citizens")</f>
        <v>Adults</v>
      </c>
      <c r="Q269" t="str" cm="1">
        <f t="array" ref="Q269">_xlfn.IFS(G269=0,"No Tenure Period",AND(G269&gt;0,G269&lt;=3),"Less Tenure Period",AND(G269&gt;3,G269&lt;=7),"More Tenure Period",AND(G269&gt;7,G269&lt;=10),"Large Tenure Period")</f>
        <v>Less Tenure Period</v>
      </c>
      <c r="R269" t="str" cm="1">
        <f t="array" ref="R269">_xlfn.IFS(AND(C269&gt;300,C269&lt;=525),"1 Star",AND(C269&gt;525,C269&lt;=600),"2 Star",AND(C269&gt;600,C269&lt;=700),"3 Star",AND(C269&gt;700,C269&lt;=750),"4 Star",AND(C269&gt;750,C269&lt;=900),"5 Star")</f>
        <v>2 Star</v>
      </c>
      <c r="S269" cm="1">
        <f t="array" ref="S269">_xlfn.IFS(E269="Male",1,E269="Female",2)</f>
        <v>1</v>
      </c>
      <c r="T269" cm="1">
        <f t="array" ref="T269">_xlfn.IFS(D269="France",1,D269="Germany",2,D269="Spain",3)</f>
        <v>2</v>
      </c>
    </row>
    <row r="270" spans="1:20" x14ac:dyDescent="0.3">
      <c r="A270">
        <v>270</v>
      </c>
      <c r="B270" t="s">
        <v>12</v>
      </c>
      <c r="C270" s="5">
        <v>575</v>
      </c>
      <c r="D270" t="s">
        <v>22</v>
      </c>
      <c r="E270" t="s">
        <v>25</v>
      </c>
      <c r="F270">
        <v>76</v>
      </c>
      <c r="G270" s="5">
        <v>5</v>
      </c>
      <c r="H270" s="4">
        <v>59505.51</v>
      </c>
      <c r="I270" s="5">
        <v>4</v>
      </c>
      <c r="J270">
        <v>1</v>
      </c>
      <c r="K270">
        <v>0</v>
      </c>
      <c r="L270" s="4">
        <v>116792.39</v>
      </c>
      <c r="M270">
        <v>1</v>
      </c>
      <c r="N270" s="4">
        <f t="shared" si="8"/>
        <v>-0.95707882895114205</v>
      </c>
      <c r="O270" s="4">
        <f t="shared" si="9"/>
        <v>0.84481518212267281</v>
      </c>
      <c r="P270" t="str" cm="1">
        <f t="array" ref="P270">_xlfn.IFS(AND(F270&gt;15,F270&lt;=30), "Youngsters", AND(F270&gt;30,F270&lt;=50), "Adults", AND(F270&gt;50,F270&lt;=70),"Old person", AND(F270&gt;70, F270&lt;92), "Senior Citizens")</f>
        <v>Senior Citizens</v>
      </c>
      <c r="Q270" t="str" cm="1">
        <f t="array" ref="Q270">_xlfn.IFS(G270=0,"No Tenure Period",AND(G270&gt;0,G270&lt;=3),"Less Tenure Period",AND(G270&gt;3,G270&lt;=7),"More Tenure Period",AND(G270&gt;7,G270&lt;=10),"Large Tenure Period")</f>
        <v>More Tenure Period</v>
      </c>
      <c r="R270" t="str" cm="1">
        <f t="array" ref="R270">_xlfn.IFS(AND(C270&gt;300,C270&lt;=525),"1 Star",AND(C270&gt;525,C270&lt;=600),"2 Star",AND(C270&gt;600,C270&lt;=700),"3 Star",AND(C270&gt;700,C270&lt;=750),"4 Star",AND(C270&gt;750,C270&lt;=900),"5 Star")</f>
        <v>2 Star</v>
      </c>
      <c r="S270" cm="1">
        <f t="array" ref="S270">_xlfn.IFS(E270="Male",1,E270="Female",2)</f>
        <v>1</v>
      </c>
      <c r="T270" cm="1">
        <f t="array" ref="T270">_xlfn.IFS(D270="France",1,D270="Germany",2,D270="Spain",3)</f>
        <v>2</v>
      </c>
    </row>
    <row r="271" spans="1:20" x14ac:dyDescent="0.3">
      <c r="A271">
        <v>271</v>
      </c>
      <c r="B271" t="s">
        <v>16</v>
      </c>
      <c r="C271" s="5">
        <v>490</v>
      </c>
      <c r="D271" t="s">
        <v>23</v>
      </c>
      <c r="E271" t="s">
        <v>26</v>
      </c>
      <c r="F271">
        <v>86</v>
      </c>
      <c r="G271" s="5">
        <v>3</v>
      </c>
      <c r="H271" s="4">
        <v>174710.86</v>
      </c>
      <c r="I271" s="5">
        <v>3</v>
      </c>
      <c r="J271">
        <v>1</v>
      </c>
      <c r="K271">
        <v>1</v>
      </c>
      <c r="L271" s="4">
        <v>72099.13</v>
      </c>
      <c r="M271">
        <v>1</v>
      </c>
      <c r="N271" s="4">
        <f t="shared" si="8"/>
        <v>0.64360685018065855</v>
      </c>
      <c r="O271" s="4">
        <f t="shared" si="9"/>
        <v>-0.24732457246975689</v>
      </c>
      <c r="P271" t="str" cm="1">
        <f t="array" ref="P271">_xlfn.IFS(AND(F271&gt;15,F271&lt;=30), "Youngsters", AND(F271&gt;30,F271&lt;=50), "Adults", AND(F271&gt;50,F271&lt;=70),"Old person", AND(F271&gt;70, F271&lt;92), "Senior Citizens")</f>
        <v>Senior Citizens</v>
      </c>
      <c r="Q271" t="str" cm="1">
        <f t="array" ref="Q271">_xlfn.IFS(G271=0,"No Tenure Period",AND(G271&gt;0,G271&lt;=3),"Less Tenure Period",AND(G271&gt;3,G271&lt;=7),"More Tenure Period",AND(G271&gt;7,G271&lt;=10),"Large Tenure Period")</f>
        <v>Less Tenure Period</v>
      </c>
      <c r="R271" t="str" cm="1">
        <f t="array" ref="R271">_xlfn.IFS(AND(C271&gt;300,C271&lt;=525),"1 Star",AND(C271&gt;525,C271&lt;=600),"2 Star",AND(C271&gt;600,C271&lt;=700),"3 Star",AND(C271&gt;700,C271&lt;=750),"4 Star",AND(C271&gt;750,C271&lt;=900),"5 Star")</f>
        <v>1 Star</v>
      </c>
      <c r="S271" cm="1">
        <f t="array" ref="S271">_xlfn.IFS(E271="Male",1,E271="Female",2)</f>
        <v>2</v>
      </c>
      <c r="T271" cm="1">
        <f t="array" ref="T271">_xlfn.IFS(D271="France",1,D271="Germany",2,D271="Spain",3)</f>
        <v>3</v>
      </c>
    </row>
    <row r="272" spans="1:20" x14ac:dyDescent="0.3">
      <c r="A272">
        <v>272</v>
      </c>
      <c r="B272" t="s">
        <v>16</v>
      </c>
      <c r="C272" s="5">
        <v>621</v>
      </c>
      <c r="D272" t="s">
        <v>24</v>
      </c>
      <c r="E272" t="s">
        <v>26</v>
      </c>
      <c r="F272">
        <v>77</v>
      </c>
      <c r="G272" s="5">
        <v>7</v>
      </c>
      <c r="H272" s="4">
        <v>148341.38</v>
      </c>
      <c r="I272" s="5">
        <v>2</v>
      </c>
      <c r="J272">
        <v>0</v>
      </c>
      <c r="K272">
        <v>1</v>
      </c>
      <c r="L272" s="4">
        <v>26002.71</v>
      </c>
      <c r="M272">
        <v>1</v>
      </c>
      <c r="N272" s="4">
        <f t="shared" si="8"/>
        <v>0.27722413442872157</v>
      </c>
      <c r="O272" s="4">
        <f t="shared" si="9"/>
        <v>-1.3737524237025733</v>
      </c>
      <c r="P272" t="str" cm="1">
        <f t="array" ref="P272">_xlfn.IFS(AND(F272&gt;15,F272&lt;=30), "Youngsters", AND(F272&gt;30,F272&lt;=50), "Adults", AND(F272&gt;50,F272&lt;=70),"Old person", AND(F272&gt;70, F272&lt;92), "Senior Citizens")</f>
        <v>Senior Citizens</v>
      </c>
      <c r="Q272" t="str" cm="1">
        <f t="array" ref="Q272">_xlfn.IFS(G272=0,"No Tenure Period",AND(G272&gt;0,G272&lt;=3),"Less Tenure Period",AND(G272&gt;3,G272&lt;=7),"More Tenure Period",AND(G272&gt;7,G272&lt;=10),"Large Tenure Period")</f>
        <v>More Tenure Period</v>
      </c>
      <c r="R272" t="str" cm="1">
        <f t="array" ref="R272">_xlfn.IFS(AND(C272&gt;300,C272&lt;=525),"1 Star",AND(C272&gt;525,C272&lt;=600),"2 Star",AND(C272&gt;600,C272&lt;=700),"3 Star",AND(C272&gt;700,C272&lt;=750),"4 Star",AND(C272&gt;750,C272&lt;=900),"5 Star")</f>
        <v>3 Star</v>
      </c>
      <c r="S272" cm="1">
        <f t="array" ref="S272">_xlfn.IFS(E272="Male",1,E272="Female",2)</f>
        <v>2</v>
      </c>
      <c r="T272" cm="1">
        <f t="array" ref="T272">_xlfn.IFS(D272="France",1,D272="Germany",2,D272="Spain",3)</f>
        <v>1</v>
      </c>
    </row>
    <row r="273" spans="1:20" x14ac:dyDescent="0.3">
      <c r="A273">
        <v>273</v>
      </c>
      <c r="B273" t="s">
        <v>17</v>
      </c>
      <c r="C273" s="5">
        <v>468</v>
      </c>
      <c r="D273" t="s">
        <v>24</v>
      </c>
      <c r="E273" t="s">
        <v>25</v>
      </c>
      <c r="F273">
        <v>50</v>
      </c>
      <c r="G273" s="5">
        <v>4</v>
      </c>
      <c r="H273" s="4">
        <v>36270.720000000001</v>
      </c>
      <c r="I273" s="5">
        <v>4</v>
      </c>
      <c r="J273">
        <v>0</v>
      </c>
      <c r="K273">
        <v>0</v>
      </c>
      <c r="L273" s="4">
        <v>48088.94</v>
      </c>
      <c r="M273">
        <v>1</v>
      </c>
      <c r="N273" s="4">
        <f t="shared" si="8"/>
        <v>-1.2799075483694224</v>
      </c>
      <c r="O273" s="4">
        <f t="shared" si="9"/>
        <v>-0.8340457696775152</v>
      </c>
      <c r="P273" t="str" cm="1">
        <f t="array" ref="P273">_xlfn.IFS(AND(F273&gt;15,F273&lt;=30), "Youngsters", AND(F273&gt;30,F273&lt;=50), "Adults", AND(F273&gt;50,F273&lt;=70),"Old person", AND(F273&gt;70, F273&lt;92), "Senior Citizens")</f>
        <v>Adults</v>
      </c>
      <c r="Q273" t="str" cm="1">
        <f t="array" ref="Q273">_xlfn.IFS(G273=0,"No Tenure Period",AND(G273&gt;0,G273&lt;=3),"Less Tenure Period",AND(G273&gt;3,G273&lt;=7),"More Tenure Period",AND(G273&gt;7,G273&lt;=10),"Large Tenure Period")</f>
        <v>More Tenure Period</v>
      </c>
      <c r="R273" t="str" cm="1">
        <f t="array" ref="R273">_xlfn.IFS(AND(C273&gt;300,C273&lt;=525),"1 Star",AND(C273&gt;525,C273&lt;=600),"2 Star",AND(C273&gt;600,C273&lt;=700),"3 Star",AND(C273&gt;700,C273&lt;=750),"4 Star",AND(C273&gt;750,C273&lt;=900),"5 Star")</f>
        <v>1 Star</v>
      </c>
      <c r="S273" cm="1">
        <f t="array" ref="S273">_xlfn.IFS(E273="Male",1,E273="Female",2)</f>
        <v>1</v>
      </c>
      <c r="T273" cm="1">
        <f t="array" ref="T273">_xlfn.IFS(D273="France",1,D273="Germany",2,D273="Spain",3)</f>
        <v>1</v>
      </c>
    </row>
    <row r="274" spans="1:20" x14ac:dyDescent="0.3">
      <c r="A274">
        <v>274</v>
      </c>
      <c r="B274" t="s">
        <v>13</v>
      </c>
      <c r="C274" s="5">
        <v>383</v>
      </c>
      <c r="D274" t="s">
        <v>24</v>
      </c>
      <c r="E274" t="s">
        <v>25</v>
      </c>
      <c r="F274">
        <v>55</v>
      </c>
      <c r="G274" s="5">
        <v>10</v>
      </c>
      <c r="H274" s="4">
        <v>190927.15</v>
      </c>
      <c r="I274" s="5">
        <v>3</v>
      </c>
      <c r="J274">
        <v>1</v>
      </c>
      <c r="K274">
        <v>0</v>
      </c>
      <c r="L274" s="4">
        <v>88503.02</v>
      </c>
      <c r="M274">
        <v>1</v>
      </c>
      <c r="N274" s="4">
        <f t="shared" si="8"/>
        <v>0.86891915704529843</v>
      </c>
      <c r="O274" s="4">
        <f t="shared" si="9"/>
        <v>0.15352648200604582</v>
      </c>
      <c r="P274" t="str" cm="1">
        <f t="array" ref="P274">_xlfn.IFS(AND(F274&gt;15,F274&lt;=30), "Youngsters", AND(F274&gt;30,F274&lt;=50), "Adults", AND(F274&gt;50,F274&lt;=70),"Old person", AND(F274&gt;70, F274&lt;92), "Senior Citizens")</f>
        <v>Old person</v>
      </c>
      <c r="Q274" t="str" cm="1">
        <f t="array" ref="Q274">_xlfn.IFS(G274=0,"No Tenure Period",AND(G274&gt;0,G274&lt;=3),"Less Tenure Period",AND(G274&gt;3,G274&lt;=7),"More Tenure Period",AND(G274&gt;7,G274&lt;=10),"Large Tenure Period")</f>
        <v>Large Tenure Period</v>
      </c>
      <c r="R274" t="str" cm="1">
        <f t="array" ref="R274">_xlfn.IFS(AND(C274&gt;300,C274&lt;=525),"1 Star",AND(C274&gt;525,C274&lt;=600),"2 Star",AND(C274&gt;600,C274&lt;=700),"3 Star",AND(C274&gt;700,C274&lt;=750),"4 Star",AND(C274&gt;750,C274&lt;=900),"5 Star")</f>
        <v>1 Star</v>
      </c>
      <c r="S274" cm="1">
        <f t="array" ref="S274">_xlfn.IFS(E274="Male",1,E274="Female",2)</f>
        <v>1</v>
      </c>
      <c r="T274" cm="1">
        <f t="array" ref="T274">_xlfn.IFS(D274="France",1,D274="Germany",2,D274="Spain",3)</f>
        <v>1</v>
      </c>
    </row>
    <row r="275" spans="1:20" x14ac:dyDescent="0.3">
      <c r="A275">
        <v>275</v>
      </c>
      <c r="B275" t="s">
        <v>16</v>
      </c>
      <c r="C275" s="5">
        <v>501</v>
      </c>
      <c r="D275" t="s">
        <v>24</v>
      </c>
      <c r="E275" t="s">
        <v>25</v>
      </c>
      <c r="F275">
        <v>61</v>
      </c>
      <c r="G275" s="5">
        <v>2</v>
      </c>
      <c r="H275" s="4">
        <v>213218.12</v>
      </c>
      <c r="I275" s="5">
        <v>1</v>
      </c>
      <c r="J275">
        <v>1</v>
      </c>
      <c r="K275">
        <v>0</v>
      </c>
      <c r="L275" s="4">
        <v>140183.29</v>
      </c>
      <c r="M275">
        <v>0</v>
      </c>
      <c r="N275" s="4">
        <f t="shared" si="8"/>
        <v>1.1786342566735415</v>
      </c>
      <c r="O275" s="4">
        <f t="shared" si="9"/>
        <v>1.4164031975347524</v>
      </c>
      <c r="P275" t="str" cm="1">
        <f t="array" ref="P275">_xlfn.IFS(AND(F275&gt;15,F275&lt;=30), "Youngsters", AND(F275&gt;30,F275&lt;=50), "Adults", AND(F275&gt;50,F275&lt;=70),"Old person", AND(F275&gt;70, F275&lt;92), "Senior Citizens")</f>
        <v>Old person</v>
      </c>
      <c r="Q275" t="str" cm="1">
        <f t="array" ref="Q275">_xlfn.IFS(G275=0,"No Tenure Period",AND(G275&gt;0,G275&lt;=3),"Less Tenure Period",AND(G275&gt;3,G275&lt;=7),"More Tenure Period",AND(G275&gt;7,G275&lt;=10),"Large Tenure Period")</f>
        <v>Less Tenure Period</v>
      </c>
      <c r="R275" t="str" cm="1">
        <f t="array" ref="R275">_xlfn.IFS(AND(C275&gt;300,C275&lt;=525),"1 Star",AND(C275&gt;525,C275&lt;=600),"2 Star",AND(C275&gt;600,C275&lt;=700),"3 Star",AND(C275&gt;700,C275&lt;=750),"4 Star",AND(C275&gt;750,C275&lt;=900),"5 Star")</f>
        <v>1 Star</v>
      </c>
      <c r="S275" cm="1">
        <f t="array" ref="S275">_xlfn.IFS(E275="Male",1,E275="Female",2)</f>
        <v>1</v>
      </c>
      <c r="T275" cm="1">
        <f t="array" ref="T275">_xlfn.IFS(D275="France",1,D275="Germany",2,D275="Spain",3)</f>
        <v>1</v>
      </c>
    </row>
    <row r="276" spans="1:20" x14ac:dyDescent="0.3">
      <c r="A276">
        <v>276</v>
      </c>
      <c r="B276" t="s">
        <v>21</v>
      </c>
      <c r="C276" s="5">
        <v>746</v>
      </c>
      <c r="D276" t="s">
        <v>24</v>
      </c>
      <c r="E276" t="s">
        <v>25</v>
      </c>
      <c r="F276">
        <v>78</v>
      </c>
      <c r="G276" s="5">
        <v>0</v>
      </c>
      <c r="H276" s="4">
        <v>238996.86</v>
      </c>
      <c r="I276" s="5">
        <v>2</v>
      </c>
      <c r="J276">
        <v>1</v>
      </c>
      <c r="K276">
        <v>0</v>
      </c>
      <c r="L276" s="4">
        <v>105194.71</v>
      </c>
      <c r="M276">
        <v>0</v>
      </c>
      <c r="N276" s="4">
        <f t="shared" si="8"/>
        <v>1.5368091152548669</v>
      </c>
      <c r="O276" s="4">
        <f t="shared" si="9"/>
        <v>0.56141031550427167</v>
      </c>
      <c r="P276" t="str" cm="1">
        <f t="array" ref="P276">_xlfn.IFS(AND(F276&gt;15,F276&lt;=30), "Youngsters", AND(F276&gt;30,F276&lt;=50), "Adults", AND(F276&gt;50,F276&lt;=70),"Old person", AND(F276&gt;70, F276&lt;92), "Senior Citizens")</f>
        <v>Senior Citizens</v>
      </c>
      <c r="Q276" t="str" cm="1">
        <f t="array" ref="Q276">_xlfn.IFS(G276=0,"No Tenure Period",AND(G276&gt;0,G276&lt;=3),"Less Tenure Period",AND(G276&gt;3,G276&lt;=7),"More Tenure Period",AND(G276&gt;7,G276&lt;=10),"Large Tenure Period")</f>
        <v>No Tenure Period</v>
      </c>
      <c r="R276" t="str" cm="1">
        <f t="array" ref="R276">_xlfn.IFS(AND(C276&gt;300,C276&lt;=525),"1 Star",AND(C276&gt;525,C276&lt;=600),"2 Star",AND(C276&gt;600,C276&lt;=700),"3 Star",AND(C276&gt;700,C276&lt;=750),"4 Star",AND(C276&gt;750,C276&lt;=900),"5 Star")</f>
        <v>4 Star</v>
      </c>
      <c r="S276" cm="1">
        <f t="array" ref="S276">_xlfn.IFS(E276="Male",1,E276="Female",2)</f>
        <v>1</v>
      </c>
      <c r="T276" cm="1">
        <f t="array" ref="T276">_xlfn.IFS(D276="France",1,D276="Germany",2,D276="Spain",3)</f>
        <v>1</v>
      </c>
    </row>
    <row r="277" spans="1:20" x14ac:dyDescent="0.3">
      <c r="A277">
        <v>277</v>
      </c>
      <c r="B277" t="s">
        <v>16</v>
      </c>
      <c r="C277" s="5">
        <v>739</v>
      </c>
      <c r="D277" t="s">
        <v>24</v>
      </c>
      <c r="E277" t="s">
        <v>25</v>
      </c>
      <c r="F277">
        <v>63</v>
      </c>
      <c r="G277" s="5">
        <v>9</v>
      </c>
      <c r="H277" s="4">
        <v>239749.84</v>
      </c>
      <c r="I277" s="5">
        <v>1</v>
      </c>
      <c r="J277">
        <v>0</v>
      </c>
      <c r="K277">
        <v>0</v>
      </c>
      <c r="L277" s="4">
        <v>35871.660000000003</v>
      </c>
      <c r="M277">
        <v>0</v>
      </c>
      <c r="N277" s="4">
        <f t="shared" si="8"/>
        <v>1.5472711667366139</v>
      </c>
      <c r="O277" s="4">
        <f t="shared" si="9"/>
        <v>-1.1325913933573946</v>
      </c>
      <c r="P277" t="str" cm="1">
        <f t="array" ref="P277">_xlfn.IFS(AND(F277&gt;15,F277&lt;=30), "Youngsters", AND(F277&gt;30,F277&lt;=50), "Adults", AND(F277&gt;50,F277&lt;=70),"Old person", AND(F277&gt;70, F277&lt;92), "Senior Citizens")</f>
        <v>Old person</v>
      </c>
      <c r="Q277" t="str" cm="1">
        <f t="array" ref="Q277">_xlfn.IFS(G277=0,"No Tenure Period",AND(G277&gt;0,G277&lt;=3),"Less Tenure Period",AND(G277&gt;3,G277&lt;=7),"More Tenure Period",AND(G277&gt;7,G277&lt;=10),"Large Tenure Period")</f>
        <v>Large Tenure Period</v>
      </c>
      <c r="R277" t="str" cm="1">
        <f t="array" ref="R277">_xlfn.IFS(AND(C277&gt;300,C277&lt;=525),"1 Star",AND(C277&gt;525,C277&lt;=600),"2 Star",AND(C277&gt;600,C277&lt;=700),"3 Star",AND(C277&gt;700,C277&lt;=750),"4 Star",AND(C277&gt;750,C277&lt;=900),"5 Star")</f>
        <v>4 Star</v>
      </c>
      <c r="S277" cm="1">
        <f t="array" ref="S277">_xlfn.IFS(E277="Male",1,E277="Female",2)</f>
        <v>1</v>
      </c>
      <c r="T277" cm="1">
        <f t="array" ref="T277">_xlfn.IFS(D277="France",1,D277="Germany",2,D277="Spain",3)</f>
        <v>1</v>
      </c>
    </row>
    <row r="278" spans="1:20" x14ac:dyDescent="0.3">
      <c r="A278">
        <v>278</v>
      </c>
      <c r="B278" t="s">
        <v>13</v>
      </c>
      <c r="C278" s="5">
        <v>388</v>
      </c>
      <c r="D278" t="s">
        <v>24</v>
      </c>
      <c r="E278" t="s">
        <v>26</v>
      </c>
      <c r="F278">
        <v>47</v>
      </c>
      <c r="G278" s="5">
        <v>2</v>
      </c>
      <c r="H278" s="4">
        <v>176592.7</v>
      </c>
      <c r="I278" s="5">
        <v>4</v>
      </c>
      <c r="J278">
        <v>0</v>
      </c>
      <c r="K278">
        <v>0</v>
      </c>
      <c r="L278" s="4">
        <v>75036.289999999994</v>
      </c>
      <c r="M278">
        <v>1</v>
      </c>
      <c r="N278" s="4">
        <f t="shared" si="8"/>
        <v>0.6697535034256461</v>
      </c>
      <c r="O278" s="4">
        <f t="shared" si="9"/>
        <v>-0.17555112829498223</v>
      </c>
      <c r="P278" t="str" cm="1">
        <f t="array" ref="P278">_xlfn.IFS(AND(F278&gt;15,F278&lt;=30), "Youngsters", AND(F278&gt;30,F278&lt;=50), "Adults", AND(F278&gt;50,F278&lt;=70),"Old person", AND(F278&gt;70, F278&lt;92), "Senior Citizens")</f>
        <v>Adults</v>
      </c>
      <c r="Q278" t="str" cm="1">
        <f t="array" ref="Q278">_xlfn.IFS(G278=0,"No Tenure Period",AND(G278&gt;0,G278&lt;=3),"Less Tenure Period",AND(G278&gt;3,G278&lt;=7),"More Tenure Period",AND(G278&gt;7,G278&lt;=10),"Large Tenure Period")</f>
        <v>Less Tenure Period</v>
      </c>
      <c r="R278" t="str" cm="1">
        <f t="array" ref="R278">_xlfn.IFS(AND(C278&gt;300,C278&lt;=525),"1 Star",AND(C278&gt;525,C278&lt;=600),"2 Star",AND(C278&gt;600,C278&lt;=700),"3 Star",AND(C278&gt;700,C278&lt;=750),"4 Star",AND(C278&gt;750,C278&lt;=900),"5 Star")</f>
        <v>1 Star</v>
      </c>
      <c r="S278" cm="1">
        <f t="array" ref="S278">_xlfn.IFS(E278="Male",1,E278="Female",2)</f>
        <v>2</v>
      </c>
      <c r="T278" cm="1">
        <f t="array" ref="T278">_xlfn.IFS(D278="France",1,D278="Germany",2,D278="Spain",3)</f>
        <v>1</v>
      </c>
    </row>
    <row r="279" spans="1:20" x14ac:dyDescent="0.3">
      <c r="A279">
        <v>279</v>
      </c>
      <c r="B279" t="s">
        <v>19</v>
      </c>
      <c r="C279" s="5">
        <v>607</v>
      </c>
      <c r="D279" t="s">
        <v>23</v>
      </c>
      <c r="E279" t="s">
        <v>26</v>
      </c>
      <c r="F279">
        <v>45</v>
      </c>
      <c r="G279" s="5">
        <v>2</v>
      </c>
      <c r="H279" s="4">
        <v>72836.13</v>
      </c>
      <c r="I279" s="5">
        <v>3</v>
      </c>
      <c r="J279">
        <v>1</v>
      </c>
      <c r="K279">
        <v>1</v>
      </c>
      <c r="L279" s="4">
        <v>127236.12</v>
      </c>
      <c r="M279">
        <v>1</v>
      </c>
      <c r="N279" s="4">
        <f t="shared" si="8"/>
        <v>-0.77186058580576766</v>
      </c>
      <c r="O279" s="4">
        <f t="shared" si="9"/>
        <v>1.1000217327128423</v>
      </c>
      <c r="P279" t="str" cm="1">
        <f t="array" ref="P279">_xlfn.IFS(AND(F279&gt;15,F279&lt;=30), "Youngsters", AND(F279&gt;30,F279&lt;=50), "Adults", AND(F279&gt;50,F279&lt;=70),"Old person", AND(F279&gt;70, F279&lt;92), "Senior Citizens")</f>
        <v>Adults</v>
      </c>
      <c r="Q279" t="str" cm="1">
        <f t="array" ref="Q279">_xlfn.IFS(G279=0,"No Tenure Period",AND(G279&gt;0,G279&lt;=3),"Less Tenure Period",AND(G279&gt;3,G279&lt;=7),"More Tenure Period",AND(G279&gt;7,G279&lt;=10),"Large Tenure Period")</f>
        <v>Less Tenure Period</v>
      </c>
      <c r="R279" t="str" cm="1">
        <f t="array" ref="R279">_xlfn.IFS(AND(C279&gt;300,C279&lt;=525),"1 Star",AND(C279&gt;525,C279&lt;=600),"2 Star",AND(C279&gt;600,C279&lt;=700),"3 Star",AND(C279&gt;700,C279&lt;=750),"4 Star",AND(C279&gt;750,C279&lt;=900),"5 Star")</f>
        <v>3 Star</v>
      </c>
      <c r="S279" cm="1">
        <f t="array" ref="S279">_xlfn.IFS(E279="Male",1,E279="Female",2)</f>
        <v>2</v>
      </c>
      <c r="T279" cm="1">
        <f t="array" ref="T279">_xlfn.IFS(D279="France",1,D279="Germany",2,D279="Spain",3)</f>
        <v>3</v>
      </c>
    </row>
    <row r="280" spans="1:20" x14ac:dyDescent="0.3">
      <c r="A280">
        <v>280</v>
      </c>
      <c r="B280" t="s">
        <v>13</v>
      </c>
      <c r="C280" s="5">
        <v>616</v>
      </c>
      <c r="D280" t="s">
        <v>24</v>
      </c>
      <c r="E280" t="s">
        <v>25</v>
      </c>
      <c r="F280">
        <v>45</v>
      </c>
      <c r="G280" s="5">
        <v>9</v>
      </c>
      <c r="H280" s="4">
        <v>9477.92</v>
      </c>
      <c r="I280" s="5">
        <v>3</v>
      </c>
      <c r="J280">
        <v>1</v>
      </c>
      <c r="K280">
        <v>1</v>
      </c>
      <c r="L280" s="4">
        <v>23547.86</v>
      </c>
      <c r="M280">
        <v>1</v>
      </c>
      <c r="N280" s="4">
        <f t="shared" si="8"/>
        <v>-1.6521719550470857</v>
      </c>
      <c r="O280" s="4">
        <f t="shared" si="9"/>
        <v>-1.4337399761111742</v>
      </c>
      <c r="P280" t="str" cm="1">
        <f t="array" ref="P280">_xlfn.IFS(AND(F280&gt;15,F280&lt;=30), "Youngsters", AND(F280&gt;30,F280&lt;=50), "Adults", AND(F280&gt;50,F280&lt;=70),"Old person", AND(F280&gt;70, F280&lt;92), "Senior Citizens")</f>
        <v>Adults</v>
      </c>
      <c r="Q280" t="str" cm="1">
        <f t="array" ref="Q280">_xlfn.IFS(G280=0,"No Tenure Period",AND(G280&gt;0,G280&lt;=3),"Less Tenure Period",AND(G280&gt;3,G280&lt;=7),"More Tenure Period",AND(G280&gt;7,G280&lt;=10),"Large Tenure Period")</f>
        <v>Large Tenure Period</v>
      </c>
      <c r="R280" t="str" cm="1">
        <f t="array" ref="R280">_xlfn.IFS(AND(C280&gt;300,C280&lt;=525),"1 Star",AND(C280&gt;525,C280&lt;=600),"2 Star",AND(C280&gt;600,C280&lt;=700),"3 Star",AND(C280&gt;700,C280&lt;=750),"4 Star",AND(C280&gt;750,C280&lt;=900),"5 Star")</f>
        <v>3 Star</v>
      </c>
      <c r="S280" cm="1">
        <f t="array" ref="S280">_xlfn.IFS(E280="Male",1,E280="Female",2)</f>
        <v>1</v>
      </c>
      <c r="T280" cm="1">
        <f t="array" ref="T280">_xlfn.IFS(D280="France",1,D280="Germany",2,D280="Spain",3)</f>
        <v>1</v>
      </c>
    </row>
    <row r="281" spans="1:20" x14ac:dyDescent="0.3">
      <c r="A281">
        <v>281</v>
      </c>
      <c r="B281" t="s">
        <v>18</v>
      </c>
      <c r="C281" s="5">
        <v>356</v>
      </c>
      <c r="D281" t="s">
        <v>24</v>
      </c>
      <c r="E281" t="s">
        <v>26</v>
      </c>
      <c r="F281">
        <v>47</v>
      </c>
      <c r="G281" s="5">
        <v>6</v>
      </c>
      <c r="H281" s="4">
        <v>97557.6</v>
      </c>
      <c r="I281" s="5">
        <v>3</v>
      </c>
      <c r="J281">
        <v>0</v>
      </c>
      <c r="K281">
        <v>1</v>
      </c>
      <c r="L281" s="4">
        <v>21082.35</v>
      </c>
      <c r="M281">
        <v>1</v>
      </c>
      <c r="N281" s="4">
        <f t="shared" si="8"/>
        <v>-0.42837564351718083</v>
      </c>
      <c r="O281" s="4">
        <f t="shared" si="9"/>
        <v>-1.4939880199178954</v>
      </c>
      <c r="P281" t="str" cm="1">
        <f t="array" ref="P281">_xlfn.IFS(AND(F281&gt;15,F281&lt;=30), "Youngsters", AND(F281&gt;30,F281&lt;=50), "Adults", AND(F281&gt;50,F281&lt;=70),"Old person", AND(F281&gt;70, F281&lt;92), "Senior Citizens")</f>
        <v>Adults</v>
      </c>
      <c r="Q281" t="str" cm="1">
        <f t="array" ref="Q281">_xlfn.IFS(G281=0,"No Tenure Period",AND(G281&gt;0,G281&lt;=3),"Less Tenure Period",AND(G281&gt;3,G281&lt;=7),"More Tenure Period",AND(G281&gt;7,G281&lt;=10),"Large Tenure Period")</f>
        <v>More Tenure Period</v>
      </c>
      <c r="R281" t="str" cm="1">
        <f t="array" ref="R281">_xlfn.IFS(AND(C281&gt;300,C281&lt;=525),"1 Star",AND(C281&gt;525,C281&lt;=600),"2 Star",AND(C281&gt;600,C281&lt;=700),"3 Star",AND(C281&gt;700,C281&lt;=750),"4 Star",AND(C281&gt;750,C281&lt;=900),"5 Star")</f>
        <v>1 Star</v>
      </c>
      <c r="S281" cm="1">
        <f t="array" ref="S281">_xlfn.IFS(E281="Male",1,E281="Female",2)</f>
        <v>2</v>
      </c>
      <c r="T281" cm="1">
        <f t="array" ref="T281">_xlfn.IFS(D281="France",1,D281="Germany",2,D281="Spain",3)</f>
        <v>1</v>
      </c>
    </row>
    <row r="282" spans="1:20" x14ac:dyDescent="0.3">
      <c r="A282">
        <v>282</v>
      </c>
      <c r="B282" t="s">
        <v>20</v>
      </c>
      <c r="C282" s="5">
        <v>731</v>
      </c>
      <c r="D282" t="s">
        <v>24</v>
      </c>
      <c r="E282" t="s">
        <v>26</v>
      </c>
      <c r="F282">
        <v>90</v>
      </c>
      <c r="G282" s="5">
        <v>8</v>
      </c>
      <c r="H282" s="4">
        <v>183281.65</v>
      </c>
      <c r="I282" s="5">
        <v>1</v>
      </c>
      <c r="J282">
        <v>1</v>
      </c>
      <c r="K282">
        <v>1</v>
      </c>
      <c r="L282" s="4">
        <v>141248.29</v>
      </c>
      <c r="M282">
        <v>1</v>
      </c>
      <c r="N282" s="4">
        <f t="shared" si="8"/>
        <v>0.76269108378479289</v>
      </c>
      <c r="O282" s="4">
        <f t="shared" si="9"/>
        <v>1.4424279010054981</v>
      </c>
      <c r="P282" t="str" cm="1">
        <f t="array" ref="P282">_xlfn.IFS(AND(F282&gt;15,F282&lt;=30), "Youngsters", AND(F282&gt;30,F282&lt;=50), "Adults", AND(F282&gt;50,F282&lt;=70),"Old person", AND(F282&gt;70, F282&lt;92), "Senior Citizens")</f>
        <v>Senior Citizens</v>
      </c>
      <c r="Q282" t="str" cm="1">
        <f t="array" ref="Q282">_xlfn.IFS(G282=0,"No Tenure Period",AND(G282&gt;0,G282&lt;=3),"Less Tenure Period",AND(G282&gt;3,G282&lt;=7),"More Tenure Period",AND(G282&gt;7,G282&lt;=10),"Large Tenure Period")</f>
        <v>Large Tenure Period</v>
      </c>
      <c r="R282" t="str" cm="1">
        <f t="array" ref="R282">_xlfn.IFS(AND(C282&gt;300,C282&lt;=525),"1 Star",AND(C282&gt;525,C282&lt;=600),"2 Star",AND(C282&gt;600,C282&lt;=700),"3 Star",AND(C282&gt;700,C282&lt;=750),"4 Star",AND(C282&gt;750,C282&lt;=900),"5 Star")</f>
        <v>4 Star</v>
      </c>
      <c r="S282" cm="1">
        <f t="array" ref="S282">_xlfn.IFS(E282="Male",1,E282="Female",2)</f>
        <v>2</v>
      </c>
      <c r="T282" cm="1">
        <f t="array" ref="T282">_xlfn.IFS(D282="France",1,D282="Germany",2,D282="Spain",3)</f>
        <v>1</v>
      </c>
    </row>
    <row r="283" spans="1:20" x14ac:dyDescent="0.3">
      <c r="A283">
        <v>283</v>
      </c>
      <c r="B283" t="s">
        <v>18</v>
      </c>
      <c r="C283" s="5">
        <v>612</v>
      </c>
      <c r="D283" t="s">
        <v>23</v>
      </c>
      <c r="E283" t="s">
        <v>25</v>
      </c>
      <c r="F283">
        <v>56</v>
      </c>
      <c r="G283" s="5">
        <v>9</v>
      </c>
      <c r="H283" s="4">
        <v>235159.65</v>
      </c>
      <c r="I283" s="5">
        <v>3</v>
      </c>
      <c r="J283">
        <v>0</v>
      </c>
      <c r="K283">
        <v>1</v>
      </c>
      <c r="L283" s="4">
        <v>132280.03</v>
      </c>
      <c r="M283">
        <v>1</v>
      </c>
      <c r="N283" s="4">
        <f t="shared" si="8"/>
        <v>1.4834941685547238</v>
      </c>
      <c r="O283" s="4">
        <f t="shared" si="9"/>
        <v>1.2232764388941839</v>
      </c>
      <c r="P283" t="str" cm="1">
        <f t="array" ref="P283">_xlfn.IFS(AND(F283&gt;15,F283&lt;=30), "Youngsters", AND(F283&gt;30,F283&lt;=50), "Adults", AND(F283&gt;50,F283&lt;=70),"Old person", AND(F283&gt;70, F283&lt;92), "Senior Citizens")</f>
        <v>Old person</v>
      </c>
      <c r="Q283" t="str" cm="1">
        <f t="array" ref="Q283">_xlfn.IFS(G283=0,"No Tenure Period",AND(G283&gt;0,G283&lt;=3),"Less Tenure Period",AND(G283&gt;3,G283&lt;=7),"More Tenure Period",AND(G283&gt;7,G283&lt;=10),"Large Tenure Period")</f>
        <v>Large Tenure Period</v>
      </c>
      <c r="R283" t="str" cm="1">
        <f t="array" ref="R283">_xlfn.IFS(AND(C283&gt;300,C283&lt;=525),"1 Star",AND(C283&gt;525,C283&lt;=600),"2 Star",AND(C283&gt;600,C283&lt;=700),"3 Star",AND(C283&gt;700,C283&lt;=750),"4 Star",AND(C283&gt;750,C283&lt;=900),"5 Star")</f>
        <v>3 Star</v>
      </c>
      <c r="S283" cm="1">
        <f t="array" ref="S283">_xlfn.IFS(E283="Male",1,E283="Female",2)</f>
        <v>1</v>
      </c>
      <c r="T283" cm="1">
        <f t="array" ref="T283">_xlfn.IFS(D283="France",1,D283="Germany",2,D283="Spain",3)</f>
        <v>3</v>
      </c>
    </row>
    <row r="284" spans="1:20" x14ac:dyDescent="0.3">
      <c r="A284">
        <v>284</v>
      </c>
      <c r="B284" t="s">
        <v>14</v>
      </c>
      <c r="C284" s="5">
        <v>452</v>
      </c>
      <c r="D284" t="s">
        <v>24</v>
      </c>
      <c r="E284" t="s">
        <v>25</v>
      </c>
      <c r="F284">
        <v>29</v>
      </c>
      <c r="G284" s="5">
        <v>1</v>
      </c>
      <c r="H284" s="4">
        <v>28385.09</v>
      </c>
      <c r="I284" s="5">
        <v>3</v>
      </c>
      <c r="J284">
        <v>0</v>
      </c>
      <c r="K284">
        <v>1</v>
      </c>
      <c r="L284" s="4">
        <v>70010.28</v>
      </c>
      <c r="M284">
        <v>0</v>
      </c>
      <c r="N284" s="4">
        <f t="shared" si="8"/>
        <v>-1.3894720348445047</v>
      </c>
      <c r="O284" s="4">
        <f t="shared" si="9"/>
        <v>-0.2983684239672848</v>
      </c>
      <c r="P284" t="str" cm="1">
        <f t="array" ref="P284">_xlfn.IFS(AND(F284&gt;15,F284&lt;=30), "Youngsters", AND(F284&gt;30,F284&lt;=50), "Adults", AND(F284&gt;50,F284&lt;=70),"Old person", AND(F284&gt;70, F284&lt;92), "Senior Citizens")</f>
        <v>Youngsters</v>
      </c>
      <c r="Q284" t="str" cm="1">
        <f t="array" ref="Q284">_xlfn.IFS(G284=0,"No Tenure Period",AND(G284&gt;0,G284&lt;=3),"Less Tenure Period",AND(G284&gt;3,G284&lt;=7),"More Tenure Period",AND(G284&gt;7,G284&lt;=10),"Large Tenure Period")</f>
        <v>Less Tenure Period</v>
      </c>
      <c r="R284" t="str" cm="1">
        <f t="array" ref="R284">_xlfn.IFS(AND(C284&gt;300,C284&lt;=525),"1 Star",AND(C284&gt;525,C284&lt;=600),"2 Star",AND(C284&gt;600,C284&lt;=700),"3 Star",AND(C284&gt;700,C284&lt;=750),"4 Star",AND(C284&gt;750,C284&lt;=900),"5 Star")</f>
        <v>1 Star</v>
      </c>
      <c r="S284" cm="1">
        <f t="array" ref="S284">_xlfn.IFS(E284="Male",1,E284="Female",2)</f>
        <v>1</v>
      </c>
      <c r="T284" cm="1">
        <f t="array" ref="T284">_xlfn.IFS(D284="France",1,D284="Germany",2,D284="Spain",3)</f>
        <v>1</v>
      </c>
    </row>
    <row r="285" spans="1:20" x14ac:dyDescent="0.3">
      <c r="A285">
        <v>285</v>
      </c>
      <c r="B285" t="s">
        <v>14</v>
      </c>
      <c r="C285" s="5">
        <v>772</v>
      </c>
      <c r="D285" t="s">
        <v>23</v>
      </c>
      <c r="E285" t="s">
        <v>25</v>
      </c>
      <c r="F285">
        <v>50</v>
      </c>
      <c r="G285" s="5">
        <v>1</v>
      </c>
      <c r="H285" s="4">
        <v>135560.49</v>
      </c>
      <c r="I285" s="5">
        <v>1</v>
      </c>
      <c r="J285">
        <v>0</v>
      </c>
      <c r="K285">
        <v>0</v>
      </c>
      <c r="L285" s="4">
        <v>111365.93</v>
      </c>
      <c r="M285">
        <v>1</v>
      </c>
      <c r="N285" s="4">
        <f t="shared" si="8"/>
        <v>9.9643947488107551E-2</v>
      </c>
      <c r="O285" s="4">
        <f t="shared" si="9"/>
        <v>0.71221235358195678</v>
      </c>
      <c r="P285" t="str" cm="1">
        <f t="array" ref="P285">_xlfn.IFS(AND(F285&gt;15,F285&lt;=30), "Youngsters", AND(F285&gt;30,F285&lt;=50), "Adults", AND(F285&gt;50,F285&lt;=70),"Old person", AND(F285&gt;70, F285&lt;92), "Senior Citizens")</f>
        <v>Adults</v>
      </c>
      <c r="Q285" t="str" cm="1">
        <f t="array" ref="Q285">_xlfn.IFS(G285=0,"No Tenure Period",AND(G285&gt;0,G285&lt;=3),"Less Tenure Period",AND(G285&gt;3,G285&lt;=7),"More Tenure Period",AND(G285&gt;7,G285&lt;=10),"Large Tenure Period")</f>
        <v>Less Tenure Period</v>
      </c>
      <c r="R285" t="str" cm="1">
        <f t="array" ref="R285">_xlfn.IFS(AND(C285&gt;300,C285&lt;=525),"1 Star",AND(C285&gt;525,C285&lt;=600),"2 Star",AND(C285&gt;600,C285&lt;=700),"3 Star",AND(C285&gt;700,C285&lt;=750),"4 Star",AND(C285&gt;750,C285&lt;=900),"5 Star")</f>
        <v>5 Star</v>
      </c>
      <c r="S285" cm="1">
        <f t="array" ref="S285">_xlfn.IFS(E285="Male",1,E285="Female",2)</f>
        <v>1</v>
      </c>
      <c r="T285" cm="1">
        <f t="array" ref="T285">_xlfn.IFS(D285="France",1,D285="Germany",2,D285="Spain",3)</f>
        <v>3</v>
      </c>
    </row>
    <row r="286" spans="1:20" x14ac:dyDescent="0.3">
      <c r="A286">
        <v>286</v>
      </c>
      <c r="B286" t="s">
        <v>20</v>
      </c>
      <c r="C286" s="5">
        <v>681</v>
      </c>
      <c r="D286" t="s">
        <v>23</v>
      </c>
      <c r="E286" t="s">
        <v>26</v>
      </c>
      <c r="F286">
        <v>68</v>
      </c>
      <c r="G286" s="5">
        <v>1</v>
      </c>
      <c r="H286" s="4">
        <v>118693.43</v>
      </c>
      <c r="I286" s="5">
        <v>1</v>
      </c>
      <c r="J286">
        <v>1</v>
      </c>
      <c r="K286">
        <v>1</v>
      </c>
      <c r="L286" s="4">
        <v>119809.36</v>
      </c>
      <c r="M286">
        <v>1</v>
      </c>
      <c r="N286" s="4">
        <f t="shared" si="8"/>
        <v>-0.1347102851152987</v>
      </c>
      <c r="O286" s="4">
        <f t="shared" si="9"/>
        <v>0.91853889069557004</v>
      </c>
      <c r="P286" t="str" cm="1">
        <f t="array" ref="P286">_xlfn.IFS(AND(F286&gt;15,F286&lt;=30), "Youngsters", AND(F286&gt;30,F286&lt;=50), "Adults", AND(F286&gt;50,F286&lt;=70),"Old person", AND(F286&gt;70, F286&lt;92), "Senior Citizens")</f>
        <v>Old person</v>
      </c>
      <c r="Q286" t="str" cm="1">
        <f t="array" ref="Q286">_xlfn.IFS(G286=0,"No Tenure Period",AND(G286&gt;0,G286&lt;=3),"Less Tenure Period",AND(G286&gt;3,G286&lt;=7),"More Tenure Period",AND(G286&gt;7,G286&lt;=10),"Large Tenure Period")</f>
        <v>Less Tenure Period</v>
      </c>
      <c r="R286" t="str" cm="1">
        <f t="array" ref="R286">_xlfn.IFS(AND(C286&gt;300,C286&lt;=525),"1 Star",AND(C286&gt;525,C286&lt;=600),"2 Star",AND(C286&gt;600,C286&lt;=700),"3 Star",AND(C286&gt;700,C286&lt;=750),"4 Star",AND(C286&gt;750,C286&lt;=900),"5 Star")</f>
        <v>3 Star</v>
      </c>
      <c r="S286" cm="1">
        <f t="array" ref="S286">_xlfn.IFS(E286="Male",1,E286="Female",2)</f>
        <v>2</v>
      </c>
      <c r="T286" cm="1">
        <f t="array" ref="T286">_xlfn.IFS(D286="France",1,D286="Germany",2,D286="Spain",3)</f>
        <v>3</v>
      </c>
    </row>
    <row r="287" spans="1:20" x14ac:dyDescent="0.3">
      <c r="A287">
        <v>287</v>
      </c>
      <c r="B287" t="s">
        <v>20</v>
      </c>
      <c r="C287" s="5">
        <v>720</v>
      </c>
      <c r="D287" t="s">
        <v>23</v>
      </c>
      <c r="E287" t="s">
        <v>25</v>
      </c>
      <c r="F287">
        <v>58</v>
      </c>
      <c r="G287" s="5">
        <v>0</v>
      </c>
      <c r="H287" s="4">
        <v>11432.08</v>
      </c>
      <c r="I287" s="5">
        <v>3</v>
      </c>
      <c r="J287">
        <v>0</v>
      </c>
      <c r="K287">
        <v>0</v>
      </c>
      <c r="L287" s="4">
        <v>56250.21</v>
      </c>
      <c r="M287">
        <v>1</v>
      </c>
      <c r="N287" s="4">
        <f t="shared" si="8"/>
        <v>-1.6250204735687324</v>
      </c>
      <c r="O287" s="4">
        <f t="shared" si="9"/>
        <v>-0.63461419062146607</v>
      </c>
      <c r="P287" t="str" cm="1">
        <f t="array" ref="P287">_xlfn.IFS(AND(F287&gt;15,F287&lt;=30), "Youngsters", AND(F287&gt;30,F287&lt;=50), "Adults", AND(F287&gt;50,F287&lt;=70),"Old person", AND(F287&gt;70, F287&lt;92), "Senior Citizens")</f>
        <v>Old person</v>
      </c>
      <c r="Q287" t="str" cm="1">
        <f t="array" ref="Q287">_xlfn.IFS(G287=0,"No Tenure Period",AND(G287&gt;0,G287&lt;=3),"Less Tenure Period",AND(G287&gt;3,G287&lt;=7),"More Tenure Period",AND(G287&gt;7,G287&lt;=10),"Large Tenure Period")</f>
        <v>No Tenure Period</v>
      </c>
      <c r="R287" t="str" cm="1">
        <f t="array" ref="R287">_xlfn.IFS(AND(C287&gt;300,C287&lt;=525),"1 Star",AND(C287&gt;525,C287&lt;=600),"2 Star",AND(C287&gt;600,C287&lt;=700),"3 Star",AND(C287&gt;700,C287&lt;=750),"4 Star",AND(C287&gt;750,C287&lt;=900),"5 Star")</f>
        <v>4 Star</v>
      </c>
      <c r="S287" cm="1">
        <f t="array" ref="S287">_xlfn.IFS(E287="Male",1,E287="Female",2)</f>
        <v>1</v>
      </c>
      <c r="T287" cm="1">
        <f t="array" ref="T287">_xlfn.IFS(D287="France",1,D287="Germany",2,D287="Spain",3)</f>
        <v>3</v>
      </c>
    </row>
    <row r="288" spans="1:20" x14ac:dyDescent="0.3">
      <c r="A288">
        <v>288</v>
      </c>
      <c r="B288" t="s">
        <v>15</v>
      </c>
      <c r="C288" s="5">
        <v>691</v>
      </c>
      <c r="D288" t="s">
        <v>22</v>
      </c>
      <c r="E288" t="s">
        <v>26</v>
      </c>
      <c r="F288">
        <v>88</v>
      </c>
      <c r="G288" s="5">
        <v>1</v>
      </c>
      <c r="H288" s="4">
        <v>162669.35999999999</v>
      </c>
      <c r="I288" s="5">
        <v>4</v>
      </c>
      <c r="J288">
        <v>0</v>
      </c>
      <c r="K288">
        <v>0</v>
      </c>
      <c r="L288" s="4">
        <v>71072.84</v>
      </c>
      <c r="M288">
        <v>0</v>
      </c>
      <c r="N288" s="4">
        <f t="shared" si="8"/>
        <v>0.47629989260216432</v>
      </c>
      <c r="O288" s="4">
        <f t="shared" si="9"/>
        <v>-0.27240334516927966</v>
      </c>
      <c r="P288" t="str" cm="1">
        <f t="array" ref="P288">_xlfn.IFS(AND(F288&gt;15,F288&lt;=30), "Youngsters", AND(F288&gt;30,F288&lt;=50), "Adults", AND(F288&gt;50,F288&lt;=70),"Old person", AND(F288&gt;70, F288&lt;92), "Senior Citizens")</f>
        <v>Senior Citizens</v>
      </c>
      <c r="Q288" t="str" cm="1">
        <f t="array" ref="Q288">_xlfn.IFS(G288=0,"No Tenure Period",AND(G288&gt;0,G288&lt;=3),"Less Tenure Period",AND(G288&gt;3,G288&lt;=7),"More Tenure Period",AND(G288&gt;7,G288&lt;=10),"Large Tenure Period")</f>
        <v>Less Tenure Period</v>
      </c>
      <c r="R288" t="str" cm="1">
        <f t="array" ref="R288">_xlfn.IFS(AND(C288&gt;300,C288&lt;=525),"1 Star",AND(C288&gt;525,C288&lt;=600),"2 Star",AND(C288&gt;600,C288&lt;=700),"3 Star",AND(C288&gt;700,C288&lt;=750),"4 Star",AND(C288&gt;750,C288&lt;=900),"5 Star")</f>
        <v>3 Star</v>
      </c>
      <c r="S288" cm="1">
        <f t="array" ref="S288">_xlfn.IFS(E288="Male",1,E288="Female",2)</f>
        <v>2</v>
      </c>
      <c r="T288" cm="1">
        <f t="array" ref="T288">_xlfn.IFS(D288="France",1,D288="Germany",2,D288="Spain",3)</f>
        <v>2</v>
      </c>
    </row>
    <row r="289" spans="1:20" x14ac:dyDescent="0.3">
      <c r="A289">
        <v>289</v>
      </c>
      <c r="B289" t="s">
        <v>13</v>
      </c>
      <c r="C289" s="5">
        <v>732</v>
      </c>
      <c r="D289" t="s">
        <v>24</v>
      </c>
      <c r="E289" t="s">
        <v>26</v>
      </c>
      <c r="F289">
        <v>48</v>
      </c>
      <c r="G289" s="5">
        <v>7</v>
      </c>
      <c r="H289" s="4">
        <v>218144.92</v>
      </c>
      <c r="I289" s="5">
        <v>4</v>
      </c>
      <c r="J289">
        <v>1</v>
      </c>
      <c r="K289">
        <v>1</v>
      </c>
      <c r="L289" s="4">
        <v>130492.75</v>
      </c>
      <c r="M289">
        <v>1</v>
      </c>
      <c r="N289" s="4">
        <f t="shared" si="8"/>
        <v>1.2470881800716005</v>
      </c>
      <c r="O289" s="4">
        <f t="shared" si="9"/>
        <v>1.1796018548386025</v>
      </c>
      <c r="P289" t="str" cm="1">
        <f t="array" ref="P289">_xlfn.IFS(AND(F289&gt;15,F289&lt;=30), "Youngsters", AND(F289&gt;30,F289&lt;=50), "Adults", AND(F289&gt;50,F289&lt;=70),"Old person", AND(F289&gt;70, F289&lt;92), "Senior Citizens")</f>
        <v>Adults</v>
      </c>
      <c r="Q289" t="str" cm="1">
        <f t="array" ref="Q289">_xlfn.IFS(G289=0,"No Tenure Period",AND(G289&gt;0,G289&lt;=3),"Less Tenure Period",AND(G289&gt;3,G289&lt;=7),"More Tenure Period",AND(G289&gt;7,G289&lt;=10),"Large Tenure Period")</f>
        <v>More Tenure Period</v>
      </c>
      <c r="R289" t="str" cm="1">
        <f t="array" ref="R289">_xlfn.IFS(AND(C289&gt;300,C289&lt;=525),"1 Star",AND(C289&gt;525,C289&lt;=600),"2 Star",AND(C289&gt;600,C289&lt;=700),"3 Star",AND(C289&gt;700,C289&lt;=750),"4 Star",AND(C289&gt;750,C289&lt;=900),"5 Star")</f>
        <v>4 Star</v>
      </c>
      <c r="S289" cm="1">
        <f t="array" ref="S289">_xlfn.IFS(E289="Male",1,E289="Female",2)</f>
        <v>2</v>
      </c>
      <c r="T289" cm="1">
        <f t="array" ref="T289">_xlfn.IFS(D289="France",1,D289="Germany",2,D289="Spain",3)</f>
        <v>1</v>
      </c>
    </row>
    <row r="290" spans="1:20" x14ac:dyDescent="0.3">
      <c r="A290">
        <v>290</v>
      </c>
      <c r="B290" t="s">
        <v>14</v>
      </c>
      <c r="C290" s="5">
        <v>720</v>
      </c>
      <c r="D290" t="s">
        <v>22</v>
      </c>
      <c r="E290" t="s">
        <v>26</v>
      </c>
      <c r="F290">
        <v>40</v>
      </c>
      <c r="G290" s="5">
        <v>0</v>
      </c>
      <c r="H290" s="4">
        <v>115463.15</v>
      </c>
      <c r="I290" s="5">
        <v>2</v>
      </c>
      <c r="J290">
        <v>1</v>
      </c>
      <c r="K290">
        <v>0</v>
      </c>
      <c r="L290" s="4">
        <v>11871.68</v>
      </c>
      <c r="M290">
        <v>0</v>
      </c>
      <c r="N290" s="4">
        <f t="shared" si="8"/>
        <v>-0.17959242761637068</v>
      </c>
      <c r="O290" s="4">
        <f t="shared" si="9"/>
        <v>-1.7190630955206114</v>
      </c>
      <c r="P290" t="str" cm="1">
        <f t="array" ref="P290">_xlfn.IFS(AND(F290&gt;15,F290&lt;=30), "Youngsters", AND(F290&gt;30,F290&lt;=50), "Adults", AND(F290&gt;50,F290&lt;=70),"Old person", AND(F290&gt;70, F290&lt;92), "Senior Citizens")</f>
        <v>Adults</v>
      </c>
      <c r="Q290" t="str" cm="1">
        <f t="array" ref="Q290">_xlfn.IFS(G290=0,"No Tenure Period",AND(G290&gt;0,G290&lt;=3),"Less Tenure Period",AND(G290&gt;3,G290&lt;=7),"More Tenure Period",AND(G290&gt;7,G290&lt;=10),"Large Tenure Period")</f>
        <v>No Tenure Period</v>
      </c>
      <c r="R290" t="str" cm="1">
        <f t="array" ref="R290">_xlfn.IFS(AND(C290&gt;300,C290&lt;=525),"1 Star",AND(C290&gt;525,C290&lt;=600),"2 Star",AND(C290&gt;600,C290&lt;=700),"3 Star",AND(C290&gt;700,C290&lt;=750),"4 Star",AND(C290&gt;750,C290&lt;=900),"5 Star")</f>
        <v>4 Star</v>
      </c>
      <c r="S290" cm="1">
        <f t="array" ref="S290">_xlfn.IFS(E290="Male",1,E290="Female",2)</f>
        <v>2</v>
      </c>
      <c r="T290" cm="1">
        <f t="array" ref="T290">_xlfn.IFS(D290="France",1,D290="Germany",2,D290="Spain",3)</f>
        <v>2</v>
      </c>
    </row>
    <row r="291" spans="1:20" x14ac:dyDescent="0.3">
      <c r="A291">
        <v>291</v>
      </c>
      <c r="B291" t="s">
        <v>20</v>
      </c>
      <c r="C291" s="5">
        <v>528</v>
      </c>
      <c r="D291" t="s">
        <v>24</v>
      </c>
      <c r="E291" t="s">
        <v>26</v>
      </c>
      <c r="F291">
        <v>53</v>
      </c>
      <c r="G291" s="5">
        <v>6</v>
      </c>
      <c r="H291" s="4">
        <v>130816.43</v>
      </c>
      <c r="I291" s="5">
        <v>3</v>
      </c>
      <c r="J291">
        <v>0</v>
      </c>
      <c r="K291">
        <v>0</v>
      </c>
      <c r="L291" s="4">
        <v>57363.12</v>
      </c>
      <c r="M291">
        <v>0</v>
      </c>
      <c r="N291" s="4">
        <f t="shared" si="8"/>
        <v>3.3729049413130936E-2</v>
      </c>
      <c r="O291" s="4">
        <f t="shared" si="9"/>
        <v>-0.60741874203965618</v>
      </c>
      <c r="P291" t="str" cm="1">
        <f t="array" ref="P291">_xlfn.IFS(AND(F291&gt;15,F291&lt;=30), "Youngsters", AND(F291&gt;30,F291&lt;=50), "Adults", AND(F291&gt;50,F291&lt;=70),"Old person", AND(F291&gt;70, F291&lt;92), "Senior Citizens")</f>
        <v>Old person</v>
      </c>
      <c r="Q291" t="str" cm="1">
        <f t="array" ref="Q291">_xlfn.IFS(G291=0,"No Tenure Period",AND(G291&gt;0,G291&lt;=3),"Less Tenure Period",AND(G291&gt;3,G291&lt;=7),"More Tenure Period",AND(G291&gt;7,G291&lt;=10),"Large Tenure Period")</f>
        <v>More Tenure Period</v>
      </c>
      <c r="R291" t="str" cm="1">
        <f t="array" ref="R291">_xlfn.IFS(AND(C291&gt;300,C291&lt;=525),"1 Star",AND(C291&gt;525,C291&lt;=600),"2 Star",AND(C291&gt;600,C291&lt;=700),"3 Star",AND(C291&gt;700,C291&lt;=750),"4 Star",AND(C291&gt;750,C291&lt;=900),"5 Star")</f>
        <v>2 Star</v>
      </c>
      <c r="S291" cm="1">
        <f t="array" ref="S291">_xlfn.IFS(E291="Male",1,E291="Female",2)</f>
        <v>2</v>
      </c>
      <c r="T291" cm="1">
        <f t="array" ref="T291">_xlfn.IFS(D291="France",1,D291="Germany",2,D291="Spain",3)</f>
        <v>1</v>
      </c>
    </row>
    <row r="292" spans="1:20" x14ac:dyDescent="0.3">
      <c r="A292">
        <v>292</v>
      </c>
      <c r="B292" t="s">
        <v>15</v>
      </c>
      <c r="C292" s="5">
        <v>657</v>
      </c>
      <c r="D292" t="s">
        <v>23</v>
      </c>
      <c r="E292" t="s">
        <v>26</v>
      </c>
      <c r="F292">
        <v>86</v>
      </c>
      <c r="G292" s="5">
        <v>5</v>
      </c>
      <c r="H292" s="4">
        <v>44447.47</v>
      </c>
      <c r="I292" s="5">
        <v>2</v>
      </c>
      <c r="J292">
        <v>0</v>
      </c>
      <c r="K292">
        <v>0</v>
      </c>
      <c r="L292" s="4">
        <v>145899.54</v>
      </c>
      <c r="M292">
        <v>0</v>
      </c>
      <c r="N292" s="4">
        <f t="shared" si="8"/>
        <v>-1.1662981836407795</v>
      </c>
      <c r="O292" s="4">
        <f t="shared" si="9"/>
        <v>1.5560874334170527</v>
      </c>
      <c r="P292" t="str" cm="1">
        <f t="array" ref="P292">_xlfn.IFS(AND(F292&gt;15,F292&lt;=30), "Youngsters", AND(F292&gt;30,F292&lt;=50), "Adults", AND(F292&gt;50,F292&lt;=70),"Old person", AND(F292&gt;70, F292&lt;92), "Senior Citizens")</f>
        <v>Senior Citizens</v>
      </c>
      <c r="Q292" t="str" cm="1">
        <f t="array" ref="Q292">_xlfn.IFS(G292=0,"No Tenure Period",AND(G292&gt;0,G292&lt;=3),"Less Tenure Period",AND(G292&gt;3,G292&lt;=7),"More Tenure Period",AND(G292&gt;7,G292&lt;=10),"Large Tenure Period")</f>
        <v>More Tenure Period</v>
      </c>
      <c r="R292" t="str" cm="1">
        <f t="array" ref="R292">_xlfn.IFS(AND(C292&gt;300,C292&lt;=525),"1 Star",AND(C292&gt;525,C292&lt;=600),"2 Star",AND(C292&gt;600,C292&lt;=700),"3 Star",AND(C292&gt;700,C292&lt;=750),"4 Star",AND(C292&gt;750,C292&lt;=900),"5 Star")</f>
        <v>3 Star</v>
      </c>
      <c r="S292" cm="1">
        <f t="array" ref="S292">_xlfn.IFS(E292="Male",1,E292="Female",2)</f>
        <v>2</v>
      </c>
      <c r="T292" cm="1">
        <f t="array" ref="T292">_xlfn.IFS(D292="France",1,D292="Germany",2,D292="Spain",3)</f>
        <v>3</v>
      </c>
    </row>
    <row r="293" spans="1:20" x14ac:dyDescent="0.3">
      <c r="A293">
        <v>293</v>
      </c>
      <c r="B293" t="s">
        <v>15</v>
      </c>
      <c r="C293" s="5">
        <v>608</v>
      </c>
      <c r="D293" t="s">
        <v>23</v>
      </c>
      <c r="E293" t="s">
        <v>26</v>
      </c>
      <c r="F293">
        <v>81</v>
      </c>
      <c r="G293" s="5">
        <v>9</v>
      </c>
      <c r="H293" s="4">
        <v>30279.62</v>
      </c>
      <c r="I293" s="5">
        <v>1</v>
      </c>
      <c r="J293">
        <v>0</v>
      </c>
      <c r="K293">
        <v>1</v>
      </c>
      <c r="L293" s="4">
        <v>74150.789999999994</v>
      </c>
      <c r="M293">
        <v>1</v>
      </c>
      <c r="N293" s="4">
        <f t="shared" si="8"/>
        <v>-1.3631490642560244</v>
      </c>
      <c r="O293" s="4">
        <f t="shared" si="9"/>
        <v>-0.1971895085046961</v>
      </c>
      <c r="P293" t="str" cm="1">
        <f t="array" ref="P293">_xlfn.IFS(AND(F293&gt;15,F293&lt;=30), "Youngsters", AND(F293&gt;30,F293&lt;=50), "Adults", AND(F293&gt;50,F293&lt;=70),"Old person", AND(F293&gt;70, F293&lt;92), "Senior Citizens")</f>
        <v>Senior Citizens</v>
      </c>
      <c r="Q293" t="str" cm="1">
        <f t="array" ref="Q293">_xlfn.IFS(G293=0,"No Tenure Period",AND(G293&gt;0,G293&lt;=3),"Less Tenure Period",AND(G293&gt;3,G293&lt;=7),"More Tenure Period",AND(G293&gt;7,G293&lt;=10),"Large Tenure Period")</f>
        <v>Large Tenure Period</v>
      </c>
      <c r="R293" t="str" cm="1">
        <f t="array" ref="R293">_xlfn.IFS(AND(C293&gt;300,C293&lt;=525),"1 Star",AND(C293&gt;525,C293&lt;=600),"2 Star",AND(C293&gt;600,C293&lt;=700),"3 Star",AND(C293&gt;700,C293&lt;=750),"4 Star",AND(C293&gt;750,C293&lt;=900),"5 Star")</f>
        <v>3 Star</v>
      </c>
      <c r="S293" cm="1">
        <f t="array" ref="S293">_xlfn.IFS(E293="Male",1,E293="Female",2)</f>
        <v>2</v>
      </c>
      <c r="T293" cm="1">
        <f t="array" ref="T293">_xlfn.IFS(D293="France",1,D293="Germany",2,D293="Spain",3)</f>
        <v>3</v>
      </c>
    </row>
    <row r="294" spans="1:20" x14ac:dyDescent="0.3">
      <c r="A294">
        <v>294</v>
      </c>
      <c r="B294" t="s">
        <v>21</v>
      </c>
      <c r="C294" s="5">
        <v>682</v>
      </c>
      <c r="D294" t="s">
        <v>24</v>
      </c>
      <c r="E294" t="s">
        <v>26</v>
      </c>
      <c r="F294">
        <v>22</v>
      </c>
      <c r="G294" s="5">
        <v>8</v>
      </c>
      <c r="H294" s="4">
        <v>153461.96</v>
      </c>
      <c r="I294" s="5">
        <v>1</v>
      </c>
      <c r="J294">
        <v>0</v>
      </c>
      <c r="K294">
        <v>1</v>
      </c>
      <c r="L294" s="4">
        <v>66758.63</v>
      </c>
      <c r="M294">
        <v>0</v>
      </c>
      <c r="N294" s="4">
        <f t="shared" si="8"/>
        <v>0.34837047507044261</v>
      </c>
      <c r="O294" s="4">
        <f t="shared" si="9"/>
        <v>-0.377826853113435</v>
      </c>
      <c r="P294" t="str" cm="1">
        <f t="array" ref="P294">_xlfn.IFS(AND(F294&gt;15,F294&lt;=30), "Youngsters", AND(F294&gt;30,F294&lt;=50), "Adults", AND(F294&gt;50,F294&lt;=70),"Old person", AND(F294&gt;70, F294&lt;92), "Senior Citizens")</f>
        <v>Youngsters</v>
      </c>
      <c r="Q294" t="str" cm="1">
        <f t="array" ref="Q294">_xlfn.IFS(G294=0,"No Tenure Period",AND(G294&gt;0,G294&lt;=3),"Less Tenure Period",AND(G294&gt;3,G294&lt;=7),"More Tenure Period",AND(G294&gt;7,G294&lt;=10),"Large Tenure Period")</f>
        <v>Large Tenure Period</v>
      </c>
      <c r="R294" t="str" cm="1">
        <f t="array" ref="R294">_xlfn.IFS(AND(C294&gt;300,C294&lt;=525),"1 Star",AND(C294&gt;525,C294&lt;=600),"2 Star",AND(C294&gt;600,C294&lt;=700),"3 Star",AND(C294&gt;700,C294&lt;=750),"4 Star",AND(C294&gt;750,C294&lt;=900),"5 Star")</f>
        <v>3 Star</v>
      </c>
      <c r="S294" cm="1">
        <f t="array" ref="S294">_xlfn.IFS(E294="Male",1,E294="Female",2)</f>
        <v>2</v>
      </c>
      <c r="T294" cm="1">
        <f t="array" ref="T294">_xlfn.IFS(D294="France",1,D294="Germany",2,D294="Spain",3)</f>
        <v>1</v>
      </c>
    </row>
    <row r="295" spans="1:20" x14ac:dyDescent="0.3">
      <c r="A295">
        <v>295</v>
      </c>
      <c r="B295" t="s">
        <v>20</v>
      </c>
      <c r="C295" s="5">
        <v>507</v>
      </c>
      <c r="D295" t="s">
        <v>24</v>
      </c>
      <c r="E295" t="s">
        <v>26</v>
      </c>
      <c r="F295">
        <v>67</v>
      </c>
      <c r="G295" s="5">
        <v>5</v>
      </c>
      <c r="H295" s="4">
        <v>179102.53</v>
      </c>
      <c r="I295" s="5">
        <v>1</v>
      </c>
      <c r="J295">
        <v>0</v>
      </c>
      <c r="K295">
        <v>0</v>
      </c>
      <c r="L295" s="4">
        <v>14556.33</v>
      </c>
      <c r="M295">
        <v>1</v>
      </c>
      <c r="N295" s="4">
        <f t="shared" si="8"/>
        <v>0.70462557263124592</v>
      </c>
      <c r="O295" s="4">
        <f t="shared" si="9"/>
        <v>-1.6534600718842385</v>
      </c>
      <c r="P295" t="str" cm="1">
        <f t="array" ref="P295">_xlfn.IFS(AND(F295&gt;15,F295&lt;=30), "Youngsters", AND(F295&gt;30,F295&lt;=50), "Adults", AND(F295&gt;50,F295&lt;=70),"Old person", AND(F295&gt;70, F295&lt;92), "Senior Citizens")</f>
        <v>Old person</v>
      </c>
      <c r="Q295" t="str" cm="1">
        <f t="array" ref="Q295">_xlfn.IFS(G295=0,"No Tenure Period",AND(G295&gt;0,G295&lt;=3),"Less Tenure Period",AND(G295&gt;3,G295&lt;=7),"More Tenure Period",AND(G295&gt;7,G295&lt;=10),"Large Tenure Period")</f>
        <v>More Tenure Period</v>
      </c>
      <c r="R295" t="str" cm="1">
        <f t="array" ref="R295">_xlfn.IFS(AND(C295&gt;300,C295&lt;=525),"1 Star",AND(C295&gt;525,C295&lt;=600),"2 Star",AND(C295&gt;600,C295&lt;=700),"3 Star",AND(C295&gt;700,C295&lt;=750),"4 Star",AND(C295&gt;750,C295&lt;=900),"5 Star")</f>
        <v>1 Star</v>
      </c>
      <c r="S295" cm="1">
        <f t="array" ref="S295">_xlfn.IFS(E295="Male",1,E295="Female",2)</f>
        <v>2</v>
      </c>
      <c r="T295" cm="1">
        <f t="array" ref="T295">_xlfn.IFS(D295="France",1,D295="Germany",2,D295="Spain",3)</f>
        <v>1</v>
      </c>
    </row>
    <row r="296" spans="1:20" x14ac:dyDescent="0.3">
      <c r="A296">
        <v>296</v>
      </c>
      <c r="B296" t="s">
        <v>18</v>
      </c>
      <c r="C296" s="5">
        <v>359</v>
      </c>
      <c r="D296" t="s">
        <v>23</v>
      </c>
      <c r="E296" t="s">
        <v>26</v>
      </c>
      <c r="F296">
        <v>47</v>
      </c>
      <c r="G296" s="5">
        <v>6</v>
      </c>
      <c r="H296" s="4">
        <v>71875.839999999997</v>
      </c>
      <c r="I296" s="5">
        <v>1</v>
      </c>
      <c r="J296">
        <v>0</v>
      </c>
      <c r="K296">
        <v>1</v>
      </c>
      <c r="L296" s="4">
        <v>112038.87</v>
      </c>
      <c r="M296">
        <v>0</v>
      </c>
      <c r="N296" s="4">
        <f t="shared" si="8"/>
        <v>-0.78520304299906196</v>
      </c>
      <c r="O296" s="4">
        <f t="shared" si="9"/>
        <v>0.72865654508768796</v>
      </c>
      <c r="P296" t="str" cm="1">
        <f t="array" ref="P296">_xlfn.IFS(AND(F296&gt;15,F296&lt;=30), "Youngsters", AND(F296&gt;30,F296&lt;=50), "Adults", AND(F296&gt;50,F296&lt;=70),"Old person", AND(F296&gt;70, F296&lt;92), "Senior Citizens")</f>
        <v>Adults</v>
      </c>
      <c r="Q296" t="str" cm="1">
        <f t="array" ref="Q296">_xlfn.IFS(G296=0,"No Tenure Period",AND(G296&gt;0,G296&lt;=3),"Less Tenure Period",AND(G296&gt;3,G296&lt;=7),"More Tenure Period",AND(G296&gt;7,G296&lt;=10),"Large Tenure Period")</f>
        <v>More Tenure Period</v>
      </c>
      <c r="R296" t="str" cm="1">
        <f t="array" ref="R296">_xlfn.IFS(AND(C296&gt;300,C296&lt;=525),"1 Star",AND(C296&gt;525,C296&lt;=600),"2 Star",AND(C296&gt;600,C296&lt;=700),"3 Star",AND(C296&gt;700,C296&lt;=750),"4 Star",AND(C296&gt;750,C296&lt;=900),"5 Star")</f>
        <v>1 Star</v>
      </c>
      <c r="S296" cm="1">
        <f t="array" ref="S296">_xlfn.IFS(E296="Male",1,E296="Female",2)</f>
        <v>2</v>
      </c>
      <c r="T296" cm="1">
        <f t="array" ref="T296">_xlfn.IFS(D296="France",1,D296="Germany",2,D296="Spain",3)</f>
        <v>3</v>
      </c>
    </row>
    <row r="297" spans="1:20" x14ac:dyDescent="0.3">
      <c r="A297">
        <v>297</v>
      </c>
      <c r="B297" t="s">
        <v>15</v>
      </c>
      <c r="C297" s="5">
        <v>465</v>
      </c>
      <c r="D297" t="s">
        <v>24</v>
      </c>
      <c r="E297" t="s">
        <v>25</v>
      </c>
      <c r="F297">
        <v>81</v>
      </c>
      <c r="G297" s="5">
        <v>8</v>
      </c>
      <c r="H297" s="4">
        <v>124862.63</v>
      </c>
      <c r="I297" s="5">
        <v>4</v>
      </c>
      <c r="J297">
        <v>1</v>
      </c>
      <c r="K297">
        <v>1</v>
      </c>
      <c r="L297" s="4">
        <v>141751.96</v>
      </c>
      <c r="M297">
        <v>0</v>
      </c>
      <c r="N297" s="4">
        <f t="shared" si="8"/>
        <v>-4.8994212973684413E-2</v>
      </c>
      <c r="O297" s="4">
        <f t="shared" si="9"/>
        <v>1.4547357530215639</v>
      </c>
      <c r="P297" t="str" cm="1">
        <f t="array" ref="P297">_xlfn.IFS(AND(F297&gt;15,F297&lt;=30), "Youngsters", AND(F297&gt;30,F297&lt;=50), "Adults", AND(F297&gt;50,F297&lt;=70),"Old person", AND(F297&gt;70, F297&lt;92), "Senior Citizens")</f>
        <v>Senior Citizens</v>
      </c>
      <c r="Q297" t="str" cm="1">
        <f t="array" ref="Q297">_xlfn.IFS(G297=0,"No Tenure Period",AND(G297&gt;0,G297&lt;=3),"Less Tenure Period",AND(G297&gt;3,G297&lt;=7),"More Tenure Period",AND(G297&gt;7,G297&lt;=10),"Large Tenure Period")</f>
        <v>Large Tenure Period</v>
      </c>
      <c r="R297" t="str" cm="1">
        <f t="array" ref="R297">_xlfn.IFS(AND(C297&gt;300,C297&lt;=525),"1 Star",AND(C297&gt;525,C297&lt;=600),"2 Star",AND(C297&gt;600,C297&lt;=700),"3 Star",AND(C297&gt;700,C297&lt;=750),"4 Star",AND(C297&gt;750,C297&lt;=900),"5 Star")</f>
        <v>1 Star</v>
      </c>
      <c r="S297" cm="1">
        <f t="array" ref="S297">_xlfn.IFS(E297="Male",1,E297="Female",2)</f>
        <v>1</v>
      </c>
      <c r="T297" cm="1">
        <f t="array" ref="T297">_xlfn.IFS(D297="France",1,D297="Germany",2,D297="Spain",3)</f>
        <v>1</v>
      </c>
    </row>
    <row r="298" spans="1:20" x14ac:dyDescent="0.3">
      <c r="A298">
        <v>298</v>
      </c>
      <c r="B298" t="s">
        <v>13</v>
      </c>
      <c r="C298" s="5">
        <v>806</v>
      </c>
      <c r="D298" t="s">
        <v>24</v>
      </c>
      <c r="E298" t="s">
        <v>26</v>
      </c>
      <c r="F298">
        <v>79</v>
      </c>
      <c r="G298" s="5">
        <v>1</v>
      </c>
      <c r="H298" s="4">
        <v>239514.85</v>
      </c>
      <c r="I298" s="5">
        <v>1</v>
      </c>
      <c r="J298">
        <v>0</v>
      </c>
      <c r="K298">
        <v>0</v>
      </c>
      <c r="L298" s="4">
        <v>107683.81</v>
      </c>
      <c r="M298">
        <v>1</v>
      </c>
      <c r="N298" s="4">
        <f t="shared" si="8"/>
        <v>1.5440061696879597</v>
      </c>
      <c r="O298" s="4">
        <f t="shared" si="9"/>
        <v>0.62223481260195501</v>
      </c>
      <c r="P298" t="str" cm="1">
        <f t="array" ref="P298">_xlfn.IFS(AND(F298&gt;15,F298&lt;=30), "Youngsters", AND(F298&gt;30,F298&lt;=50), "Adults", AND(F298&gt;50,F298&lt;=70),"Old person", AND(F298&gt;70, F298&lt;92), "Senior Citizens")</f>
        <v>Senior Citizens</v>
      </c>
      <c r="Q298" t="str" cm="1">
        <f t="array" ref="Q298">_xlfn.IFS(G298=0,"No Tenure Period",AND(G298&gt;0,G298&lt;=3),"Less Tenure Period",AND(G298&gt;3,G298&lt;=7),"More Tenure Period",AND(G298&gt;7,G298&lt;=10),"Large Tenure Period")</f>
        <v>Less Tenure Period</v>
      </c>
      <c r="R298" t="str" cm="1">
        <f t="array" ref="R298">_xlfn.IFS(AND(C298&gt;300,C298&lt;=525),"1 Star",AND(C298&gt;525,C298&lt;=600),"2 Star",AND(C298&gt;600,C298&lt;=700),"3 Star",AND(C298&gt;700,C298&lt;=750),"4 Star",AND(C298&gt;750,C298&lt;=900),"5 Star")</f>
        <v>5 Star</v>
      </c>
      <c r="S298" cm="1">
        <f t="array" ref="S298">_xlfn.IFS(E298="Male",1,E298="Female",2)</f>
        <v>2</v>
      </c>
      <c r="T298" cm="1">
        <f t="array" ref="T298">_xlfn.IFS(D298="France",1,D298="Germany",2,D298="Spain",3)</f>
        <v>1</v>
      </c>
    </row>
    <row r="299" spans="1:20" x14ac:dyDescent="0.3">
      <c r="A299">
        <v>299</v>
      </c>
      <c r="B299" t="s">
        <v>18</v>
      </c>
      <c r="C299" s="5">
        <v>739</v>
      </c>
      <c r="D299" t="s">
        <v>22</v>
      </c>
      <c r="E299" t="s">
        <v>26</v>
      </c>
      <c r="F299">
        <v>44</v>
      </c>
      <c r="G299" s="5">
        <v>4</v>
      </c>
      <c r="H299" s="4">
        <v>8330.89</v>
      </c>
      <c r="I299" s="5">
        <v>1</v>
      </c>
      <c r="J299">
        <v>0</v>
      </c>
      <c r="K299">
        <v>1</v>
      </c>
      <c r="L299" s="4">
        <v>102035.16</v>
      </c>
      <c r="M299">
        <v>1</v>
      </c>
      <c r="N299" s="4">
        <f t="shared" si="8"/>
        <v>-1.6681090143462809</v>
      </c>
      <c r="O299" s="4">
        <f t="shared" si="9"/>
        <v>0.4842024733906618</v>
      </c>
      <c r="P299" t="str" cm="1">
        <f t="array" ref="P299">_xlfn.IFS(AND(F299&gt;15,F299&lt;=30), "Youngsters", AND(F299&gt;30,F299&lt;=50), "Adults", AND(F299&gt;50,F299&lt;=70),"Old person", AND(F299&gt;70, F299&lt;92), "Senior Citizens")</f>
        <v>Adults</v>
      </c>
      <c r="Q299" t="str" cm="1">
        <f t="array" ref="Q299">_xlfn.IFS(G299=0,"No Tenure Period",AND(G299&gt;0,G299&lt;=3),"Less Tenure Period",AND(G299&gt;3,G299&lt;=7),"More Tenure Period",AND(G299&gt;7,G299&lt;=10),"Large Tenure Period")</f>
        <v>More Tenure Period</v>
      </c>
      <c r="R299" t="str" cm="1">
        <f t="array" ref="R299">_xlfn.IFS(AND(C299&gt;300,C299&lt;=525),"1 Star",AND(C299&gt;525,C299&lt;=600),"2 Star",AND(C299&gt;600,C299&lt;=700),"3 Star",AND(C299&gt;700,C299&lt;=750),"4 Star",AND(C299&gt;750,C299&lt;=900),"5 Star")</f>
        <v>4 Star</v>
      </c>
      <c r="S299" cm="1">
        <f t="array" ref="S299">_xlfn.IFS(E299="Male",1,E299="Female",2)</f>
        <v>2</v>
      </c>
      <c r="T299" cm="1">
        <f t="array" ref="T299">_xlfn.IFS(D299="France",1,D299="Germany",2,D299="Spain",3)</f>
        <v>2</v>
      </c>
    </row>
    <row r="300" spans="1:20" x14ac:dyDescent="0.3">
      <c r="A300">
        <v>300</v>
      </c>
      <c r="B300" t="s">
        <v>16</v>
      </c>
      <c r="C300" s="5">
        <v>466</v>
      </c>
      <c r="D300" t="s">
        <v>23</v>
      </c>
      <c r="E300" t="s">
        <v>26</v>
      </c>
      <c r="F300">
        <v>91</v>
      </c>
      <c r="G300" s="5">
        <v>5</v>
      </c>
      <c r="H300" s="4">
        <v>58953.35</v>
      </c>
      <c r="I300" s="5">
        <v>4</v>
      </c>
      <c r="J300">
        <v>1</v>
      </c>
      <c r="K300">
        <v>0</v>
      </c>
      <c r="L300" s="4">
        <v>140486.14000000001</v>
      </c>
      <c r="M300">
        <v>1</v>
      </c>
      <c r="N300" s="4">
        <f t="shared" si="8"/>
        <v>-0.96475064805146526</v>
      </c>
      <c r="O300" s="4">
        <f t="shared" si="9"/>
        <v>1.4238037434935462</v>
      </c>
      <c r="P300" t="str" cm="1">
        <f t="array" ref="P300">_xlfn.IFS(AND(F300&gt;15,F300&lt;=30), "Youngsters", AND(F300&gt;30,F300&lt;=50), "Adults", AND(F300&gt;50,F300&lt;=70),"Old person", AND(F300&gt;70, F300&lt;92), "Senior Citizens")</f>
        <v>Senior Citizens</v>
      </c>
      <c r="Q300" t="str" cm="1">
        <f t="array" ref="Q300">_xlfn.IFS(G300=0,"No Tenure Period",AND(G300&gt;0,G300&lt;=3),"Less Tenure Period",AND(G300&gt;3,G300&lt;=7),"More Tenure Period",AND(G300&gt;7,G300&lt;=10),"Large Tenure Period")</f>
        <v>More Tenure Period</v>
      </c>
      <c r="R300" t="str" cm="1">
        <f t="array" ref="R300">_xlfn.IFS(AND(C300&gt;300,C300&lt;=525),"1 Star",AND(C300&gt;525,C300&lt;=600),"2 Star",AND(C300&gt;600,C300&lt;=700),"3 Star",AND(C300&gt;700,C300&lt;=750),"4 Star",AND(C300&gt;750,C300&lt;=900),"5 Star")</f>
        <v>1 Star</v>
      </c>
      <c r="S300" cm="1">
        <f t="array" ref="S300">_xlfn.IFS(E300="Male",1,E300="Female",2)</f>
        <v>2</v>
      </c>
      <c r="T300" cm="1">
        <f t="array" ref="T300">_xlfn.IFS(D300="France",1,D300="Germany",2,D300="Spain",3)</f>
        <v>3</v>
      </c>
    </row>
    <row r="301" spans="1:20" x14ac:dyDescent="0.3">
      <c r="A301">
        <v>301</v>
      </c>
      <c r="B301" t="s">
        <v>13</v>
      </c>
      <c r="C301" s="5">
        <v>531</v>
      </c>
      <c r="D301" t="s">
        <v>22</v>
      </c>
      <c r="E301" t="s">
        <v>26</v>
      </c>
      <c r="F301">
        <v>68</v>
      </c>
      <c r="G301" s="5">
        <v>9</v>
      </c>
      <c r="H301" s="4">
        <v>25763.31</v>
      </c>
      <c r="I301" s="5">
        <v>1</v>
      </c>
      <c r="J301">
        <v>1</v>
      </c>
      <c r="K301">
        <v>1</v>
      </c>
      <c r="L301" s="4">
        <v>31564.75</v>
      </c>
      <c r="M301">
        <v>0</v>
      </c>
      <c r="N301" s="4">
        <f t="shared" si="8"/>
        <v>-1.4258995592592489</v>
      </c>
      <c r="O301" s="4">
        <f t="shared" si="9"/>
        <v>-1.2378365160101543</v>
      </c>
      <c r="P301" t="str" cm="1">
        <f t="array" ref="P301">_xlfn.IFS(AND(F301&gt;15,F301&lt;=30), "Youngsters", AND(F301&gt;30,F301&lt;=50), "Adults", AND(F301&gt;50,F301&lt;=70),"Old person", AND(F301&gt;70, F301&lt;92), "Senior Citizens")</f>
        <v>Old person</v>
      </c>
      <c r="Q301" t="str" cm="1">
        <f t="array" ref="Q301">_xlfn.IFS(G301=0,"No Tenure Period",AND(G301&gt;0,G301&lt;=3),"Less Tenure Period",AND(G301&gt;3,G301&lt;=7),"More Tenure Period",AND(G301&gt;7,G301&lt;=10),"Large Tenure Period")</f>
        <v>Large Tenure Period</v>
      </c>
      <c r="R301" t="str" cm="1">
        <f t="array" ref="R301">_xlfn.IFS(AND(C301&gt;300,C301&lt;=525),"1 Star",AND(C301&gt;525,C301&lt;=600),"2 Star",AND(C301&gt;600,C301&lt;=700),"3 Star",AND(C301&gt;700,C301&lt;=750),"4 Star",AND(C301&gt;750,C301&lt;=900),"5 Star")</f>
        <v>2 Star</v>
      </c>
      <c r="S301" cm="1">
        <f t="array" ref="S301">_xlfn.IFS(E301="Male",1,E301="Female",2)</f>
        <v>2</v>
      </c>
      <c r="T301" cm="1">
        <f t="array" ref="T301">_xlfn.IFS(D301="France",1,D301="Germany",2,D301="Spain",3)</f>
        <v>2</v>
      </c>
    </row>
    <row r="302" spans="1:20" x14ac:dyDescent="0.3">
      <c r="A302">
        <v>302</v>
      </c>
      <c r="B302" t="s">
        <v>19</v>
      </c>
      <c r="C302" s="5">
        <v>585</v>
      </c>
      <c r="D302" t="s">
        <v>23</v>
      </c>
      <c r="E302" t="s">
        <v>25</v>
      </c>
      <c r="F302">
        <v>35</v>
      </c>
      <c r="G302" s="5">
        <v>0</v>
      </c>
      <c r="H302" s="4">
        <v>205498.11</v>
      </c>
      <c r="I302" s="5">
        <v>2</v>
      </c>
      <c r="J302">
        <v>0</v>
      </c>
      <c r="K302">
        <v>1</v>
      </c>
      <c r="L302" s="4">
        <v>24566</v>
      </c>
      <c r="M302">
        <v>1</v>
      </c>
      <c r="N302" s="4">
        <f t="shared" si="8"/>
        <v>1.0713709268910765</v>
      </c>
      <c r="O302" s="4">
        <f t="shared" si="9"/>
        <v>-1.4088603595931413</v>
      </c>
      <c r="P302" t="str" cm="1">
        <f t="array" ref="P302">_xlfn.IFS(AND(F302&gt;15,F302&lt;=30), "Youngsters", AND(F302&gt;30,F302&lt;=50), "Adults", AND(F302&gt;50,F302&lt;=70),"Old person", AND(F302&gt;70, F302&lt;92), "Senior Citizens")</f>
        <v>Adults</v>
      </c>
      <c r="Q302" t="str" cm="1">
        <f t="array" ref="Q302">_xlfn.IFS(G302=0,"No Tenure Period",AND(G302&gt;0,G302&lt;=3),"Less Tenure Period",AND(G302&gt;3,G302&lt;=7),"More Tenure Period",AND(G302&gt;7,G302&lt;=10),"Large Tenure Period")</f>
        <v>No Tenure Period</v>
      </c>
      <c r="R302" t="str" cm="1">
        <f t="array" ref="R302">_xlfn.IFS(AND(C302&gt;300,C302&lt;=525),"1 Star",AND(C302&gt;525,C302&lt;=600),"2 Star",AND(C302&gt;600,C302&lt;=700),"3 Star",AND(C302&gt;700,C302&lt;=750),"4 Star",AND(C302&gt;750,C302&lt;=900),"5 Star")</f>
        <v>2 Star</v>
      </c>
      <c r="S302" cm="1">
        <f t="array" ref="S302">_xlfn.IFS(E302="Male",1,E302="Female",2)</f>
        <v>1</v>
      </c>
      <c r="T302" cm="1">
        <f t="array" ref="T302">_xlfn.IFS(D302="France",1,D302="Germany",2,D302="Spain",3)</f>
        <v>3</v>
      </c>
    </row>
    <row r="303" spans="1:20" x14ac:dyDescent="0.3">
      <c r="A303">
        <v>303</v>
      </c>
      <c r="B303" t="s">
        <v>18</v>
      </c>
      <c r="C303" s="5">
        <v>543</v>
      </c>
      <c r="D303" t="s">
        <v>22</v>
      </c>
      <c r="E303" t="s">
        <v>25</v>
      </c>
      <c r="F303">
        <v>89</v>
      </c>
      <c r="G303" s="5">
        <v>5</v>
      </c>
      <c r="H303" s="4">
        <v>248060.86</v>
      </c>
      <c r="I303" s="5">
        <v>3</v>
      </c>
      <c r="J303">
        <v>0</v>
      </c>
      <c r="K303">
        <v>0</v>
      </c>
      <c r="L303" s="4">
        <v>105985.33</v>
      </c>
      <c r="M303">
        <v>1</v>
      </c>
      <c r="N303" s="4">
        <f t="shared" si="8"/>
        <v>1.6627461051225305</v>
      </c>
      <c r="O303" s="4">
        <f t="shared" si="9"/>
        <v>0.58073017565266682</v>
      </c>
      <c r="P303" t="str" cm="1">
        <f t="array" ref="P303">_xlfn.IFS(AND(F303&gt;15,F303&lt;=30), "Youngsters", AND(F303&gt;30,F303&lt;=50), "Adults", AND(F303&gt;50,F303&lt;=70),"Old person", AND(F303&gt;70, F303&lt;92), "Senior Citizens")</f>
        <v>Senior Citizens</v>
      </c>
      <c r="Q303" t="str" cm="1">
        <f t="array" ref="Q303">_xlfn.IFS(G303=0,"No Tenure Period",AND(G303&gt;0,G303&lt;=3),"Less Tenure Period",AND(G303&gt;3,G303&lt;=7),"More Tenure Period",AND(G303&gt;7,G303&lt;=10),"Large Tenure Period")</f>
        <v>More Tenure Period</v>
      </c>
      <c r="R303" t="str" cm="1">
        <f t="array" ref="R303">_xlfn.IFS(AND(C303&gt;300,C303&lt;=525),"1 Star",AND(C303&gt;525,C303&lt;=600),"2 Star",AND(C303&gt;600,C303&lt;=700),"3 Star",AND(C303&gt;700,C303&lt;=750),"4 Star",AND(C303&gt;750,C303&lt;=900),"5 Star")</f>
        <v>2 Star</v>
      </c>
      <c r="S303" cm="1">
        <f t="array" ref="S303">_xlfn.IFS(E303="Male",1,E303="Female",2)</f>
        <v>1</v>
      </c>
      <c r="T303" cm="1">
        <f t="array" ref="T303">_xlfn.IFS(D303="France",1,D303="Germany",2,D303="Spain",3)</f>
        <v>2</v>
      </c>
    </row>
    <row r="304" spans="1:20" x14ac:dyDescent="0.3">
      <c r="A304">
        <v>304</v>
      </c>
      <c r="B304" t="s">
        <v>17</v>
      </c>
      <c r="C304" s="5">
        <v>649</v>
      </c>
      <c r="D304" t="s">
        <v>24</v>
      </c>
      <c r="E304" t="s">
        <v>25</v>
      </c>
      <c r="F304">
        <v>74</v>
      </c>
      <c r="G304" s="5">
        <v>6</v>
      </c>
      <c r="H304" s="4">
        <v>39932.25</v>
      </c>
      <c r="I304" s="5">
        <v>3</v>
      </c>
      <c r="J304">
        <v>1</v>
      </c>
      <c r="K304">
        <v>0</v>
      </c>
      <c r="L304" s="4">
        <v>20310.53</v>
      </c>
      <c r="M304">
        <v>0</v>
      </c>
      <c r="N304" s="4">
        <f t="shared" si="8"/>
        <v>-1.2290335339706862</v>
      </c>
      <c r="O304" s="4">
        <f t="shared" si="9"/>
        <v>-1.5128484768500934</v>
      </c>
      <c r="P304" t="str" cm="1">
        <f t="array" ref="P304">_xlfn.IFS(AND(F304&gt;15,F304&lt;=30), "Youngsters", AND(F304&gt;30,F304&lt;=50), "Adults", AND(F304&gt;50,F304&lt;=70),"Old person", AND(F304&gt;70, F304&lt;92), "Senior Citizens")</f>
        <v>Senior Citizens</v>
      </c>
      <c r="Q304" t="str" cm="1">
        <f t="array" ref="Q304">_xlfn.IFS(G304=0,"No Tenure Period",AND(G304&gt;0,G304&lt;=3),"Less Tenure Period",AND(G304&gt;3,G304&lt;=7),"More Tenure Period",AND(G304&gt;7,G304&lt;=10),"Large Tenure Period")</f>
        <v>More Tenure Period</v>
      </c>
      <c r="R304" t="str" cm="1">
        <f t="array" ref="R304">_xlfn.IFS(AND(C304&gt;300,C304&lt;=525),"1 Star",AND(C304&gt;525,C304&lt;=600),"2 Star",AND(C304&gt;600,C304&lt;=700),"3 Star",AND(C304&gt;700,C304&lt;=750),"4 Star",AND(C304&gt;750,C304&lt;=900),"5 Star")</f>
        <v>3 Star</v>
      </c>
      <c r="S304" cm="1">
        <f t="array" ref="S304">_xlfn.IFS(E304="Male",1,E304="Female",2)</f>
        <v>1</v>
      </c>
      <c r="T304" cm="1">
        <f t="array" ref="T304">_xlfn.IFS(D304="France",1,D304="Germany",2,D304="Spain",3)</f>
        <v>1</v>
      </c>
    </row>
    <row r="305" spans="1:20" x14ac:dyDescent="0.3">
      <c r="A305">
        <v>305</v>
      </c>
      <c r="B305" t="s">
        <v>18</v>
      </c>
      <c r="C305" s="5">
        <v>429</v>
      </c>
      <c r="D305" t="s">
        <v>24</v>
      </c>
      <c r="E305" t="s">
        <v>25</v>
      </c>
      <c r="F305">
        <v>53</v>
      </c>
      <c r="G305" s="5">
        <v>9</v>
      </c>
      <c r="H305" s="4">
        <v>187975.23</v>
      </c>
      <c r="I305" s="5">
        <v>1</v>
      </c>
      <c r="J305">
        <v>1</v>
      </c>
      <c r="K305">
        <v>0</v>
      </c>
      <c r="L305" s="4">
        <v>137236.54</v>
      </c>
      <c r="M305">
        <v>1</v>
      </c>
      <c r="N305" s="4">
        <f t="shared" si="8"/>
        <v>0.82790460286059508</v>
      </c>
      <c r="O305" s="4">
        <f t="shared" si="9"/>
        <v>1.3443954088470342</v>
      </c>
      <c r="P305" t="str" cm="1">
        <f t="array" ref="P305">_xlfn.IFS(AND(F305&gt;15,F305&lt;=30), "Youngsters", AND(F305&gt;30,F305&lt;=50), "Adults", AND(F305&gt;50,F305&lt;=70),"Old person", AND(F305&gt;70, F305&lt;92), "Senior Citizens")</f>
        <v>Old person</v>
      </c>
      <c r="Q305" t="str" cm="1">
        <f t="array" ref="Q305">_xlfn.IFS(G305=0,"No Tenure Period",AND(G305&gt;0,G305&lt;=3),"Less Tenure Period",AND(G305&gt;3,G305&lt;=7),"More Tenure Period",AND(G305&gt;7,G305&lt;=10),"Large Tenure Period")</f>
        <v>Large Tenure Period</v>
      </c>
      <c r="R305" t="str" cm="1">
        <f t="array" ref="R305">_xlfn.IFS(AND(C305&gt;300,C305&lt;=525),"1 Star",AND(C305&gt;525,C305&lt;=600),"2 Star",AND(C305&gt;600,C305&lt;=700),"3 Star",AND(C305&gt;700,C305&lt;=750),"4 Star",AND(C305&gt;750,C305&lt;=900),"5 Star")</f>
        <v>1 Star</v>
      </c>
      <c r="S305" cm="1">
        <f t="array" ref="S305">_xlfn.IFS(E305="Male",1,E305="Female",2)</f>
        <v>1</v>
      </c>
      <c r="T305" cm="1">
        <f t="array" ref="T305">_xlfn.IFS(D305="France",1,D305="Germany",2,D305="Spain",3)</f>
        <v>1</v>
      </c>
    </row>
    <row r="306" spans="1:20" x14ac:dyDescent="0.3">
      <c r="A306">
        <v>306</v>
      </c>
      <c r="B306" t="s">
        <v>19</v>
      </c>
      <c r="C306" s="5">
        <v>412</v>
      </c>
      <c r="D306" t="s">
        <v>23</v>
      </c>
      <c r="E306" t="s">
        <v>26</v>
      </c>
      <c r="F306">
        <v>91</v>
      </c>
      <c r="G306" s="5">
        <v>1</v>
      </c>
      <c r="H306" s="4">
        <v>71844.740000000005</v>
      </c>
      <c r="I306" s="5">
        <v>1</v>
      </c>
      <c r="J306">
        <v>0</v>
      </c>
      <c r="K306">
        <v>1</v>
      </c>
      <c r="L306" s="4">
        <v>105880.01</v>
      </c>
      <c r="M306">
        <v>0</v>
      </c>
      <c r="N306" s="4">
        <f t="shared" si="8"/>
        <v>-0.78563515248547888</v>
      </c>
      <c r="O306" s="4">
        <f t="shared" si="9"/>
        <v>0.57815654018831086</v>
      </c>
      <c r="P306" t="str" cm="1">
        <f t="array" ref="P306">_xlfn.IFS(AND(F306&gt;15,F306&lt;=30), "Youngsters", AND(F306&gt;30,F306&lt;=50), "Adults", AND(F306&gt;50,F306&lt;=70),"Old person", AND(F306&gt;70, F306&lt;92), "Senior Citizens")</f>
        <v>Senior Citizens</v>
      </c>
      <c r="Q306" t="str" cm="1">
        <f t="array" ref="Q306">_xlfn.IFS(G306=0,"No Tenure Period",AND(G306&gt;0,G306&lt;=3),"Less Tenure Period",AND(G306&gt;3,G306&lt;=7),"More Tenure Period",AND(G306&gt;7,G306&lt;=10),"Large Tenure Period")</f>
        <v>Less Tenure Period</v>
      </c>
      <c r="R306" t="str" cm="1">
        <f t="array" ref="R306">_xlfn.IFS(AND(C306&gt;300,C306&lt;=525),"1 Star",AND(C306&gt;525,C306&lt;=600),"2 Star",AND(C306&gt;600,C306&lt;=700),"3 Star",AND(C306&gt;700,C306&lt;=750),"4 Star",AND(C306&gt;750,C306&lt;=900),"5 Star")</f>
        <v>1 Star</v>
      </c>
      <c r="S306" cm="1">
        <f t="array" ref="S306">_xlfn.IFS(E306="Male",1,E306="Female",2)</f>
        <v>2</v>
      </c>
      <c r="T306" cm="1">
        <f t="array" ref="T306">_xlfn.IFS(D306="France",1,D306="Germany",2,D306="Spain",3)</f>
        <v>3</v>
      </c>
    </row>
    <row r="307" spans="1:20" x14ac:dyDescent="0.3">
      <c r="A307">
        <v>307</v>
      </c>
      <c r="B307" t="s">
        <v>14</v>
      </c>
      <c r="C307" s="5">
        <v>682</v>
      </c>
      <c r="D307" t="s">
        <v>23</v>
      </c>
      <c r="E307" t="s">
        <v>26</v>
      </c>
      <c r="F307">
        <v>65</v>
      </c>
      <c r="G307" s="5">
        <v>1</v>
      </c>
      <c r="H307" s="4">
        <v>82186.16</v>
      </c>
      <c r="I307" s="5">
        <v>1</v>
      </c>
      <c r="J307">
        <v>1</v>
      </c>
      <c r="K307">
        <v>0</v>
      </c>
      <c r="L307" s="4">
        <v>118581.88</v>
      </c>
      <c r="M307">
        <v>0</v>
      </c>
      <c r="N307" s="4">
        <f t="shared" si="8"/>
        <v>-0.64194943914068037</v>
      </c>
      <c r="O307" s="4">
        <f t="shared" si="9"/>
        <v>0.88854377049249889</v>
      </c>
      <c r="P307" t="str" cm="1">
        <f t="array" ref="P307">_xlfn.IFS(AND(F307&gt;15,F307&lt;=30), "Youngsters", AND(F307&gt;30,F307&lt;=50), "Adults", AND(F307&gt;50,F307&lt;=70),"Old person", AND(F307&gt;70, F307&lt;92), "Senior Citizens")</f>
        <v>Old person</v>
      </c>
      <c r="Q307" t="str" cm="1">
        <f t="array" ref="Q307">_xlfn.IFS(G307=0,"No Tenure Period",AND(G307&gt;0,G307&lt;=3),"Less Tenure Period",AND(G307&gt;3,G307&lt;=7),"More Tenure Period",AND(G307&gt;7,G307&lt;=10),"Large Tenure Period")</f>
        <v>Less Tenure Period</v>
      </c>
      <c r="R307" t="str" cm="1">
        <f t="array" ref="R307">_xlfn.IFS(AND(C307&gt;300,C307&lt;=525),"1 Star",AND(C307&gt;525,C307&lt;=600),"2 Star",AND(C307&gt;600,C307&lt;=700),"3 Star",AND(C307&gt;700,C307&lt;=750),"4 Star",AND(C307&gt;750,C307&lt;=900),"5 Star")</f>
        <v>3 Star</v>
      </c>
      <c r="S307" cm="1">
        <f t="array" ref="S307">_xlfn.IFS(E307="Male",1,E307="Female",2)</f>
        <v>2</v>
      </c>
      <c r="T307" cm="1">
        <f t="array" ref="T307">_xlfn.IFS(D307="France",1,D307="Germany",2,D307="Spain",3)</f>
        <v>3</v>
      </c>
    </row>
    <row r="308" spans="1:20" x14ac:dyDescent="0.3">
      <c r="A308">
        <v>308</v>
      </c>
      <c r="B308" t="s">
        <v>14</v>
      </c>
      <c r="C308" s="5">
        <v>397</v>
      </c>
      <c r="D308" t="s">
        <v>23</v>
      </c>
      <c r="E308" t="s">
        <v>26</v>
      </c>
      <c r="F308">
        <v>66</v>
      </c>
      <c r="G308" s="5">
        <v>3</v>
      </c>
      <c r="H308" s="4">
        <v>232462.02</v>
      </c>
      <c r="I308" s="5">
        <v>4</v>
      </c>
      <c r="J308">
        <v>1</v>
      </c>
      <c r="K308">
        <v>1</v>
      </c>
      <c r="L308" s="4">
        <v>135716.10999999999</v>
      </c>
      <c r="M308">
        <v>1</v>
      </c>
      <c r="N308" s="4">
        <f t="shared" si="8"/>
        <v>1.4460127693957756</v>
      </c>
      <c r="O308" s="4">
        <f t="shared" si="9"/>
        <v>1.3072416624639109</v>
      </c>
      <c r="P308" t="str" cm="1">
        <f t="array" ref="P308">_xlfn.IFS(AND(F308&gt;15,F308&lt;=30), "Youngsters", AND(F308&gt;30,F308&lt;=50), "Adults", AND(F308&gt;50,F308&lt;=70),"Old person", AND(F308&gt;70, F308&lt;92), "Senior Citizens")</f>
        <v>Old person</v>
      </c>
      <c r="Q308" t="str" cm="1">
        <f t="array" ref="Q308">_xlfn.IFS(G308=0,"No Tenure Period",AND(G308&gt;0,G308&lt;=3),"Less Tenure Period",AND(G308&gt;3,G308&lt;=7),"More Tenure Period",AND(G308&gt;7,G308&lt;=10),"Large Tenure Period")</f>
        <v>Less Tenure Period</v>
      </c>
      <c r="R308" t="str" cm="1">
        <f t="array" ref="R308">_xlfn.IFS(AND(C308&gt;300,C308&lt;=525),"1 Star",AND(C308&gt;525,C308&lt;=600),"2 Star",AND(C308&gt;600,C308&lt;=700),"3 Star",AND(C308&gt;700,C308&lt;=750),"4 Star",AND(C308&gt;750,C308&lt;=900),"5 Star")</f>
        <v>1 Star</v>
      </c>
      <c r="S308" cm="1">
        <f t="array" ref="S308">_xlfn.IFS(E308="Male",1,E308="Female",2)</f>
        <v>2</v>
      </c>
      <c r="T308" cm="1">
        <f t="array" ref="T308">_xlfn.IFS(D308="France",1,D308="Germany",2,D308="Spain",3)</f>
        <v>3</v>
      </c>
    </row>
    <row r="309" spans="1:20" x14ac:dyDescent="0.3">
      <c r="A309">
        <v>309</v>
      </c>
      <c r="B309" t="s">
        <v>15</v>
      </c>
      <c r="C309" s="5">
        <v>426</v>
      </c>
      <c r="D309" t="s">
        <v>22</v>
      </c>
      <c r="E309" t="s">
        <v>25</v>
      </c>
      <c r="F309">
        <v>89</v>
      </c>
      <c r="G309" s="5">
        <v>1</v>
      </c>
      <c r="H309" s="4">
        <v>178130.78</v>
      </c>
      <c r="I309" s="5">
        <v>3</v>
      </c>
      <c r="J309">
        <v>0</v>
      </c>
      <c r="K309">
        <v>1</v>
      </c>
      <c r="L309" s="4">
        <v>21570.41</v>
      </c>
      <c r="M309">
        <v>0</v>
      </c>
      <c r="N309" s="4">
        <f t="shared" si="8"/>
        <v>0.69112388795517554</v>
      </c>
      <c r="O309" s="4">
        <f t="shared" si="9"/>
        <v>-1.4820616191893206</v>
      </c>
      <c r="P309" t="str" cm="1">
        <f t="array" ref="P309">_xlfn.IFS(AND(F309&gt;15,F309&lt;=30), "Youngsters", AND(F309&gt;30,F309&lt;=50), "Adults", AND(F309&gt;50,F309&lt;=70),"Old person", AND(F309&gt;70, F309&lt;92), "Senior Citizens")</f>
        <v>Senior Citizens</v>
      </c>
      <c r="Q309" t="str" cm="1">
        <f t="array" ref="Q309">_xlfn.IFS(G309=0,"No Tenure Period",AND(G309&gt;0,G309&lt;=3),"Less Tenure Period",AND(G309&gt;3,G309&lt;=7),"More Tenure Period",AND(G309&gt;7,G309&lt;=10),"Large Tenure Period")</f>
        <v>Less Tenure Period</v>
      </c>
      <c r="R309" t="str" cm="1">
        <f t="array" ref="R309">_xlfn.IFS(AND(C309&gt;300,C309&lt;=525),"1 Star",AND(C309&gt;525,C309&lt;=600),"2 Star",AND(C309&gt;600,C309&lt;=700),"3 Star",AND(C309&gt;700,C309&lt;=750),"4 Star",AND(C309&gt;750,C309&lt;=900),"5 Star")</f>
        <v>1 Star</v>
      </c>
      <c r="S309" cm="1">
        <f t="array" ref="S309">_xlfn.IFS(E309="Male",1,E309="Female",2)</f>
        <v>1</v>
      </c>
      <c r="T309" cm="1">
        <f t="array" ref="T309">_xlfn.IFS(D309="France",1,D309="Germany",2,D309="Spain",3)</f>
        <v>2</v>
      </c>
    </row>
    <row r="310" spans="1:20" x14ac:dyDescent="0.3">
      <c r="A310">
        <v>310</v>
      </c>
      <c r="B310" t="s">
        <v>20</v>
      </c>
      <c r="C310" s="5">
        <v>499</v>
      </c>
      <c r="D310" t="s">
        <v>23</v>
      </c>
      <c r="E310" t="s">
        <v>26</v>
      </c>
      <c r="F310">
        <v>85</v>
      </c>
      <c r="G310" s="5">
        <v>10</v>
      </c>
      <c r="H310" s="4">
        <v>203018.63</v>
      </c>
      <c r="I310" s="5">
        <v>2</v>
      </c>
      <c r="J310">
        <v>1</v>
      </c>
      <c r="K310">
        <v>1</v>
      </c>
      <c r="L310" s="4">
        <v>57175.83</v>
      </c>
      <c r="M310">
        <v>1</v>
      </c>
      <c r="N310" s="4">
        <f t="shared" si="8"/>
        <v>1.0369205465251152</v>
      </c>
      <c r="O310" s="4">
        <f t="shared" si="9"/>
        <v>-0.61199542439931431</v>
      </c>
      <c r="P310" t="str" cm="1">
        <f t="array" ref="P310">_xlfn.IFS(AND(F310&gt;15,F310&lt;=30), "Youngsters", AND(F310&gt;30,F310&lt;=50), "Adults", AND(F310&gt;50,F310&lt;=70),"Old person", AND(F310&gt;70, F310&lt;92), "Senior Citizens")</f>
        <v>Senior Citizens</v>
      </c>
      <c r="Q310" t="str" cm="1">
        <f t="array" ref="Q310">_xlfn.IFS(G310=0,"No Tenure Period",AND(G310&gt;0,G310&lt;=3),"Less Tenure Period",AND(G310&gt;3,G310&lt;=7),"More Tenure Period",AND(G310&gt;7,G310&lt;=10),"Large Tenure Period")</f>
        <v>Large Tenure Period</v>
      </c>
      <c r="R310" t="str" cm="1">
        <f t="array" ref="R310">_xlfn.IFS(AND(C310&gt;300,C310&lt;=525),"1 Star",AND(C310&gt;525,C310&lt;=600),"2 Star",AND(C310&gt;600,C310&lt;=700),"3 Star",AND(C310&gt;700,C310&lt;=750),"4 Star",AND(C310&gt;750,C310&lt;=900),"5 Star")</f>
        <v>1 Star</v>
      </c>
      <c r="S310" cm="1">
        <f t="array" ref="S310">_xlfn.IFS(E310="Male",1,E310="Female",2)</f>
        <v>2</v>
      </c>
      <c r="T310" cm="1">
        <f t="array" ref="T310">_xlfn.IFS(D310="France",1,D310="Germany",2,D310="Spain",3)</f>
        <v>3</v>
      </c>
    </row>
    <row r="311" spans="1:20" x14ac:dyDescent="0.3">
      <c r="A311">
        <v>311</v>
      </c>
      <c r="B311" t="s">
        <v>12</v>
      </c>
      <c r="C311" s="5">
        <v>470</v>
      </c>
      <c r="D311" t="s">
        <v>24</v>
      </c>
      <c r="E311" t="s">
        <v>25</v>
      </c>
      <c r="F311">
        <v>89</v>
      </c>
      <c r="G311" s="5">
        <v>6</v>
      </c>
      <c r="H311" s="4">
        <v>113690.36</v>
      </c>
      <c r="I311" s="5">
        <v>4</v>
      </c>
      <c r="J311">
        <v>0</v>
      </c>
      <c r="K311">
        <v>1</v>
      </c>
      <c r="L311" s="4">
        <v>87583.039999999994</v>
      </c>
      <c r="M311">
        <v>1</v>
      </c>
      <c r="N311" s="4">
        <f t="shared" si="8"/>
        <v>-0.20422391881975713</v>
      </c>
      <c r="O311" s="4">
        <f t="shared" si="9"/>
        <v>0.13104553674875299</v>
      </c>
      <c r="P311" t="str" cm="1">
        <f t="array" ref="P311">_xlfn.IFS(AND(F311&gt;15,F311&lt;=30), "Youngsters", AND(F311&gt;30,F311&lt;=50), "Adults", AND(F311&gt;50,F311&lt;=70),"Old person", AND(F311&gt;70, F311&lt;92), "Senior Citizens")</f>
        <v>Senior Citizens</v>
      </c>
      <c r="Q311" t="str" cm="1">
        <f t="array" ref="Q311">_xlfn.IFS(G311=0,"No Tenure Period",AND(G311&gt;0,G311&lt;=3),"Less Tenure Period",AND(G311&gt;3,G311&lt;=7),"More Tenure Period",AND(G311&gt;7,G311&lt;=10),"Large Tenure Period")</f>
        <v>More Tenure Period</v>
      </c>
      <c r="R311" t="str" cm="1">
        <f t="array" ref="R311">_xlfn.IFS(AND(C311&gt;300,C311&lt;=525),"1 Star",AND(C311&gt;525,C311&lt;=600),"2 Star",AND(C311&gt;600,C311&lt;=700),"3 Star",AND(C311&gt;700,C311&lt;=750),"4 Star",AND(C311&gt;750,C311&lt;=900),"5 Star")</f>
        <v>1 Star</v>
      </c>
      <c r="S311" cm="1">
        <f t="array" ref="S311">_xlfn.IFS(E311="Male",1,E311="Female",2)</f>
        <v>1</v>
      </c>
      <c r="T311" cm="1">
        <f t="array" ref="T311">_xlfn.IFS(D311="France",1,D311="Germany",2,D311="Spain",3)</f>
        <v>1</v>
      </c>
    </row>
    <row r="312" spans="1:20" x14ac:dyDescent="0.3">
      <c r="A312">
        <v>312</v>
      </c>
      <c r="B312" t="s">
        <v>13</v>
      </c>
      <c r="C312" s="5">
        <v>624</v>
      </c>
      <c r="D312" t="s">
        <v>23</v>
      </c>
      <c r="E312" t="s">
        <v>25</v>
      </c>
      <c r="F312">
        <v>80</v>
      </c>
      <c r="G312" s="5">
        <v>10</v>
      </c>
      <c r="H312" s="4">
        <v>81815.67</v>
      </c>
      <c r="I312" s="5">
        <v>4</v>
      </c>
      <c r="J312">
        <v>0</v>
      </c>
      <c r="K312">
        <v>0</v>
      </c>
      <c r="L312" s="4">
        <v>129536.99</v>
      </c>
      <c r="M312">
        <v>0</v>
      </c>
      <c r="N312" s="4">
        <f t="shared" si="8"/>
        <v>-0.64709709970732554</v>
      </c>
      <c r="O312" s="4">
        <f t="shared" si="9"/>
        <v>1.1562465772900581</v>
      </c>
      <c r="P312" t="str" cm="1">
        <f t="array" ref="P312">_xlfn.IFS(AND(F312&gt;15,F312&lt;=30), "Youngsters", AND(F312&gt;30,F312&lt;=50), "Adults", AND(F312&gt;50,F312&lt;=70),"Old person", AND(F312&gt;70, F312&lt;92), "Senior Citizens")</f>
        <v>Senior Citizens</v>
      </c>
      <c r="Q312" t="str" cm="1">
        <f t="array" ref="Q312">_xlfn.IFS(G312=0,"No Tenure Period",AND(G312&gt;0,G312&lt;=3),"Less Tenure Period",AND(G312&gt;3,G312&lt;=7),"More Tenure Period",AND(G312&gt;7,G312&lt;=10),"Large Tenure Period")</f>
        <v>Large Tenure Period</v>
      </c>
      <c r="R312" t="str" cm="1">
        <f t="array" ref="R312">_xlfn.IFS(AND(C312&gt;300,C312&lt;=525),"1 Star",AND(C312&gt;525,C312&lt;=600),"2 Star",AND(C312&gt;600,C312&lt;=700),"3 Star",AND(C312&gt;700,C312&lt;=750),"4 Star",AND(C312&gt;750,C312&lt;=900),"5 Star")</f>
        <v>3 Star</v>
      </c>
      <c r="S312" cm="1">
        <f t="array" ref="S312">_xlfn.IFS(E312="Male",1,E312="Female",2)</f>
        <v>1</v>
      </c>
      <c r="T312" cm="1">
        <f t="array" ref="T312">_xlfn.IFS(D312="France",1,D312="Germany",2,D312="Spain",3)</f>
        <v>3</v>
      </c>
    </row>
    <row r="313" spans="1:20" x14ac:dyDescent="0.3">
      <c r="A313">
        <v>313</v>
      </c>
      <c r="B313" t="s">
        <v>20</v>
      </c>
      <c r="C313" s="5">
        <v>695</v>
      </c>
      <c r="D313" t="s">
        <v>24</v>
      </c>
      <c r="E313" t="s">
        <v>26</v>
      </c>
      <c r="F313">
        <v>90</v>
      </c>
      <c r="G313" s="5">
        <v>0</v>
      </c>
      <c r="H313" s="4">
        <v>34576.69</v>
      </c>
      <c r="I313" s="5">
        <v>4</v>
      </c>
      <c r="J313">
        <v>0</v>
      </c>
      <c r="K313">
        <v>0</v>
      </c>
      <c r="L313" s="4">
        <v>87838.32</v>
      </c>
      <c r="M313">
        <v>1</v>
      </c>
      <c r="N313" s="4">
        <f t="shared" si="8"/>
        <v>-1.3034447327191045</v>
      </c>
      <c r="O313" s="4">
        <f t="shared" si="9"/>
        <v>0.13728364595252041</v>
      </c>
      <c r="P313" t="str" cm="1">
        <f t="array" ref="P313">_xlfn.IFS(AND(F313&gt;15,F313&lt;=30), "Youngsters", AND(F313&gt;30,F313&lt;=50), "Adults", AND(F313&gt;50,F313&lt;=70),"Old person", AND(F313&gt;70, F313&lt;92), "Senior Citizens")</f>
        <v>Senior Citizens</v>
      </c>
      <c r="Q313" t="str" cm="1">
        <f t="array" ref="Q313">_xlfn.IFS(G313=0,"No Tenure Period",AND(G313&gt;0,G313&lt;=3),"Less Tenure Period",AND(G313&gt;3,G313&lt;=7),"More Tenure Period",AND(G313&gt;7,G313&lt;=10),"Large Tenure Period")</f>
        <v>No Tenure Period</v>
      </c>
      <c r="R313" t="str" cm="1">
        <f t="array" ref="R313">_xlfn.IFS(AND(C313&gt;300,C313&lt;=525),"1 Star",AND(C313&gt;525,C313&lt;=600),"2 Star",AND(C313&gt;600,C313&lt;=700),"3 Star",AND(C313&gt;700,C313&lt;=750),"4 Star",AND(C313&gt;750,C313&lt;=900),"5 Star")</f>
        <v>3 Star</v>
      </c>
      <c r="S313" cm="1">
        <f t="array" ref="S313">_xlfn.IFS(E313="Male",1,E313="Female",2)</f>
        <v>2</v>
      </c>
      <c r="T313" cm="1">
        <f t="array" ref="T313">_xlfn.IFS(D313="France",1,D313="Germany",2,D313="Spain",3)</f>
        <v>1</v>
      </c>
    </row>
    <row r="314" spans="1:20" x14ac:dyDescent="0.3">
      <c r="A314">
        <v>314</v>
      </c>
      <c r="B314" t="s">
        <v>12</v>
      </c>
      <c r="C314" s="5">
        <v>363</v>
      </c>
      <c r="D314" t="s">
        <v>22</v>
      </c>
      <c r="E314" t="s">
        <v>25</v>
      </c>
      <c r="F314">
        <v>55</v>
      </c>
      <c r="G314" s="5">
        <v>7</v>
      </c>
      <c r="H314" s="4">
        <v>156344.54</v>
      </c>
      <c r="I314" s="5">
        <v>2</v>
      </c>
      <c r="J314">
        <v>0</v>
      </c>
      <c r="K314">
        <v>0</v>
      </c>
      <c r="L314" s="4">
        <v>90381.04</v>
      </c>
      <c r="M314">
        <v>1</v>
      </c>
      <c r="N314" s="4">
        <f t="shared" si="8"/>
        <v>0.38842160572498052</v>
      </c>
      <c r="O314" s="4">
        <f t="shared" si="9"/>
        <v>0.19941841967001714</v>
      </c>
      <c r="P314" t="str" cm="1">
        <f t="array" ref="P314">_xlfn.IFS(AND(F314&gt;15,F314&lt;=30), "Youngsters", AND(F314&gt;30,F314&lt;=50), "Adults", AND(F314&gt;50,F314&lt;=70),"Old person", AND(F314&gt;70, F314&lt;92), "Senior Citizens")</f>
        <v>Old person</v>
      </c>
      <c r="Q314" t="str" cm="1">
        <f t="array" ref="Q314">_xlfn.IFS(G314=0,"No Tenure Period",AND(G314&gt;0,G314&lt;=3),"Less Tenure Period",AND(G314&gt;3,G314&lt;=7),"More Tenure Period",AND(G314&gt;7,G314&lt;=10),"Large Tenure Period")</f>
        <v>More Tenure Period</v>
      </c>
      <c r="R314" t="str" cm="1">
        <f t="array" ref="R314">_xlfn.IFS(AND(C314&gt;300,C314&lt;=525),"1 Star",AND(C314&gt;525,C314&lt;=600),"2 Star",AND(C314&gt;600,C314&lt;=700),"3 Star",AND(C314&gt;700,C314&lt;=750),"4 Star",AND(C314&gt;750,C314&lt;=900),"5 Star")</f>
        <v>1 Star</v>
      </c>
      <c r="S314" cm="1">
        <f t="array" ref="S314">_xlfn.IFS(E314="Male",1,E314="Female",2)</f>
        <v>1</v>
      </c>
      <c r="T314" cm="1">
        <f t="array" ref="T314">_xlfn.IFS(D314="France",1,D314="Germany",2,D314="Spain",3)</f>
        <v>2</v>
      </c>
    </row>
    <row r="315" spans="1:20" x14ac:dyDescent="0.3">
      <c r="A315">
        <v>315</v>
      </c>
      <c r="B315" t="s">
        <v>18</v>
      </c>
      <c r="C315" s="5">
        <v>572</v>
      </c>
      <c r="D315" t="s">
        <v>24</v>
      </c>
      <c r="E315" t="s">
        <v>25</v>
      </c>
      <c r="F315">
        <v>23</v>
      </c>
      <c r="G315" s="5">
        <v>6</v>
      </c>
      <c r="H315" s="4">
        <v>169958.77</v>
      </c>
      <c r="I315" s="5">
        <v>2</v>
      </c>
      <c r="J315">
        <v>1</v>
      </c>
      <c r="K315">
        <v>0</v>
      </c>
      <c r="L315" s="4">
        <v>90227.36</v>
      </c>
      <c r="M315">
        <v>1</v>
      </c>
      <c r="N315" s="4">
        <f t="shared" si="8"/>
        <v>0.57758038171417292</v>
      </c>
      <c r="O315" s="4">
        <f t="shared" si="9"/>
        <v>0.19566304274101809</v>
      </c>
      <c r="P315" t="str" cm="1">
        <f t="array" ref="P315">_xlfn.IFS(AND(F315&gt;15,F315&lt;=30), "Youngsters", AND(F315&gt;30,F315&lt;=50), "Adults", AND(F315&gt;50,F315&lt;=70),"Old person", AND(F315&gt;70, F315&lt;92), "Senior Citizens")</f>
        <v>Youngsters</v>
      </c>
      <c r="Q315" t="str" cm="1">
        <f t="array" ref="Q315">_xlfn.IFS(G315=0,"No Tenure Period",AND(G315&gt;0,G315&lt;=3),"Less Tenure Period",AND(G315&gt;3,G315&lt;=7),"More Tenure Period",AND(G315&gt;7,G315&lt;=10),"Large Tenure Period")</f>
        <v>More Tenure Period</v>
      </c>
      <c r="R315" t="str" cm="1">
        <f t="array" ref="R315">_xlfn.IFS(AND(C315&gt;300,C315&lt;=525),"1 Star",AND(C315&gt;525,C315&lt;=600),"2 Star",AND(C315&gt;600,C315&lt;=700),"3 Star",AND(C315&gt;700,C315&lt;=750),"4 Star",AND(C315&gt;750,C315&lt;=900),"5 Star")</f>
        <v>2 Star</v>
      </c>
      <c r="S315" cm="1">
        <f t="array" ref="S315">_xlfn.IFS(E315="Male",1,E315="Female",2)</f>
        <v>1</v>
      </c>
      <c r="T315" cm="1">
        <f t="array" ref="T315">_xlfn.IFS(D315="France",1,D315="Germany",2,D315="Spain",3)</f>
        <v>1</v>
      </c>
    </row>
    <row r="316" spans="1:20" x14ac:dyDescent="0.3">
      <c r="A316">
        <v>316</v>
      </c>
      <c r="B316" t="s">
        <v>15</v>
      </c>
      <c r="C316" s="5">
        <v>442</v>
      </c>
      <c r="D316" t="s">
        <v>24</v>
      </c>
      <c r="E316" t="s">
        <v>26</v>
      </c>
      <c r="F316">
        <v>73</v>
      </c>
      <c r="G316" s="5">
        <v>4</v>
      </c>
      <c r="H316" s="4">
        <v>232599.36</v>
      </c>
      <c r="I316" s="5">
        <v>3</v>
      </c>
      <c r="J316">
        <v>0</v>
      </c>
      <c r="K316">
        <v>1</v>
      </c>
      <c r="L316" s="4">
        <v>103203.97</v>
      </c>
      <c r="M316">
        <v>0</v>
      </c>
      <c r="N316" s="4">
        <f t="shared" si="8"/>
        <v>1.4479209982338632</v>
      </c>
      <c r="O316" s="4">
        <f t="shared" si="9"/>
        <v>0.51276391345041972</v>
      </c>
      <c r="P316" t="str" cm="1">
        <f t="array" ref="P316">_xlfn.IFS(AND(F316&gt;15,F316&lt;=30), "Youngsters", AND(F316&gt;30,F316&lt;=50), "Adults", AND(F316&gt;50,F316&lt;=70),"Old person", AND(F316&gt;70, F316&lt;92), "Senior Citizens")</f>
        <v>Senior Citizens</v>
      </c>
      <c r="Q316" t="str" cm="1">
        <f t="array" ref="Q316">_xlfn.IFS(G316=0,"No Tenure Period",AND(G316&gt;0,G316&lt;=3),"Less Tenure Period",AND(G316&gt;3,G316&lt;=7),"More Tenure Period",AND(G316&gt;7,G316&lt;=10),"Large Tenure Period")</f>
        <v>More Tenure Period</v>
      </c>
      <c r="R316" t="str" cm="1">
        <f t="array" ref="R316">_xlfn.IFS(AND(C316&gt;300,C316&lt;=525),"1 Star",AND(C316&gt;525,C316&lt;=600),"2 Star",AND(C316&gt;600,C316&lt;=700),"3 Star",AND(C316&gt;700,C316&lt;=750),"4 Star",AND(C316&gt;750,C316&lt;=900),"5 Star")</f>
        <v>1 Star</v>
      </c>
      <c r="S316" cm="1">
        <f t="array" ref="S316">_xlfn.IFS(E316="Male",1,E316="Female",2)</f>
        <v>2</v>
      </c>
      <c r="T316" cm="1">
        <f t="array" ref="T316">_xlfn.IFS(D316="France",1,D316="Germany",2,D316="Spain",3)</f>
        <v>1</v>
      </c>
    </row>
    <row r="317" spans="1:20" x14ac:dyDescent="0.3">
      <c r="A317">
        <v>317</v>
      </c>
      <c r="B317" t="s">
        <v>18</v>
      </c>
      <c r="C317" s="5">
        <v>586</v>
      </c>
      <c r="D317" t="s">
        <v>22</v>
      </c>
      <c r="E317" t="s">
        <v>26</v>
      </c>
      <c r="F317">
        <v>64</v>
      </c>
      <c r="G317" s="5">
        <v>9</v>
      </c>
      <c r="H317" s="4">
        <v>31288.48</v>
      </c>
      <c r="I317" s="5">
        <v>2</v>
      </c>
      <c r="J317">
        <v>0</v>
      </c>
      <c r="K317">
        <v>0</v>
      </c>
      <c r="L317" s="4">
        <v>111373.48</v>
      </c>
      <c r="M317">
        <v>0</v>
      </c>
      <c r="N317" s="4">
        <f t="shared" si="8"/>
        <v>-1.3491317659773516</v>
      </c>
      <c r="O317" s="4">
        <f t="shared" si="9"/>
        <v>0.71239684795867431</v>
      </c>
      <c r="P317" t="str" cm="1">
        <f t="array" ref="P317">_xlfn.IFS(AND(F317&gt;15,F317&lt;=30), "Youngsters", AND(F317&gt;30,F317&lt;=50), "Adults", AND(F317&gt;50,F317&lt;=70),"Old person", AND(F317&gt;70, F317&lt;92), "Senior Citizens")</f>
        <v>Old person</v>
      </c>
      <c r="Q317" t="str" cm="1">
        <f t="array" ref="Q317">_xlfn.IFS(G317=0,"No Tenure Period",AND(G317&gt;0,G317&lt;=3),"Less Tenure Period",AND(G317&gt;3,G317&lt;=7),"More Tenure Period",AND(G317&gt;7,G317&lt;=10),"Large Tenure Period")</f>
        <v>Large Tenure Period</v>
      </c>
      <c r="R317" t="str" cm="1">
        <f t="array" ref="R317">_xlfn.IFS(AND(C317&gt;300,C317&lt;=525),"1 Star",AND(C317&gt;525,C317&lt;=600),"2 Star",AND(C317&gt;600,C317&lt;=700),"3 Star",AND(C317&gt;700,C317&lt;=750),"4 Star",AND(C317&gt;750,C317&lt;=900),"5 Star")</f>
        <v>2 Star</v>
      </c>
      <c r="S317" cm="1">
        <f t="array" ref="S317">_xlfn.IFS(E317="Male",1,E317="Female",2)</f>
        <v>2</v>
      </c>
      <c r="T317" cm="1">
        <f t="array" ref="T317">_xlfn.IFS(D317="France",1,D317="Germany",2,D317="Spain",3)</f>
        <v>2</v>
      </c>
    </row>
    <row r="318" spans="1:20" x14ac:dyDescent="0.3">
      <c r="A318">
        <v>318</v>
      </c>
      <c r="B318" t="s">
        <v>21</v>
      </c>
      <c r="C318" s="5">
        <v>455</v>
      </c>
      <c r="D318" t="s">
        <v>24</v>
      </c>
      <c r="E318" t="s">
        <v>25</v>
      </c>
      <c r="F318">
        <v>56</v>
      </c>
      <c r="G318" s="5">
        <v>2</v>
      </c>
      <c r="H318" s="4">
        <v>184265.11</v>
      </c>
      <c r="I318" s="5">
        <v>1</v>
      </c>
      <c r="J318">
        <v>1</v>
      </c>
      <c r="K318">
        <v>0</v>
      </c>
      <c r="L318" s="4">
        <v>106046.27</v>
      </c>
      <c r="M318">
        <v>1</v>
      </c>
      <c r="N318" s="4">
        <f t="shared" si="8"/>
        <v>0.77635546949256551</v>
      </c>
      <c r="O318" s="4">
        <f t="shared" si="9"/>
        <v>0.58221932629070183</v>
      </c>
      <c r="P318" t="str" cm="1">
        <f t="array" ref="P318">_xlfn.IFS(AND(F318&gt;15,F318&lt;=30), "Youngsters", AND(F318&gt;30,F318&lt;=50), "Adults", AND(F318&gt;50,F318&lt;=70),"Old person", AND(F318&gt;70, F318&lt;92), "Senior Citizens")</f>
        <v>Old person</v>
      </c>
      <c r="Q318" t="str" cm="1">
        <f t="array" ref="Q318">_xlfn.IFS(G318=0,"No Tenure Period",AND(G318&gt;0,G318&lt;=3),"Less Tenure Period",AND(G318&gt;3,G318&lt;=7),"More Tenure Period",AND(G318&gt;7,G318&lt;=10),"Large Tenure Period")</f>
        <v>Less Tenure Period</v>
      </c>
      <c r="R318" t="str" cm="1">
        <f t="array" ref="R318">_xlfn.IFS(AND(C318&gt;300,C318&lt;=525),"1 Star",AND(C318&gt;525,C318&lt;=600),"2 Star",AND(C318&gt;600,C318&lt;=700),"3 Star",AND(C318&gt;700,C318&lt;=750),"4 Star",AND(C318&gt;750,C318&lt;=900),"5 Star")</f>
        <v>1 Star</v>
      </c>
      <c r="S318" cm="1">
        <f t="array" ref="S318">_xlfn.IFS(E318="Male",1,E318="Female",2)</f>
        <v>1</v>
      </c>
      <c r="T318" cm="1">
        <f t="array" ref="T318">_xlfn.IFS(D318="France",1,D318="Germany",2,D318="Spain",3)</f>
        <v>1</v>
      </c>
    </row>
    <row r="319" spans="1:20" x14ac:dyDescent="0.3">
      <c r="A319">
        <v>319</v>
      </c>
      <c r="B319" t="s">
        <v>14</v>
      </c>
      <c r="C319" s="5">
        <v>563</v>
      </c>
      <c r="D319" t="s">
        <v>22</v>
      </c>
      <c r="E319" t="s">
        <v>25</v>
      </c>
      <c r="F319">
        <v>67</v>
      </c>
      <c r="G319" s="5">
        <v>3</v>
      </c>
      <c r="H319" s="4">
        <v>136635</v>
      </c>
      <c r="I319" s="5">
        <v>1</v>
      </c>
      <c r="J319">
        <v>1</v>
      </c>
      <c r="K319">
        <v>1</v>
      </c>
      <c r="L319" s="4">
        <v>29342.26</v>
      </c>
      <c r="M319">
        <v>1</v>
      </c>
      <c r="N319" s="4">
        <f t="shared" si="8"/>
        <v>0.11457339971479605</v>
      </c>
      <c r="O319" s="4">
        <f t="shared" si="9"/>
        <v>-1.2921460401572882</v>
      </c>
      <c r="P319" t="str" cm="1">
        <f t="array" ref="P319">_xlfn.IFS(AND(F319&gt;15,F319&lt;=30), "Youngsters", AND(F319&gt;30,F319&lt;=50), "Adults", AND(F319&gt;50,F319&lt;=70),"Old person", AND(F319&gt;70, F319&lt;92), "Senior Citizens")</f>
        <v>Old person</v>
      </c>
      <c r="Q319" t="str" cm="1">
        <f t="array" ref="Q319">_xlfn.IFS(G319=0,"No Tenure Period",AND(G319&gt;0,G319&lt;=3),"Less Tenure Period",AND(G319&gt;3,G319&lt;=7),"More Tenure Period",AND(G319&gt;7,G319&lt;=10),"Large Tenure Period")</f>
        <v>Less Tenure Period</v>
      </c>
      <c r="R319" t="str" cm="1">
        <f t="array" ref="R319">_xlfn.IFS(AND(C319&gt;300,C319&lt;=525),"1 Star",AND(C319&gt;525,C319&lt;=600),"2 Star",AND(C319&gt;600,C319&lt;=700),"3 Star",AND(C319&gt;700,C319&lt;=750),"4 Star",AND(C319&gt;750,C319&lt;=900),"5 Star")</f>
        <v>2 Star</v>
      </c>
      <c r="S319" cm="1">
        <f t="array" ref="S319">_xlfn.IFS(E319="Male",1,E319="Female",2)</f>
        <v>1</v>
      </c>
      <c r="T319" cm="1">
        <f t="array" ref="T319">_xlfn.IFS(D319="France",1,D319="Germany",2,D319="Spain",3)</f>
        <v>2</v>
      </c>
    </row>
    <row r="320" spans="1:20" x14ac:dyDescent="0.3">
      <c r="A320">
        <v>320</v>
      </c>
      <c r="B320" t="s">
        <v>14</v>
      </c>
      <c r="C320" s="5">
        <v>356</v>
      </c>
      <c r="D320" t="s">
        <v>22</v>
      </c>
      <c r="E320" t="s">
        <v>26</v>
      </c>
      <c r="F320">
        <v>26</v>
      </c>
      <c r="G320" s="5">
        <v>10</v>
      </c>
      <c r="H320" s="4">
        <v>114332.53</v>
      </c>
      <c r="I320" s="5">
        <v>3</v>
      </c>
      <c r="J320">
        <v>0</v>
      </c>
      <c r="K320">
        <v>0</v>
      </c>
      <c r="L320" s="4">
        <v>148688.76999999999</v>
      </c>
      <c r="M320">
        <v>1</v>
      </c>
      <c r="N320" s="4">
        <f t="shared" si="8"/>
        <v>-0.19530148316405133</v>
      </c>
      <c r="O320" s="4">
        <f t="shared" si="9"/>
        <v>1.6242460096252287</v>
      </c>
      <c r="P320" t="str" cm="1">
        <f t="array" ref="P320">_xlfn.IFS(AND(F320&gt;15,F320&lt;=30), "Youngsters", AND(F320&gt;30,F320&lt;=50), "Adults", AND(F320&gt;50,F320&lt;=70),"Old person", AND(F320&gt;70, F320&lt;92), "Senior Citizens")</f>
        <v>Youngsters</v>
      </c>
      <c r="Q320" t="str" cm="1">
        <f t="array" ref="Q320">_xlfn.IFS(G320=0,"No Tenure Period",AND(G320&gt;0,G320&lt;=3),"Less Tenure Period",AND(G320&gt;3,G320&lt;=7),"More Tenure Period",AND(G320&gt;7,G320&lt;=10),"Large Tenure Period")</f>
        <v>Large Tenure Period</v>
      </c>
      <c r="R320" t="str" cm="1">
        <f t="array" ref="R320">_xlfn.IFS(AND(C320&gt;300,C320&lt;=525),"1 Star",AND(C320&gt;525,C320&lt;=600),"2 Star",AND(C320&gt;600,C320&lt;=700),"3 Star",AND(C320&gt;700,C320&lt;=750),"4 Star",AND(C320&gt;750,C320&lt;=900),"5 Star")</f>
        <v>1 Star</v>
      </c>
      <c r="S320" cm="1">
        <f t="array" ref="S320">_xlfn.IFS(E320="Male",1,E320="Female",2)</f>
        <v>2</v>
      </c>
      <c r="T320" cm="1">
        <f t="array" ref="T320">_xlfn.IFS(D320="France",1,D320="Germany",2,D320="Spain",3)</f>
        <v>2</v>
      </c>
    </row>
    <row r="321" spans="1:20" x14ac:dyDescent="0.3">
      <c r="A321">
        <v>321</v>
      </c>
      <c r="B321" t="s">
        <v>16</v>
      </c>
      <c r="C321" s="5">
        <v>450</v>
      </c>
      <c r="D321" t="s">
        <v>22</v>
      </c>
      <c r="E321" t="s">
        <v>25</v>
      </c>
      <c r="F321">
        <v>83</v>
      </c>
      <c r="G321" s="5">
        <v>6</v>
      </c>
      <c r="H321" s="4">
        <v>188229.59</v>
      </c>
      <c r="I321" s="5">
        <v>2</v>
      </c>
      <c r="J321">
        <v>0</v>
      </c>
      <c r="K321">
        <v>0</v>
      </c>
      <c r="L321" s="4">
        <v>129283.37</v>
      </c>
      <c r="M321">
        <v>1</v>
      </c>
      <c r="N321" s="4">
        <f t="shared" si="8"/>
        <v>0.83143873048004968</v>
      </c>
      <c r="O321" s="4">
        <f t="shared" si="9"/>
        <v>1.1500490324128272</v>
      </c>
      <c r="P321" t="str" cm="1">
        <f t="array" ref="P321">_xlfn.IFS(AND(F321&gt;15,F321&lt;=30), "Youngsters", AND(F321&gt;30,F321&lt;=50), "Adults", AND(F321&gt;50,F321&lt;=70),"Old person", AND(F321&gt;70, F321&lt;92), "Senior Citizens")</f>
        <v>Senior Citizens</v>
      </c>
      <c r="Q321" t="str" cm="1">
        <f t="array" ref="Q321">_xlfn.IFS(G321=0,"No Tenure Period",AND(G321&gt;0,G321&lt;=3),"Less Tenure Period",AND(G321&gt;3,G321&lt;=7),"More Tenure Period",AND(G321&gt;7,G321&lt;=10),"Large Tenure Period")</f>
        <v>More Tenure Period</v>
      </c>
      <c r="R321" t="str" cm="1">
        <f t="array" ref="R321">_xlfn.IFS(AND(C321&gt;300,C321&lt;=525),"1 Star",AND(C321&gt;525,C321&lt;=600),"2 Star",AND(C321&gt;600,C321&lt;=700),"3 Star",AND(C321&gt;700,C321&lt;=750),"4 Star",AND(C321&gt;750,C321&lt;=900),"5 Star")</f>
        <v>1 Star</v>
      </c>
      <c r="S321" cm="1">
        <f t="array" ref="S321">_xlfn.IFS(E321="Male",1,E321="Female",2)</f>
        <v>1</v>
      </c>
      <c r="T321" cm="1">
        <f t="array" ref="T321">_xlfn.IFS(D321="France",1,D321="Germany",2,D321="Spain",3)</f>
        <v>2</v>
      </c>
    </row>
    <row r="322" spans="1:20" x14ac:dyDescent="0.3">
      <c r="A322">
        <v>322</v>
      </c>
      <c r="B322" t="s">
        <v>17</v>
      </c>
      <c r="C322" s="5">
        <v>398</v>
      </c>
      <c r="D322" t="s">
        <v>24</v>
      </c>
      <c r="E322" t="s">
        <v>25</v>
      </c>
      <c r="F322">
        <v>84</v>
      </c>
      <c r="G322" s="5">
        <v>6</v>
      </c>
      <c r="H322" s="4">
        <v>151818.88</v>
      </c>
      <c r="I322" s="5">
        <v>3</v>
      </c>
      <c r="J322">
        <v>1</v>
      </c>
      <c r="K322">
        <v>0</v>
      </c>
      <c r="L322" s="4">
        <v>76167.42</v>
      </c>
      <c r="M322">
        <v>0</v>
      </c>
      <c r="N322" s="4">
        <f t="shared" ref="N322:N385" si="10">(H322-$X$4)/$X$7</f>
        <v>0.32554119999191666</v>
      </c>
      <c r="O322" s="4">
        <f t="shared" ref="O322:O385" si="11">(L322-$Y$5)/$Y$8</f>
        <v>-0.14791044957492153</v>
      </c>
      <c r="P322" t="str" cm="1">
        <f t="array" ref="P322">_xlfn.IFS(AND(F322&gt;15,F322&lt;=30), "Youngsters", AND(F322&gt;30,F322&lt;=50), "Adults", AND(F322&gt;50,F322&lt;=70),"Old person", AND(F322&gt;70, F322&lt;92), "Senior Citizens")</f>
        <v>Senior Citizens</v>
      </c>
      <c r="Q322" t="str" cm="1">
        <f t="array" ref="Q322">_xlfn.IFS(G322=0,"No Tenure Period",AND(G322&gt;0,G322&lt;=3),"Less Tenure Period",AND(G322&gt;3,G322&lt;=7),"More Tenure Period",AND(G322&gt;7,G322&lt;=10),"Large Tenure Period")</f>
        <v>More Tenure Period</v>
      </c>
      <c r="R322" t="str" cm="1">
        <f t="array" ref="R322">_xlfn.IFS(AND(C322&gt;300,C322&lt;=525),"1 Star",AND(C322&gt;525,C322&lt;=600),"2 Star",AND(C322&gt;600,C322&lt;=700),"3 Star",AND(C322&gt;700,C322&lt;=750),"4 Star",AND(C322&gt;750,C322&lt;=900),"5 Star")</f>
        <v>1 Star</v>
      </c>
      <c r="S322" cm="1">
        <f t="array" ref="S322">_xlfn.IFS(E322="Male",1,E322="Female",2)</f>
        <v>1</v>
      </c>
      <c r="T322" cm="1">
        <f t="array" ref="T322">_xlfn.IFS(D322="France",1,D322="Germany",2,D322="Spain",3)</f>
        <v>1</v>
      </c>
    </row>
    <row r="323" spans="1:20" x14ac:dyDescent="0.3">
      <c r="A323">
        <v>323</v>
      </c>
      <c r="B323" t="s">
        <v>12</v>
      </c>
      <c r="C323" s="5">
        <v>390</v>
      </c>
      <c r="D323" t="s">
        <v>22</v>
      </c>
      <c r="E323" t="s">
        <v>25</v>
      </c>
      <c r="F323">
        <v>80</v>
      </c>
      <c r="G323" s="5">
        <v>2</v>
      </c>
      <c r="H323" s="4">
        <v>25688.61</v>
      </c>
      <c r="I323" s="5">
        <v>3</v>
      </c>
      <c r="J323">
        <v>0</v>
      </c>
      <c r="K323">
        <v>1</v>
      </c>
      <c r="L323" s="4">
        <v>100083.34</v>
      </c>
      <c r="M323">
        <v>1</v>
      </c>
      <c r="N323" s="4">
        <f t="shared" si="10"/>
        <v>-1.4269374556783923</v>
      </c>
      <c r="O323" s="4">
        <f t="shared" si="11"/>
        <v>0.43650713373970318</v>
      </c>
      <c r="P323" t="str" cm="1">
        <f t="array" ref="P323">_xlfn.IFS(AND(F323&gt;15,F323&lt;=30), "Youngsters", AND(F323&gt;30,F323&lt;=50), "Adults", AND(F323&gt;50,F323&lt;=70),"Old person", AND(F323&gt;70, F323&lt;92), "Senior Citizens")</f>
        <v>Senior Citizens</v>
      </c>
      <c r="Q323" t="str" cm="1">
        <f t="array" ref="Q323">_xlfn.IFS(G323=0,"No Tenure Period",AND(G323&gt;0,G323&lt;=3),"Less Tenure Period",AND(G323&gt;3,G323&lt;=7),"More Tenure Period",AND(G323&gt;7,G323&lt;=10),"Large Tenure Period")</f>
        <v>Less Tenure Period</v>
      </c>
      <c r="R323" t="str" cm="1">
        <f t="array" ref="R323">_xlfn.IFS(AND(C323&gt;300,C323&lt;=525),"1 Star",AND(C323&gt;525,C323&lt;=600),"2 Star",AND(C323&gt;600,C323&lt;=700),"3 Star",AND(C323&gt;700,C323&lt;=750),"4 Star",AND(C323&gt;750,C323&lt;=900),"5 Star")</f>
        <v>1 Star</v>
      </c>
      <c r="S323" cm="1">
        <f t="array" ref="S323">_xlfn.IFS(E323="Male",1,E323="Female",2)</f>
        <v>1</v>
      </c>
      <c r="T323" cm="1">
        <f t="array" ref="T323">_xlfn.IFS(D323="France",1,D323="Germany",2,D323="Spain",3)</f>
        <v>2</v>
      </c>
    </row>
    <row r="324" spans="1:20" x14ac:dyDescent="0.3">
      <c r="A324">
        <v>324</v>
      </c>
      <c r="B324" t="s">
        <v>17</v>
      </c>
      <c r="C324" s="5">
        <v>760</v>
      </c>
      <c r="D324" t="s">
        <v>23</v>
      </c>
      <c r="E324" t="s">
        <v>26</v>
      </c>
      <c r="F324">
        <v>34</v>
      </c>
      <c r="G324" s="5">
        <v>1</v>
      </c>
      <c r="H324" s="4">
        <v>104789.1</v>
      </c>
      <c r="I324" s="5">
        <v>2</v>
      </c>
      <c r="J324">
        <v>1</v>
      </c>
      <c r="K324">
        <v>0</v>
      </c>
      <c r="L324" s="4">
        <v>47420.92</v>
      </c>
      <c r="M324">
        <v>1</v>
      </c>
      <c r="N324" s="4">
        <f t="shared" si="10"/>
        <v>-0.32789976727843306</v>
      </c>
      <c r="O324" s="4">
        <f t="shared" si="11"/>
        <v>-0.8503697343841139</v>
      </c>
      <c r="P324" t="str" cm="1">
        <f t="array" ref="P324">_xlfn.IFS(AND(F324&gt;15,F324&lt;=30), "Youngsters", AND(F324&gt;30,F324&lt;=50), "Adults", AND(F324&gt;50,F324&lt;=70),"Old person", AND(F324&gt;70, F324&lt;92), "Senior Citizens")</f>
        <v>Adults</v>
      </c>
      <c r="Q324" t="str" cm="1">
        <f t="array" ref="Q324">_xlfn.IFS(G324=0,"No Tenure Period",AND(G324&gt;0,G324&lt;=3),"Less Tenure Period",AND(G324&gt;3,G324&lt;=7),"More Tenure Period",AND(G324&gt;7,G324&lt;=10),"Large Tenure Period")</f>
        <v>Less Tenure Period</v>
      </c>
      <c r="R324" t="str" cm="1">
        <f t="array" ref="R324">_xlfn.IFS(AND(C324&gt;300,C324&lt;=525),"1 Star",AND(C324&gt;525,C324&lt;=600),"2 Star",AND(C324&gt;600,C324&lt;=700),"3 Star",AND(C324&gt;700,C324&lt;=750),"4 Star",AND(C324&gt;750,C324&lt;=900),"5 Star")</f>
        <v>5 Star</v>
      </c>
      <c r="S324" cm="1">
        <f t="array" ref="S324">_xlfn.IFS(E324="Male",1,E324="Female",2)</f>
        <v>2</v>
      </c>
      <c r="T324" cm="1">
        <f t="array" ref="T324">_xlfn.IFS(D324="France",1,D324="Germany",2,D324="Spain",3)</f>
        <v>3</v>
      </c>
    </row>
    <row r="325" spans="1:20" x14ac:dyDescent="0.3">
      <c r="A325">
        <v>325</v>
      </c>
      <c r="B325" t="s">
        <v>14</v>
      </c>
      <c r="C325" s="5">
        <v>508</v>
      </c>
      <c r="D325" t="s">
        <v>24</v>
      </c>
      <c r="E325" t="s">
        <v>25</v>
      </c>
      <c r="F325">
        <v>79</v>
      </c>
      <c r="G325" s="5">
        <v>10</v>
      </c>
      <c r="H325" s="4">
        <v>248917.55</v>
      </c>
      <c r="I325" s="5">
        <v>4</v>
      </c>
      <c r="J325">
        <v>1</v>
      </c>
      <c r="K325">
        <v>0</v>
      </c>
      <c r="L325" s="4">
        <v>126187.32</v>
      </c>
      <c r="M325">
        <v>0</v>
      </c>
      <c r="N325" s="4">
        <f t="shared" si="10"/>
        <v>1.674649123640815</v>
      </c>
      <c r="O325" s="4">
        <f t="shared" si="11"/>
        <v>1.0743928979709476</v>
      </c>
      <c r="P325" t="str" cm="1">
        <f t="array" ref="P325">_xlfn.IFS(AND(F325&gt;15,F325&lt;=30), "Youngsters", AND(F325&gt;30,F325&lt;=50), "Adults", AND(F325&gt;50,F325&lt;=70),"Old person", AND(F325&gt;70, F325&lt;92), "Senior Citizens")</f>
        <v>Senior Citizens</v>
      </c>
      <c r="Q325" t="str" cm="1">
        <f t="array" ref="Q325">_xlfn.IFS(G325=0,"No Tenure Period",AND(G325&gt;0,G325&lt;=3),"Less Tenure Period",AND(G325&gt;3,G325&lt;=7),"More Tenure Period",AND(G325&gt;7,G325&lt;=10),"Large Tenure Period")</f>
        <v>Large Tenure Period</v>
      </c>
      <c r="R325" t="str" cm="1">
        <f t="array" ref="R325">_xlfn.IFS(AND(C325&gt;300,C325&lt;=525),"1 Star",AND(C325&gt;525,C325&lt;=600),"2 Star",AND(C325&gt;600,C325&lt;=700),"3 Star",AND(C325&gt;700,C325&lt;=750),"4 Star",AND(C325&gt;750,C325&lt;=900),"5 Star")</f>
        <v>1 Star</v>
      </c>
      <c r="S325" cm="1">
        <f t="array" ref="S325">_xlfn.IFS(E325="Male",1,E325="Female",2)</f>
        <v>1</v>
      </c>
      <c r="T325" cm="1">
        <f t="array" ref="T325">_xlfn.IFS(D325="France",1,D325="Germany",2,D325="Spain",3)</f>
        <v>1</v>
      </c>
    </row>
    <row r="326" spans="1:20" x14ac:dyDescent="0.3">
      <c r="A326">
        <v>326</v>
      </c>
      <c r="B326" t="s">
        <v>12</v>
      </c>
      <c r="C326" s="5">
        <v>739</v>
      </c>
      <c r="D326" t="s">
        <v>24</v>
      </c>
      <c r="E326" t="s">
        <v>25</v>
      </c>
      <c r="F326">
        <v>84</v>
      </c>
      <c r="G326" s="5">
        <v>7</v>
      </c>
      <c r="H326" s="4">
        <v>191888.81</v>
      </c>
      <c r="I326" s="5">
        <v>2</v>
      </c>
      <c r="J326">
        <v>1</v>
      </c>
      <c r="K326">
        <v>0</v>
      </c>
      <c r="L326" s="4">
        <v>94143.76</v>
      </c>
      <c r="M326">
        <v>1</v>
      </c>
      <c r="N326" s="4">
        <f t="shared" si="10"/>
        <v>0.88228064928670824</v>
      </c>
      <c r="O326" s="4">
        <f t="shared" si="11"/>
        <v>0.29136552975775809</v>
      </c>
      <c r="P326" t="str" cm="1">
        <f t="array" ref="P326">_xlfn.IFS(AND(F326&gt;15,F326&lt;=30), "Youngsters", AND(F326&gt;30,F326&lt;=50), "Adults", AND(F326&gt;50,F326&lt;=70),"Old person", AND(F326&gt;70, F326&lt;92), "Senior Citizens")</f>
        <v>Senior Citizens</v>
      </c>
      <c r="Q326" t="str" cm="1">
        <f t="array" ref="Q326">_xlfn.IFS(G326=0,"No Tenure Period",AND(G326&gt;0,G326&lt;=3),"Less Tenure Period",AND(G326&gt;3,G326&lt;=7),"More Tenure Period",AND(G326&gt;7,G326&lt;=10),"Large Tenure Period")</f>
        <v>More Tenure Period</v>
      </c>
      <c r="R326" t="str" cm="1">
        <f t="array" ref="R326">_xlfn.IFS(AND(C326&gt;300,C326&lt;=525),"1 Star",AND(C326&gt;525,C326&lt;=600),"2 Star",AND(C326&gt;600,C326&lt;=700),"3 Star",AND(C326&gt;700,C326&lt;=750),"4 Star",AND(C326&gt;750,C326&lt;=900),"5 Star")</f>
        <v>4 Star</v>
      </c>
      <c r="S326" cm="1">
        <f t="array" ref="S326">_xlfn.IFS(E326="Male",1,E326="Female",2)</f>
        <v>1</v>
      </c>
      <c r="T326" cm="1">
        <f t="array" ref="T326">_xlfn.IFS(D326="France",1,D326="Germany",2,D326="Spain",3)</f>
        <v>1</v>
      </c>
    </row>
    <row r="327" spans="1:20" x14ac:dyDescent="0.3">
      <c r="A327">
        <v>327</v>
      </c>
      <c r="B327" t="s">
        <v>15</v>
      </c>
      <c r="C327" s="5">
        <v>493</v>
      </c>
      <c r="D327" t="s">
        <v>23</v>
      </c>
      <c r="E327" t="s">
        <v>25</v>
      </c>
      <c r="F327">
        <v>29</v>
      </c>
      <c r="G327" s="5">
        <v>8</v>
      </c>
      <c r="H327" s="4">
        <v>190645.09</v>
      </c>
      <c r="I327" s="5">
        <v>1</v>
      </c>
      <c r="J327">
        <v>1</v>
      </c>
      <c r="K327">
        <v>1</v>
      </c>
      <c r="L327" s="4">
        <v>46765.52</v>
      </c>
      <c r="M327">
        <v>1</v>
      </c>
      <c r="N327" s="4">
        <f t="shared" si="10"/>
        <v>0.86500016020482262</v>
      </c>
      <c r="O327" s="4">
        <f t="shared" si="11"/>
        <v>-0.86638531246366957</v>
      </c>
      <c r="P327" t="str" cm="1">
        <f t="array" ref="P327">_xlfn.IFS(AND(F327&gt;15,F327&lt;=30), "Youngsters", AND(F327&gt;30,F327&lt;=50), "Adults", AND(F327&gt;50,F327&lt;=70),"Old person", AND(F327&gt;70, F327&lt;92), "Senior Citizens")</f>
        <v>Youngsters</v>
      </c>
      <c r="Q327" t="str" cm="1">
        <f t="array" ref="Q327">_xlfn.IFS(G327=0,"No Tenure Period",AND(G327&gt;0,G327&lt;=3),"Less Tenure Period",AND(G327&gt;3,G327&lt;=7),"More Tenure Period",AND(G327&gt;7,G327&lt;=10),"Large Tenure Period")</f>
        <v>Large Tenure Period</v>
      </c>
      <c r="R327" t="str" cm="1">
        <f t="array" ref="R327">_xlfn.IFS(AND(C327&gt;300,C327&lt;=525),"1 Star",AND(C327&gt;525,C327&lt;=600),"2 Star",AND(C327&gt;600,C327&lt;=700),"3 Star",AND(C327&gt;700,C327&lt;=750),"4 Star",AND(C327&gt;750,C327&lt;=900),"5 Star")</f>
        <v>1 Star</v>
      </c>
      <c r="S327" cm="1">
        <f t="array" ref="S327">_xlfn.IFS(E327="Male",1,E327="Female",2)</f>
        <v>1</v>
      </c>
      <c r="T327" cm="1">
        <f t="array" ref="T327">_xlfn.IFS(D327="France",1,D327="Germany",2,D327="Spain",3)</f>
        <v>3</v>
      </c>
    </row>
    <row r="328" spans="1:20" x14ac:dyDescent="0.3">
      <c r="A328">
        <v>328</v>
      </c>
      <c r="B328" t="s">
        <v>17</v>
      </c>
      <c r="C328" s="5">
        <v>797</v>
      </c>
      <c r="D328" t="s">
        <v>23</v>
      </c>
      <c r="E328" t="s">
        <v>26</v>
      </c>
      <c r="F328">
        <v>49</v>
      </c>
      <c r="G328" s="5">
        <v>8</v>
      </c>
      <c r="H328" s="4">
        <v>230551.53</v>
      </c>
      <c r="I328" s="5">
        <v>2</v>
      </c>
      <c r="J328">
        <v>1</v>
      </c>
      <c r="K328">
        <v>1</v>
      </c>
      <c r="L328" s="4">
        <v>127716.72</v>
      </c>
      <c r="M328">
        <v>1</v>
      </c>
      <c r="N328" s="4">
        <f t="shared" si="10"/>
        <v>1.4194680474438481</v>
      </c>
      <c r="O328" s="4">
        <f t="shared" si="11"/>
        <v>1.1117658383354154</v>
      </c>
      <c r="P328" t="str" cm="1">
        <f t="array" ref="P328">_xlfn.IFS(AND(F328&gt;15,F328&lt;=30), "Youngsters", AND(F328&gt;30,F328&lt;=50), "Adults", AND(F328&gt;50,F328&lt;=70),"Old person", AND(F328&gt;70, F328&lt;92), "Senior Citizens")</f>
        <v>Adults</v>
      </c>
      <c r="Q328" t="str" cm="1">
        <f t="array" ref="Q328">_xlfn.IFS(G328=0,"No Tenure Period",AND(G328&gt;0,G328&lt;=3),"Less Tenure Period",AND(G328&gt;3,G328&lt;=7),"More Tenure Period",AND(G328&gt;7,G328&lt;=10),"Large Tenure Period")</f>
        <v>Large Tenure Period</v>
      </c>
      <c r="R328" t="str" cm="1">
        <f t="array" ref="R328">_xlfn.IFS(AND(C328&gt;300,C328&lt;=525),"1 Star",AND(C328&gt;525,C328&lt;=600),"2 Star",AND(C328&gt;600,C328&lt;=700),"3 Star",AND(C328&gt;700,C328&lt;=750),"4 Star",AND(C328&gt;750,C328&lt;=900),"5 Star")</f>
        <v>5 Star</v>
      </c>
      <c r="S328" cm="1">
        <f t="array" ref="S328">_xlfn.IFS(E328="Male",1,E328="Female",2)</f>
        <v>2</v>
      </c>
      <c r="T328" cm="1">
        <f t="array" ref="T328">_xlfn.IFS(D328="France",1,D328="Germany",2,D328="Spain",3)</f>
        <v>3</v>
      </c>
    </row>
    <row r="329" spans="1:20" x14ac:dyDescent="0.3">
      <c r="A329">
        <v>329</v>
      </c>
      <c r="B329" t="s">
        <v>15</v>
      </c>
      <c r="C329" s="5">
        <v>835</v>
      </c>
      <c r="D329" t="s">
        <v>23</v>
      </c>
      <c r="E329" t="s">
        <v>25</v>
      </c>
      <c r="F329">
        <v>28</v>
      </c>
      <c r="G329" s="5">
        <v>4</v>
      </c>
      <c r="H329" s="4">
        <v>182346.37</v>
      </c>
      <c r="I329" s="5">
        <v>4</v>
      </c>
      <c r="J329">
        <v>1</v>
      </c>
      <c r="K329">
        <v>0</v>
      </c>
      <c r="L329" s="4">
        <v>23783.4</v>
      </c>
      <c r="M329">
        <v>0</v>
      </c>
      <c r="N329" s="4">
        <f t="shared" si="10"/>
        <v>0.74969612042607392</v>
      </c>
      <c r="O329" s="4">
        <f t="shared" si="11"/>
        <v>-1.4279842402844141</v>
      </c>
      <c r="P329" t="str" cm="1">
        <f t="array" ref="P329">_xlfn.IFS(AND(F329&gt;15,F329&lt;=30), "Youngsters", AND(F329&gt;30,F329&lt;=50), "Adults", AND(F329&gt;50,F329&lt;=70),"Old person", AND(F329&gt;70, F329&lt;92), "Senior Citizens")</f>
        <v>Youngsters</v>
      </c>
      <c r="Q329" t="str" cm="1">
        <f t="array" ref="Q329">_xlfn.IFS(G329=0,"No Tenure Period",AND(G329&gt;0,G329&lt;=3),"Less Tenure Period",AND(G329&gt;3,G329&lt;=7),"More Tenure Period",AND(G329&gt;7,G329&lt;=10),"Large Tenure Period")</f>
        <v>More Tenure Period</v>
      </c>
      <c r="R329" t="str" cm="1">
        <f t="array" ref="R329">_xlfn.IFS(AND(C329&gt;300,C329&lt;=525),"1 Star",AND(C329&gt;525,C329&lt;=600),"2 Star",AND(C329&gt;600,C329&lt;=700),"3 Star",AND(C329&gt;700,C329&lt;=750),"4 Star",AND(C329&gt;750,C329&lt;=900),"5 Star")</f>
        <v>5 Star</v>
      </c>
      <c r="S329" cm="1">
        <f t="array" ref="S329">_xlfn.IFS(E329="Male",1,E329="Female",2)</f>
        <v>1</v>
      </c>
      <c r="T329" cm="1">
        <f t="array" ref="T329">_xlfn.IFS(D329="France",1,D329="Germany",2,D329="Spain",3)</f>
        <v>3</v>
      </c>
    </row>
    <row r="330" spans="1:20" x14ac:dyDescent="0.3">
      <c r="A330">
        <v>330</v>
      </c>
      <c r="B330" t="s">
        <v>21</v>
      </c>
      <c r="C330" s="5">
        <v>387</v>
      </c>
      <c r="D330" t="s">
        <v>23</v>
      </c>
      <c r="E330" t="s">
        <v>26</v>
      </c>
      <c r="F330">
        <v>38</v>
      </c>
      <c r="G330" s="5">
        <v>2</v>
      </c>
      <c r="H330" s="4">
        <v>211996.17</v>
      </c>
      <c r="I330" s="5">
        <v>2</v>
      </c>
      <c r="J330">
        <v>1</v>
      </c>
      <c r="K330">
        <v>0</v>
      </c>
      <c r="L330" s="4">
        <v>45722.09</v>
      </c>
      <c r="M330">
        <v>0</v>
      </c>
      <c r="N330" s="4">
        <f t="shared" si="10"/>
        <v>1.1616562442321481</v>
      </c>
      <c r="O330" s="4">
        <f t="shared" si="11"/>
        <v>-0.89188292405285274</v>
      </c>
      <c r="P330" t="str" cm="1">
        <f t="array" ref="P330">_xlfn.IFS(AND(F330&gt;15,F330&lt;=30), "Youngsters", AND(F330&gt;30,F330&lt;=50), "Adults", AND(F330&gt;50,F330&lt;=70),"Old person", AND(F330&gt;70, F330&lt;92), "Senior Citizens")</f>
        <v>Adults</v>
      </c>
      <c r="Q330" t="str" cm="1">
        <f t="array" ref="Q330">_xlfn.IFS(G330=0,"No Tenure Period",AND(G330&gt;0,G330&lt;=3),"Less Tenure Period",AND(G330&gt;3,G330&lt;=7),"More Tenure Period",AND(G330&gt;7,G330&lt;=10),"Large Tenure Period")</f>
        <v>Less Tenure Period</v>
      </c>
      <c r="R330" t="str" cm="1">
        <f t="array" ref="R330">_xlfn.IFS(AND(C330&gt;300,C330&lt;=525),"1 Star",AND(C330&gt;525,C330&lt;=600),"2 Star",AND(C330&gt;600,C330&lt;=700),"3 Star",AND(C330&gt;700,C330&lt;=750),"4 Star",AND(C330&gt;750,C330&lt;=900),"5 Star")</f>
        <v>1 Star</v>
      </c>
      <c r="S330" cm="1">
        <f t="array" ref="S330">_xlfn.IFS(E330="Male",1,E330="Female",2)</f>
        <v>2</v>
      </c>
      <c r="T330" cm="1">
        <f t="array" ref="T330">_xlfn.IFS(D330="France",1,D330="Germany",2,D330="Spain",3)</f>
        <v>3</v>
      </c>
    </row>
    <row r="331" spans="1:20" x14ac:dyDescent="0.3">
      <c r="A331">
        <v>331</v>
      </c>
      <c r="B331" t="s">
        <v>19</v>
      </c>
      <c r="C331" s="5">
        <v>409</v>
      </c>
      <c r="D331" t="s">
        <v>22</v>
      </c>
      <c r="E331" t="s">
        <v>25</v>
      </c>
      <c r="F331">
        <v>32</v>
      </c>
      <c r="G331" s="5">
        <v>9</v>
      </c>
      <c r="H331" s="4">
        <v>100270.85</v>
      </c>
      <c r="I331" s="5">
        <v>1</v>
      </c>
      <c r="J331">
        <v>1</v>
      </c>
      <c r="K331">
        <v>1</v>
      </c>
      <c r="L331" s="4">
        <v>57238.53</v>
      </c>
      <c r="M331">
        <v>0</v>
      </c>
      <c r="N331" s="4">
        <f t="shared" si="10"/>
        <v>-0.39067721702132491</v>
      </c>
      <c r="O331" s="4">
        <f t="shared" si="11"/>
        <v>-0.61046326580061416</v>
      </c>
      <c r="P331" t="str" cm="1">
        <f t="array" ref="P331">_xlfn.IFS(AND(F331&gt;15,F331&lt;=30), "Youngsters", AND(F331&gt;30,F331&lt;=50), "Adults", AND(F331&gt;50,F331&lt;=70),"Old person", AND(F331&gt;70, F331&lt;92), "Senior Citizens")</f>
        <v>Adults</v>
      </c>
      <c r="Q331" t="str" cm="1">
        <f t="array" ref="Q331">_xlfn.IFS(G331=0,"No Tenure Period",AND(G331&gt;0,G331&lt;=3),"Less Tenure Period",AND(G331&gt;3,G331&lt;=7),"More Tenure Period",AND(G331&gt;7,G331&lt;=10),"Large Tenure Period")</f>
        <v>Large Tenure Period</v>
      </c>
      <c r="R331" t="str" cm="1">
        <f t="array" ref="R331">_xlfn.IFS(AND(C331&gt;300,C331&lt;=525),"1 Star",AND(C331&gt;525,C331&lt;=600),"2 Star",AND(C331&gt;600,C331&lt;=700),"3 Star",AND(C331&gt;700,C331&lt;=750),"4 Star",AND(C331&gt;750,C331&lt;=900),"5 Star")</f>
        <v>1 Star</v>
      </c>
      <c r="S331" cm="1">
        <f t="array" ref="S331">_xlfn.IFS(E331="Male",1,E331="Female",2)</f>
        <v>1</v>
      </c>
      <c r="T331" cm="1">
        <f t="array" ref="T331">_xlfn.IFS(D331="France",1,D331="Germany",2,D331="Spain",3)</f>
        <v>2</v>
      </c>
    </row>
    <row r="332" spans="1:20" x14ac:dyDescent="0.3">
      <c r="A332">
        <v>332</v>
      </c>
      <c r="B332" t="s">
        <v>12</v>
      </c>
      <c r="C332" s="5">
        <v>463</v>
      </c>
      <c r="D332" t="s">
        <v>24</v>
      </c>
      <c r="E332" t="s">
        <v>26</v>
      </c>
      <c r="F332">
        <v>70</v>
      </c>
      <c r="G332" s="5">
        <v>8</v>
      </c>
      <c r="H332" s="4">
        <v>100036.16</v>
      </c>
      <c r="I332" s="5">
        <v>1</v>
      </c>
      <c r="J332">
        <v>0</v>
      </c>
      <c r="K332">
        <v>0</v>
      </c>
      <c r="L332" s="4">
        <v>27387.77</v>
      </c>
      <c r="M332">
        <v>1</v>
      </c>
      <c r="N332" s="4">
        <f t="shared" si="10"/>
        <v>-0.39393804581126779</v>
      </c>
      <c r="O332" s="4">
        <f t="shared" si="11"/>
        <v>-1.3399066248394831</v>
      </c>
      <c r="P332" t="str" cm="1">
        <f t="array" ref="P332">_xlfn.IFS(AND(F332&gt;15,F332&lt;=30), "Youngsters", AND(F332&gt;30,F332&lt;=50), "Adults", AND(F332&gt;50,F332&lt;=70),"Old person", AND(F332&gt;70, F332&lt;92), "Senior Citizens")</f>
        <v>Old person</v>
      </c>
      <c r="Q332" t="str" cm="1">
        <f t="array" ref="Q332">_xlfn.IFS(G332=0,"No Tenure Period",AND(G332&gt;0,G332&lt;=3),"Less Tenure Period",AND(G332&gt;3,G332&lt;=7),"More Tenure Period",AND(G332&gt;7,G332&lt;=10),"Large Tenure Period")</f>
        <v>Large Tenure Period</v>
      </c>
      <c r="R332" t="str" cm="1">
        <f t="array" ref="R332">_xlfn.IFS(AND(C332&gt;300,C332&lt;=525),"1 Star",AND(C332&gt;525,C332&lt;=600),"2 Star",AND(C332&gt;600,C332&lt;=700),"3 Star",AND(C332&gt;700,C332&lt;=750),"4 Star",AND(C332&gt;750,C332&lt;=900),"5 Star")</f>
        <v>1 Star</v>
      </c>
      <c r="S332" cm="1">
        <f t="array" ref="S332">_xlfn.IFS(E332="Male",1,E332="Female",2)</f>
        <v>2</v>
      </c>
      <c r="T332" cm="1">
        <f t="array" ref="T332">_xlfn.IFS(D332="France",1,D332="Germany",2,D332="Spain",3)</f>
        <v>1</v>
      </c>
    </row>
    <row r="333" spans="1:20" x14ac:dyDescent="0.3">
      <c r="A333">
        <v>333</v>
      </c>
      <c r="B333" t="s">
        <v>13</v>
      </c>
      <c r="C333" s="5">
        <v>445</v>
      </c>
      <c r="D333" t="s">
        <v>24</v>
      </c>
      <c r="E333" t="s">
        <v>26</v>
      </c>
      <c r="F333">
        <v>89</v>
      </c>
      <c r="G333" s="5">
        <v>10</v>
      </c>
      <c r="H333" s="4">
        <v>239257.96</v>
      </c>
      <c r="I333" s="5">
        <v>4</v>
      </c>
      <c r="J333">
        <v>0</v>
      </c>
      <c r="K333">
        <v>0</v>
      </c>
      <c r="L333" s="4">
        <v>75002.11</v>
      </c>
      <c r="M333">
        <v>0</v>
      </c>
      <c r="N333" s="4">
        <f t="shared" si="10"/>
        <v>1.5404368897533718</v>
      </c>
      <c r="O333" s="4">
        <f t="shared" si="11"/>
        <v>-0.17638636244017464</v>
      </c>
      <c r="P333" t="str" cm="1">
        <f t="array" ref="P333">_xlfn.IFS(AND(F333&gt;15,F333&lt;=30), "Youngsters", AND(F333&gt;30,F333&lt;=50), "Adults", AND(F333&gt;50,F333&lt;=70),"Old person", AND(F333&gt;70, F333&lt;92), "Senior Citizens")</f>
        <v>Senior Citizens</v>
      </c>
      <c r="Q333" t="str" cm="1">
        <f t="array" ref="Q333">_xlfn.IFS(G333=0,"No Tenure Period",AND(G333&gt;0,G333&lt;=3),"Less Tenure Period",AND(G333&gt;3,G333&lt;=7),"More Tenure Period",AND(G333&gt;7,G333&lt;=10),"Large Tenure Period")</f>
        <v>Large Tenure Period</v>
      </c>
      <c r="R333" t="str" cm="1">
        <f t="array" ref="R333">_xlfn.IFS(AND(C333&gt;300,C333&lt;=525),"1 Star",AND(C333&gt;525,C333&lt;=600),"2 Star",AND(C333&gt;600,C333&lt;=700),"3 Star",AND(C333&gt;700,C333&lt;=750),"4 Star",AND(C333&gt;750,C333&lt;=900),"5 Star")</f>
        <v>1 Star</v>
      </c>
      <c r="S333" cm="1">
        <f t="array" ref="S333">_xlfn.IFS(E333="Male",1,E333="Female",2)</f>
        <v>2</v>
      </c>
      <c r="T333" cm="1">
        <f t="array" ref="T333">_xlfn.IFS(D333="France",1,D333="Germany",2,D333="Spain",3)</f>
        <v>1</v>
      </c>
    </row>
    <row r="334" spans="1:20" x14ac:dyDescent="0.3">
      <c r="A334">
        <v>334</v>
      </c>
      <c r="B334" t="s">
        <v>13</v>
      </c>
      <c r="C334" s="5">
        <v>702</v>
      </c>
      <c r="D334" t="s">
        <v>23</v>
      </c>
      <c r="E334" t="s">
        <v>26</v>
      </c>
      <c r="F334">
        <v>47</v>
      </c>
      <c r="G334" s="5">
        <v>0</v>
      </c>
      <c r="H334" s="4">
        <v>189373.41</v>
      </c>
      <c r="I334" s="5">
        <v>4</v>
      </c>
      <c r="J334">
        <v>1</v>
      </c>
      <c r="K334">
        <v>1</v>
      </c>
      <c r="L334" s="4">
        <v>117202.4</v>
      </c>
      <c r="M334">
        <v>1</v>
      </c>
      <c r="N334" s="4">
        <f t="shared" si="10"/>
        <v>0.84733118941103291</v>
      </c>
      <c r="O334" s="4">
        <f t="shared" si="11"/>
        <v>0.85483432641379054</v>
      </c>
      <c r="P334" t="str" cm="1">
        <f t="array" ref="P334">_xlfn.IFS(AND(F334&gt;15,F334&lt;=30), "Youngsters", AND(F334&gt;30,F334&lt;=50), "Adults", AND(F334&gt;50,F334&lt;=70),"Old person", AND(F334&gt;70, F334&lt;92), "Senior Citizens")</f>
        <v>Adults</v>
      </c>
      <c r="Q334" t="str" cm="1">
        <f t="array" ref="Q334">_xlfn.IFS(G334=0,"No Tenure Period",AND(G334&gt;0,G334&lt;=3),"Less Tenure Period",AND(G334&gt;3,G334&lt;=7),"More Tenure Period",AND(G334&gt;7,G334&lt;=10),"Large Tenure Period")</f>
        <v>No Tenure Period</v>
      </c>
      <c r="R334" t="str" cm="1">
        <f t="array" ref="R334">_xlfn.IFS(AND(C334&gt;300,C334&lt;=525),"1 Star",AND(C334&gt;525,C334&lt;=600),"2 Star",AND(C334&gt;600,C334&lt;=700),"3 Star",AND(C334&gt;700,C334&lt;=750),"4 Star",AND(C334&gt;750,C334&lt;=900),"5 Star")</f>
        <v>4 Star</v>
      </c>
      <c r="S334" cm="1">
        <f t="array" ref="S334">_xlfn.IFS(E334="Male",1,E334="Female",2)</f>
        <v>2</v>
      </c>
      <c r="T334" cm="1">
        <f t="array" ref="T334">_xlfn.IFS(D334="France",1,D334="Germany",2,D334="Spain",3)</f>
        <v>3</v>
      </c>
    </row>
    <row r="335" spans="1:20" x14ac:dyDescent="0.3">
      <c r="A335">
        <v>335</v>
      </c>
      <c r="B335" t="s">
        <v>14</v>
      </c>
      <c r="C335" s="5">
        <v>846</v>
      </c>
      <c r="D335" t="s">
        <v>22</v>
      </c>
      <c r="E335" t="s">
        <v>26</v>
      </c>
      <c r="F335">
        <v>23</v>
      </c>
      <c r="G335" s="5">
        <v>3</v>
      </c>
      <c r="H335" s="4">
        <v>117828.86</v>
      </c>
      <c r="I335" s="5">
        <v>1</v>
      </c>
      <c r="J335">
        <v>0</v>
      </c>
      <c r="K335">
        <v>0</v>
      </c>
      <c r="L335" s="4">
        <v>67005.429999999993</v>
      </c>
      <c r="M335">
        <v>1</v>
      </c>
      <c r="N335" s="4">
        <f t="shared" si="10"/>
        <v>-0.14672278989573614</v>
      </c>
      <c r="O335" s="4">
        <f t="shared" si="11"/>
        <v>-0.37179596408378263</v>
      </c>
      <c r="P335" t="str" cm="1">
        <f t="array" ref="P335">_xlfn.IFS(AND(F335&gt;15,F335&lt;=30), "Youngsters", AND(F335&gt;30,F335&lt;=50), "Adults", AND(F335&gt;50,F335&lt;=70),"Old person", AND(F335&gt;70, F335&lt;92), "Senior Citizens")</f>
        <v>Youngsters</v>
      </c>
      <c r="Q335" t="str" cm="1">
        <f t="array" ref="Q335">_xlfn.IFS(G335=0,"No Tenure Period",AND(G335&gt;0,G335&lt;=3),"Less Tenure Period",AND(G335&gt;3,G335&lt;=7),"More Tenure Period",AND(G335&gt;7,G335&lt;=10),"Large Tenure Period")</f>
        <v>Less Tenure Period</v>
      </c>
      <c r="R335" t="str" cm="1">
        <f t="array" ref="R335">_xlfn.IFS(AND(C335&gt;300,C335&lt;=525),"1 Star",AND(C335&gt;525,C335&lt;=600),"2 Star",AND(C335&gt;600,C335&lt;=700),"3 Star",AND(C335&gt;700,C335&lt;=750),"4 Star",AND(C335&gt;750,C335&lt;=900),"5 Star")</f>
        <v>5 Star</v>
      </c>
      <c r="S335" cm="1">
        <f t="array" ref="S335">_xlfn.IFS(E335="Male",1,E335="Female",2)</f>
        <v>2</v>
      </c>
      <c r="T335" cm="1">
        <f t="array" ref="T335">_xlfn.IFS(D335="France",1,D335="Germany",2,D335="Spain",3)</f>
        <v>2</v>
      </c>
    </row>
    <row r="336" spans="1:20" x14ac:dyDescent="0.3">
      <c r="A336">
        <v>336</v>
      </c>
      <c r="B336" t="s">
        <v>21</v>
      </c>
      <c r="C336" s="5">
        <v>558</v>
      </c>
      <c r="D336" t="s">
        <v>22</v>
      </c>
      <c r="E336" t="s">
        <v>25</v>
      </c>
      <c r="F336">
        <v>32</v>
      </c>
      <c r="G336" s="5">
        <v>0</v>
      </c>
      <c r="H336" s="4">
        <v>122399.16</v>
      </c>
      <c r="I336" s="5">
        <v>1</v>
      </c>
      <c r="J336">
        <v>0</v>
      </c>
      <c r="K336">
        <v>0</v>
      </c>
      <c r="L336" s="4">
        <v>107283.07</v>
      </c>
      <c r="M336">
        <v>0</v>
      </c>
      <c r="N336" s="4">
        <f t="shared" si="10"/>
        <v>-8.322214726641318E-2</v>
      </c>
      <c r="O336" s="4">
        <f t="shared" si="11"/>
        <v>0.61244219319456883</v>
      </c>
      <c r="P336" t="str" cm="1">
        <f t="array" ref="P336">_xlfn.IFS(AND(F336&gt;15,F336&lt;=30), "Youngsters", AND(F336&gt;30,F336&lt;=50), "Adults", AND(F336&gt;50,F336&lt;=70),"Old person", AND(F336&gt;70, F336&lt;92), "Senior Citizens")</f>
        <v>Adults</v>
      </c>
      <c r="Q336" t="str" cm="1">
        <f t="array" ref="Q336">_xlfn.IFS(G336=0,"No Tenure Period",AND(G336&gt;0,G336&lt;=3),"Less Tenure Period",AND(G336&gt;3,G336&lt;=7),"More Tenure Period",AND(G336&gt;7,G336&lt;=10),"Large Tenure Period")</f>
        <v>No Tenure Period</v>
      </c>
      <c r="R336" t="str" cm="1">
        <f t="array" ref="R336">_xlfn.IFS(AND(C336&gt;300,C336&lt;=525),"1 Star",AND(C336&gt;525,C336&lt;=600),"2 Star",AND(C336&gt;600,C336&lt;=700),"3 Star",AND(C336&gt;700,C336&lt;=750),"4 Star",AND(C336&gt;750,C336&lt;=900),"5 Star")</f>
        <v>2 Star</v>
      </c>
      <c r="S336" cm="1">
        <f t="array" ref="S336">_xlfn.IFS(E336="Male",1,E336="Female",2)</f>
        <v>1</v>
      </c>
      <c r="T336" cm="1">
        <f t="array" ref="T336">_xlfn.IFS(D336="France",1,D336="Germany",2,D336="Spain",3)</f>
        <v>2</v>
      </c>
    </row>
    <row r="337" spans="1:20" x14ac:dyDescent="0.3">
      <c r="A337">
        <v>337</v>
      </c>
      <c r="B337" t="s">
        <v>16</v>
      </c>
      <c r="C337" s="5">
        <v>638</v>
      </c>
      <c r="D337" t="s">
        <v>23</v>
      </c>
      <c r="E337" t="s">
        <v>26</v>
      </c>
      <c r="F337">
        <v>69</v>
      </c>
      <c r="G337" s="5">
        <v>5</v>
      </c>
      <c r="H337" s="4">
        <v>4147.6899999999996</v>
      </c>
      <c r="I337" s="5">
        <v>2</v>
      </c>
      <c r="J337">
        <v>0</v>
      </c>
      <c r="K337">
        <v>0</v>
      </c>
      <c r="L337" s="4">
        <v>37164.6</v>
      </c>
      <c r="M337">
        <v>1</v>
      </c>
      <c r="N337" s="4">
        <f t="shared" si="10"/>
        <v>-1.7262312138183031</v>
      </c>
      <c r="O337" s="4">
        <f t="shared" si="11"/>
        <v>-1.1009966702536707</v>
      </c>
      <c r="P337" t="str" cm="1">
        <f t="array" ref="P337">_xlfn.IFS(AND(F337&gt;15,F337&lt;=30), "Youngsters", AND(F337&gt;30,F337&lt;=50), "Adults", AND(F337&gt;50,F337&lt;=70),"Old person", AND(F337&gt;70, F337&lt;92), "Senior Citizens")</f>
        <v>Old person</v>
      </c>
      <c r="Q337" t="str" cm="1">
        <f t="array" ref="Q337">_xlfn.IFS(G337=0,"No Tenure Period",AND(G337&gt;0,G337&lt;=3),"Less Tenure Period",AND(G337&gt;3,G337&lt;=7),"More Tenure Period",AND(G337&gt;7,G337&lt;=10),"Large Tenure Period")</f>
        <v>More Tenure Period</v>
      </c>
      <c r="R337" t="str" cm="1">
        <f t="array" ref="R337">_xlfn.IFS(AND(C337&gt;300,C337&lt;=525),"1 Star",AND(C337&gt;525,C337&lt;=600),"2 Star",AND(C337&gt;600,C337&lt;=700),"3 Star",AND(C337&gt;700,C337&lt;=750),"4 Star",AND(C337&gt;750,C337&lt;=900),"5 Star")</f>
        <v>3 Star</v>
      </c>
      <c r="S337" cm="1">
        <f t="array" ref="S337">_xlfn.IFS(E337="Male",1,E337="Female",2)</f>
        <v>2</v>
      </c>
      <c r="T337" cm="1">
        <f t="array" ref="T337">_xlfn.IFS(D337="France",1,D337="Germany",2,D337="Spain",3)</f>
        <v>3</v>
      </c>
    </row>
    <row r="338" spans="1:20" x14ac:dyDescent="0.3">
      <c r="A338">
        <v>338</v>
      </c>
      <c r="B338" t="s">
        <v>16</v>
      </c>
      <c r="C338" s="5">
        <v>412</v>
      </c>
      <c r="D338" t="s">
        <v>23</v>
      </c>
      <c r="E338" t="s">
        <v>25</v>
      </c>
      <c r="F338">
        <v>50</v>
      </c>
      <c r="G338" s="5">
        <v>7</v>
      </c>
      <c r="H338" s="4">
        <v>57433.4</v>
      </c>
      <c r="I338" s="5">
        <v>3</v>
      </c>
      <c r="J338">
        <v>1</v>
      </c>
      <c r="K338">
        <v>0</v>
      </c>
      <c r="L338" s="4">
        <v>125784.2</v>
      </c>
      <c r="M338">
        <v>1</v>
      </c>
      <c r="N338" s="4">
        <f t="shared" si="10"/>
        <v>-0.98586913081286831</v>
      </c>
      <c r="O338" s="4">
        <f t="shared" si="11"/>
        <v>1.0645421200712977</v>
      </c>
      <c r="P338" t="str" cm="1">
        <f t="array" ref="P338">_xlfn.IFS(AND(F338&gt;15,F338&lt;=30), "Youngsters", AND(F338&gt;30,F338&lt;=50), "Adults", AND(F338&gt;50,F338&lt;=70),"Old person", AND(F338&gt;70, F338&lt;92), "Senior Citizens")</f>
        <v>Adults</v>
      </c>
      <c r="Q338" t="str" cm="1">
        <f t="array" ref="Q338">_xlfn.IFS(G338=0,"No Tenure Period",AND(G338&gt;0,G338&lt;=3),"Less Tenure Period",AND(G338&gt;3,G338&lt;=7),"More Tenure Period",AND(G338&gt;7,G338&lt;=10),"Large Tenure Period")</f>
        <v>More Tenure Period</v>
      </c>
      <c r="R338" t="str" cm="1">
        <f t="array" ref="R338">_xlfn.IFS(AND(C338&gt;300,C338&lt;=525),"1 Star",AND(C338&gt;525,C338&lt;=600),"2 Star",AND(C338&gt;600,C338&lt;=700),"3 Star",AND(C338&gt;700,C338&lt;=750),"4 Star",AND(C338&gt;750,C338&lt;=900),"5 Star")</f>
        <v>1 Star</v>
      </c>
      <c r="S338" cm="1">
        <f t="array" ref="S338">_xlfn.IFS(E338="Male",1,E338="Female",2)</f>
        <v>1</v>
      </c>
      <c r="T338" cm="1">
        <f t="array" ref="T338">_xlfn.IFS(D338="France",1,D338="Germany",2,D338="Spain",3)</f>
        <v>3</v>
      </c>
    </row>
    <row r="339" spans="1:20" x14ac:dyDescent="0.3">
      <c r="A339">
        <v>339</v>
      </c>
      <c r="B339" t="s">
        <v>19</v>
      </c>
      <c r="C339" s="5">
        <v>744</v>
      </c>
      <c r="D339" t="s">
        <v>23</v>
      </c>
      <c r="E339" t="s">
        <v>26</v>
      </c>
      <c r="F339">
        <v>41</v>
      </c>
      <c r="G339" s="5">
        <v>7</v>
      </c>
      <c r="H339" s="4">
        <v>117825.55</v>
      </c>
      <c r="I339" s="5">
        <v>3</v>
      </c>
      <c r="J339">
        <v>0</v>
      </c>
      <c r="K339">
        <v>1</v>
      </c>
      <c r="L339" s="4">
        <v>33868.199999999997</v>
      </c>
      <c r="M339">
        <v>1</v>
      </c>
      <c r="N339" s="4">
        <f t="shared" si="10"/>
        <v>-0.14676877968351879</v>
      </c>
      <c r="O339" s="4">
        <f t="shared" si="11"/>
        <v>-1.1815486256724181</v>
      </c>
      <c r="P339" t="str" cm="1">
        <f t="array" ref="P339">_xlfn.IFS(AND(F339&gt;15,F339&lt;=30), "Youngsters", AND(F339&gt;30,F339&lt;=50), "Adults", AND(F339&gt;50,F339&lt;=70),"Old person", AND(F339&gt;70, F339&lt;92), "Senior Citizens")</f>
        <v>Adults</v>
      </c>
      <c r="Q339" t="str" cm="1">
        <f t="array" ref="Q339">_xlfn.IFS(G339=0,"No Tenure Period",AND(G339&gt;0,G339&lt;=3),"Less Tenure Period",AND(G339&gt;3,G339&lt;=7),"More Tenure Period",AND(G339&gt;7,G339&lt;=10),"Large Tenure Period")</f>
        <v>More Tenure Period</v>
      </c>
      <c r="R339" t="str" cm="1">
        <f t="array" ref="R339">_xlfn.IFS(AND(C339&gt;300,C339&lt;=525),"1 Star",AND(C339&gt;525,C339&lt;=600),"2 Star",AND(C339&gt;600,C339&lt;=700),"3 Star",AND(C339&gt;700,C339&lt;=750),"4 Star",AND(C339&gt;750,C339&lt;=900),"5 Star")</f>
        <v>4 Star</v>
      </c>
      <c r="S339" cm="1">
        <f t="array" ref="S339">_xlfn.IFS(E339="Male",1,E339="Female",2)</f>
        <v>2</v>
      </c>
      <c r="T339" cm="1">
        <f t="array" ref="T339">_xlfn.IFS(D339="France",1,D339="Germany",2,D339="Spain",3)</f>
        <v>3</v>
      </c>
    </row>
    <row r="340" spans="1:20" x14ac:dyDescent="0.3">
      <c r="A340">
        <v>340</v>
      </c>
      <c r="B340" t="s">
        <v>19</v>
      </c>
      <c r="C340" s="5">
        <v>746</v>
      </c>
      <c r="D340" t="s">
        <v>23</v>
      </c>
      <c r="E340" t="s">
        <v>26</v>
      </c>
      <c r="F340">
        <v>24</v>
      </c>
      <c r="G340" s="5">
        <v>4</v>
      </c>
      <c r="H340" s="4">
        <v>73449.679999999993</v>
      </c>
      <c r="I340" s="5">
        <v>4</v>
      </c>
      <c r="J340">
        <v>1</v>
      </c>
      <c r="K340">
        <v>0</v>
      </c>
      <c r="L340" s="4">
        <v>108174.82</v>
      </c>
      <c r="M340">
        <v>1</v>
      </c>
      <c r="N340" s="4">
        <f t="shared" si="10"/>
        <v>-0.76333580203113138</v>
      </c>
      <c r="O340" s="4">
        <f t="shared" si="11"/>
        <v>0.63423330053732696</v>
      </c>
      <c r="P340" t="str" cm="1">
        <f t="array" ref="P340">_xlfn.IFS(AND(F340&gt;15,F340&lt;=30), "Youngsters", AND(F340&gt;30,F340&lt;=50), "Adults", AND(F340&gt;50,F340&lt;=70),"Old person", AND(F340&gt;70, F340&lt;92), "Senior Citizens")</f>
        <v>Youngsters</v>
      </c>
      <c r="Q340" t="str" cm="1">
        <f t="array" ref="Q340">_xlfn.IFS(G340=0,"No Tenure Period",AND(G340&gt;0,G340&lt;=3),"Less Tenure Period",AND(G340&gt;3,G340&lt;=7),"More Tenure Period",AND(G340&gt;7,G340&lt;=10),"Large Tenure Period")</f>
        <v>More Tenure Period</v>
      </c>
      <c r="R340" t="str" cm="1">
        <f t="array" ref="R340">_xlfn.IFS(AND(C340&gt;300,C340&lt;=525),"1 Star",AND(C340&gt;525,C340&lt;=600),"2 Star",AND(C340&gt;600,C340&lt;=700),"3 Star",AND(C340&gt;700,C340&lt;=750),"4 Star",AND(C340&gt;750,C340&lt;=900),"5 Star")</f>
        <v>4 Star</v>
      </c>
      <c r="S340" cm="1">
        <f t="array" ref="S340">_xlfn.IFS(E340="Male",1,E340="Female",2)</f>
        <v>2</v>
      </c>
      <c r="T340" cm="1">
        <f t="array" ref="T340">_xlfn.IFS(D340="France",1,D340="Germany",2,D340="Spain",3)</f>
        <v>3</v>
      </c>
    </row>
    <row r="341" spans="1:20" x14ac:dyDescent="0.3">
      <c r="A341">
        <v>341</v>
      </c>
      <c r="B341" t="s">
        <v>15</v>
      </c>
      <c r="C341" s="5">
        <v>443</v>
      </c>
      <c r="D341" t="s">
        <v>22</v>
      </c>
      <c r="E341" t="s">
        <v>25</v>
      </c>
      <c r="F341">
        <v>91</v>
      </c>
      <c r="G341" s="5">
        <v>8</v>
      </c>
      <c r="H341" s="4">
        <v>245454.02</v>
      </c>
      <c r="I341" s="5">
        <v>4</v>
      </c>
      <c r="J341">
        <v>0</v>
      </c>
      <c r="K341">
        <v>0</v>
      </c>
      <c r="L341" s="4">
        <v>49422.5</v>
      </c>
      <c r="M341">
        <v>1</v>
      </c>
      <c r="N341" s="4">
        <f t="shared" si="10"/>
        <v>1.6265261599916148</v>
      </c>
      <c r="O341" s="4">
        <f t="shared" si="11"/>
        <v>-0.80145844239071007</v>
      </c>
      <c r="P341" t="str" cm="1">
        <f t="array" ref="P341">_xlfn.IFS(AND(F341&gt;15,F341&lt;=30), "Youngsters", AND(F341&gt;30,F341&lt;=50), "Adults", AND(F341&gt;50,F341&lt;=70),"Old person", AND(F341&gt;70, F341&lt;92), "Senior Citizens")</f>
        <v>Senior Citizens</v>
      </c>
      <c r="Q341" t="str" cm="1">
        <f t="array" ref="Q341">_xlfn.IFS(G341=0,"No Tenure Period",AND(G341&gt;0,G341&lt;=3),"Less Tenure Period",AND(G341&gt;3,G341&lt;=7),"More Tenure Period",AND(G341&gt;7,G341&lt;=10),"Large Tenure Period")</f>
        <v>Large Tenure Period</v>
      </c>
      <c r="R341" t="str" cm="1">
        <f t="array" ref="R341">_xlfn.IFS(AND(C341&gt;300,C341&lt;=525),"1 Star",AND(C341&gt;525,C341&lt;=600),"2 Star",AND(C341&gt;600,C341&lt;=700),"3 Star",AND(C341&gt;700,C341&lt;=750),"4 Star",AND(C341&gt;750,C341&lt;=900),"5 Star")</f>
        <v>1 Star</v>
      </c>
      <c r="S341" cm="1">
        <f t="array" ref="S341">_xlfn.IFS(E341="Male",1,E341="Female",2)</f>
        <v>1</v>
      </c>
      <c r="T341" cm="1">
        <f t="array" ref="T341">_xlfn.IFS(D341="France",1,D341="Germany",2,D341="Spain",3)</f>
        <v>2</v>
      </c>
    </row>
    <row r="342" spans="1:20" x14ac:dyDescent="0.3">
      <c r="A342">
        <v>342</v>
      </c>
      <c r="B342" t="s">
        <v>20</v>
      </c>
      <c r="C342" s="5">
        <v>670</v>
      </c>
      <c r="D342" t="s">
        <v>24</v>
      </c>
      <c r="E342" t="s">
        <v>25</v>
      </c>
      <c r="F342">
        <v>83</v>
      </c>
      <c r="G342" s="5">
        <v>2</v>
      </c>
      <c r="H342" s="4">
        <v>28880.560000000001</v>
      </c>
      <c r="I342" s="5">
        <v>3</v>
      </c>
      <c r="J342">
        <v>1</v>
      </c>
      <c r="K342">
        <v>1</v>
      </c>
      <c r="L342" s="4">
        <v>124392.15</v>
      </c>
      <c r="M342">
        <v>0</v>
      </c>
      <c r="N342" s="4">
        <f t="shared" si="10"/>
        <v>-1.3825878776986826</v>
      </c>
      <c r="O342" s="4">
        <f t="shared" si="11"/>
        <v>1.0305255111826108</v>
      </c>
      <c r="P342" t="str" cm="1">
        <f t="array" ref="P342">_xlfn.IFS(AND(F342&gt;15,F342&lt;=30), "Youngsters", AND(F342&gt;30,F342&lt;=50), "Adults", AND(F342&gt;50,F342&lt;=70),"Old person", AND(F342&gt;70, F342&lt;92), "Senior Citizens")</f>
        <v>Senior Citizens</v>
      </c>
      <c r="Q342" t="str" cm="1">
        <f t="array" ref="Q342">_xlfn.IFS(G342=0,"No Tenure Period",AND(G342&gt;0,G342&lt;=3),"Less Tenure Period",AND(G342&gt;3,G342&lt;=7),"More Tenure Period",AND(G342&gt;7,G342&lt;=10),"Large Tenure Period")</f>
        <v>Less Tenure Period</v>
      </c>
      <c r="R342" t="str" cm="1">
        <f t="array" ref="R342">_xlfn.IFS(AND(C342&gt;300,C342&lt;=525),"1 Star",AND(C342&gt;525,C342&lt;=600),"2 Star",AND(C342&gt;600,C342&lt;=700),"3 Star",AND(C342&gt;700,C342&lt;=750),"4 Star",AND(C342&gt;750,C342&lt;=900),"5 Star")</f>
        <v>3 Star</v>
      </c>
      <c r="S342" cm="1">
        <f t="array" ref="S342">_xlfn.IFS(E342="Male",1,E342="Female",2)</f>
        <v>1</v>
      </c>
      <c r="T342" cm="1">
        <f t="array" ref="T342">_xlfn.IFS(D342="France",1,D342="Germany",2,D342="Spain",3)</f>
        <v>1</v>
      </c>
    </row>
    <row r="343" spans="1:20" x14ac:dyDescent="0.3">
      <c r="A343">
        <v>343</v>
      </c>
      <c r="B343" t="s">
        <v>20</v>
      </c>
      <c r="C343" s="5">
        <v>763</v>
      </c>
      <c r="D343" t="s">
        <v>22</v>
      </c>
      <c r="E343" t="s">
        <v>25</v>
      </c>
      <c r="F343">
        <v>88</v>
      </c>
      <c r="G343" s="5">
        <v>9</v>
      </c>
      <c r="H343" s="4">
        <v>126389.5</v>
      </c>
      <c r="I343" s="5">
        <v>1</v>
      </c>
      <c r="J343">
        <v>1</v>
      </c>
      <c r="K343">
        <v>0</v>
      </c>
      <c r="L343" s="4">
        <v>145049.72</v>
      </c>
      <c r="M343">
        <v>1</v>
      </c>
      <c r="N343" s="4">
        <f t="shared" si="10"/>
        <v>-2.7779582378004913E-2</v>
      </c>
      <c r="O343" s="4">
        <f t="shared" si="11"/>
        <v>1.5353209418644618</v>
      </c>
      <c r="P343" t="str" cm="1">
        <f t="array" ref="P343">_xlfn.IFS(AND(F343&gt;15,F343&lt;=30), "Youngsters", AND(F343&gt;30,F343&lt;=50), "Adults", AND(F343&gt;50,F343&lt;=70),"Old person", AND(F343&gt;70, F343&lt;92), "Senior Citizens")</f>
        <v>Senior Citizens</v>
      </c>
      <c r="Q343" t="str" cm="1">
        <f t="array" ref="Q343">_xlfn.IFS(G343=0,"No Tenure Period",AND(G343&gt;0,G343&lt;=3),"Less Tenure Period",AND(G343&gt;3,G343&lt;=7),"More Tenure Period",AND(G343&gt;7,G343&lt;=10),"Large Tenure Period")</f>
        <v>Large Tenure Period</v>
      </c>
      <c r="R343" t="str" cm="1">
        <f t="array" ref="R343">_xlfn.IFS(AND(C343&gt;300,C343&lt;=525),"1 Star",AND(C343&gt;525,C343&lt;=600),"2 Star",AND(C343&gt;600,C343&lt;=700),"3 Star",AND(C343&gt;700,C343&lt;=750),"4 Star",AND(C343&gt;750,C343&lt;=900),"5 Star")</f>
        <v>5 Star</v>
      </c>
      <c r="S343" cm="1">
        <f t="array" ref="S343">_xlfn.IFS(E343="Male",1,E343="Female",2)</f>
        <v>1</v>
      </c>
      <c r="T343" cm="1">
        <f t="array" ref="T343">_xlfn.IFS(D343="France",1,D343="Germany",2,D343="Spain",3)</f>
        <v>2</v>
      </c>
    </row>
    <row r="344" spans="1:20" x14ac:dyDescent="0.3">
      <c r="A344">
        <v>344</v>
      </c>
      <c r="B344" t="s">
        <v>15</v>
      </c>
      <c r="C344" s="5">
        <v>696</v>
      </c>
      <c r="D344" t="s">
        <v>24</v>
      </c>
      <c r="E344" t="s">
        <v>26</v>
      </c>
      <c r="F344">
        <v>58</v>
      </c>
      <c r="G344" s="5">
        <v>5</v>
      </c>
      <c r="H344" s="4">
        <v>2478.15</v>
      </c>
      <c r="I344" s="5">
        <v>4</v>
      </c>
      <c r="J344">
        <v>1</v>
      </c>
      <c r="K344">
        <v>1</v>
      </c>
      <c r="L344" s="4">
        <v>118783.64</v>
      </c>
      <c r="M344">
        <v>1</v>
      </c>
      <c r="N344" s="4">
        <f t="shared" si="10"/>
        <v>-1.7494281293151765</v>
      </c>
      <c r="O344" s="4">
        <f t="shared" si="11"/>
        <v>0.89347404671058106</v>
      </c>
      <c r="P344" t="str" cm="1">
        <f t="array" ref="P344">_xlfn.IFS(AND(F344&gt;15,F344&lt;=30), "Youngsters", AND(F344&gt;30,F344&lt;=50), "Adults", AND(F344&gt;50,F344&lt;=70),"Old person", AND(F344&gt;70, F344&lt;92), "Senior Citizens")</f>
        <v>Old person</v>
      </c>
      <c r="Q344" t="str" cm="1">
        <f t="array" ref="Q344">_xlfn.IFS(G344=0,"No Tenure Period",AND(G344&gt;0,G344&lt;=3),"Less Tenure Period",AND(G344&gt;3,G344&lt;=7),"More Tenure Period",AND(G344&gt;7,G344&lt;=10),"Large Tenure Period")</f>
        <v>More Tenure Period</v>
      </c>
      <c r="R344" t="str" cm="1">
        <f t="array" ref="R344">_xlfn.IFS(AND(C344&gt;300,C344&lt;=525),"1 Star",AND(C344&gt;525,C344&lt;=600),"2 Star",AND(C344&gt;600,C344&lt;=700),"3 Star",AND(C344&gt;700,C344&lt;=750),"4 Star",AND(C344&gt;750,C344&lt;=900),"5 Star")</f>
        <v>3 Star</v>
      </c>
      <c r="S344" cm="1">
        <f t="array" ref="S344">_xlfn.IFS(E344="Male",1,E344="Female",2)</f>
        <v>2</v>
      </c>
      <c r="T344" cm="1">
        <f t="array" ref="T344">_xlfn.IFS(D344="France",1,D344="Germany",2,D344="Spain",3)</f>
        <v>1</v>
      </c>
    </row>
    <row r="345" spans="1:20" x14ac:dyDescent="0.3">
      <c r="A345">
        <v>345</v>
      </c>
      <c r="B345" t="s">
        <v>13</v>
      </c>
      <c r="C345" s="5">
        <v>837</v>
      </c>
      <c r="D345" t="s">
        <v>24</v>
      </c>
      <c r="E345" t="s">
        <v>26</v>
      </c>
      <c r="F345">
        <v>78</v>
      </c>
      <c r="G345" s="5">
        <v>1</v>
      </c>
      <c r="H345" s="4">
        <v>68129.600000000006</v>
      </c>
      <c r="I345" s="5">
        <v>2</v>
      </c>
      <c r="J345">
        <v>0</v>
      </c>
      <c r="K345">
        <v>0</v>
      </c>
      <c r="L345" s="4">
        <v>17554.759999999998</v>
      </c>
      <c r="M345">
        <v>1</v>
      </c>
      <c r="N345" s="4">
        <f t="shared" si="10"/>
        <v>-0.83725403471594584</v>
      </c>
      <c r="O345" s="4">
        <f t="shared" si="11"/>
        <v>-1.5801894130788041</v>
      </c>
      <c r="P345" t="str" cm="1">
        <f t="array" ref="P345">_xlfn.IFS(AND(F345&gt;15,F345&lt;=30), "Youngsters", AND(F345&gt;30,F345&lt;=50), "Adults", AND(F345&gt;50,F345&lt;=70),"Old person", AND(F345&gt;70, F345&lt;92), "Senior Citizens")</f>
        <v>Senior Citizens</v>
      </c>
      <c r="Q345" t="str" cm="1">
        <f t="array" ref="Q345">_xlfn.IFS(G345=0,"No Tenure Period",AND(G345&gt;0,G345&lt;=3),"Less Tenure Period",AND(G345&gt;3,G345&lt;=7),"More Tenure Period",AND(G345&gt;7,G345&lt;=10),"Large Tenure Period")</f>
        <v>Less Tenure Period</v>
      </c>
      <c r="R345" t="str" cm="1">
        <f t="array" ref="R345">_xlfn.IFS(AND(C345&gt;300,C345&lt;=525),"1 Star",AND(C345&gt;525,C345&lt;=600),"2 Star",AND(C345&gt;600,C345&lt;=700),"3 Star",AND(C345&gt;700,C345&lt;=750),"4 Star",AND(C345&gt;750,C345&lt;=900),"5 Star")</f>
        <v>5 Star</v>
      </c>
      <c r="S345" cm="1">
        <f t="array" ref="S345">_xlfn.IFS(E345="Male",1,E345="Female",2)</f>
        <v>2</v>
      </c>
      <c r="T345" cm="1">
        <f t="array" ref="T345">_xlfn.IFS(D345="France",1,D345="Germany",2,D345="Spain",3)</f>
        <v>1</v>
      </c>
    </row>
    <row r="346" spans="1:20" x14ac:dyDescent="0.3">
      <c r="A346">
        <v>346</v>
      </c>
      <c r="B346" t="s">
        <v>20</v>
      </c>
      <c r="C346" s="5">
        <v>500</v>
      </c>
      <c r="D346" t="s">
        <v>24</v>
      </c>
      <c r="E346" t="s">
        <v>25</v>
      </c>
      <c r="F346">
        <v>54</v>
      </c>
      <c r="G346" s="5">
        <v>7</v>
      </c>
      <c r="H346" s="4">
        <v>56107.72</v>
      </c>
      <c r="I346" s="5">
        <v>3</v>
      </c>
      <c r="J346">
        <v>1</v>
      </c>
      <c r="K346">
        <v>0</v>
      </c>
      <c r="L346" s="4">
        <v>15514.32</v>
      </c>
      <c r="M346">
        <v>0</v>
      </c>
      <c r="N346" s="4">
        <f t="shared" si="10"/>
        <v>-1.0042883881747133</v>
      </c>
      <c r="O346" s="4">
        <f t="shared" si="11"/>
        <v>-1.6300503012946241</v>
      </c>
      <c r="P346" t="str" cm="1">
        <f t="array" ref="P346">_xlfn.IFS(AND(F346&gt;15,F346&lt;=30), "Youngsters", AND(F346&gt;30,F346&lt;=50), "Adults", AND(F346&gt;50,F346&lt;=70),"Old person", AND(F346&gt;70, F346&lt;92), "Senior Citizens")</f>
        <v>Old person</v>
      </c>
      <c r="Q346" t="str" cm="1">
        <f t="array" ref="Q346">_xlfn.IFS(G346=0,"No Tenure Period",AND(G346&gt;0,G346&lt;=3),"Less Tenure Period",AND(G346&gt;3,G346&lt;=7),"More Tenure Period",AND(G346&gt;7,G346&lt;=10),"Large Tenure Period")</f>
        <v>More Tenure Period</v>
      </c>
      <c r="R346" t="str" cm="1">
        <f t="array" ref="R346">_xlfn.IFS(AND(C346&gt;300,C346&lt;=525),"1 Star",AND(C346&gt;525,C346&lt;=600),"2 Star",AND(C346&gt;600,C346&lt;=700),"3 Star",AND(C346&gt;700,C346&lt;=750),"4 Star",AND(C346&gt;750,C346&lt;=900),"5 Star")</f>
        <v>1 Star</v>
      </c>
      <c r="S346" cm="1">
        <f t="array" ref="S346">_xlfn.IFS(E346="Male",1,E346="Female",2)</f>
        <v>1</v>
      </c>
      <c r="T346" cm="1">
        <f t="array" ref="T346">_xlfn.IFS(D346="France",1,D346="Germany",2,D346="Spain",3)</f>
        <v>1</v>
      </c>
    </row>
    <row r="347" spans="1:20" x14ac:dyDescent="0.3">
      <c r="A347">
        <v>347</v>
      </c>
      <c r="B347" t="s">
        <v>19</v>
      </c>
      <c r="C347" s="5">
        <v>753</v>
      </c>
      <c r="D347" t="s">
        <v>22</v>
      </c>
      <c r="E347" t="s">
        <v>26</v>
      </c>
      <c r="F347">
        <v>30</v>
      </c>
      <c r="G347" s="5">
        <v>7</v>
      </c>
      <c r="H347" s="4">
        <v>151272.32999999999</v>
      </c>
      <c r="I347" s="5">
        <v>2</v>
      </c>
      <c r="J347">
        <v>0</v>
      </c>
      <c r="K347">
        <v>0</v>
      </c>
      <c r="L347" s="4">
        <v>12942.16</v>
      </c>
      <c r="M347">
        <v>0</v>
      </c>
      <c r="N347" s="4">
        <f t="shared" si="10"/>
        <v>0.31794732732949677</v>
      </c>
      <c r="O347" s="4">
        <f t="shared" si="11"/>
        <v>-1.6929044808996128</v>
      </c>
      <c r="P347" t="str" cm="1">
        <f t="array" ref="P347">_xlfn.IFS(AND(F347&gt;15,F347&lt;=30), "Youngsters", AND(F347&gt;30,F347&lt;=50), "Adults", AND(F347&gt;50,F347&lt;=70),"Old person", AND(F347&gt;70, F347&lt;92), "Senior Citizens")</f>
        <v>Youngsters</v>
      </c>
      <c r="Q347" t="str" cm="1">
        <f t="array" ref="Q347">_xlfn.IFS(G347=0,"No Tenure Period",AND(G347&gt;0,G347&lt;=3),"Less Tenure Period",AND(G347&gt;3,G347&lt;=7),"More Tenure Period",AND(G347&gt;7,G347&lt;=10),"Large Tenure Period")</f>
        <v>More Tenure Period</v>
      </c>
      <c r="R347" t="str" cm="1">
        <f t="array" ref="R347">_xlfn.IFS(AND(C347&gt;300,C347&lt;=525),"1 Star",AND(C347&gt;525,C347&lt;=600),"2 Star",AND(C347&gt;600,C347&lt;=700),"3 Star",AND(C347&gt;700,C347&lt;=750),"4 Star",AND(C347&gt;750,C347&lt;=900),"5 Star")</f>
        <v>5 Star</v>
      </c>
      <c r="S347" cm="1">
        <f t="array" ref="S347">_xlfn.IFS(E347="Male",1,E347="Female",2)</f>
        <v>2</v>
      </c>
      <c r="T347" cm="1">
        <f t="array" ref="T347">_xlfn.IFS(D347="France",1,D347="Germany",2,D347="Spain",3)</f>
        <v>2</v>
      </c>
    </row>
    <row r="348" spans="1:20" x14ac:dyDescent="0.3">
      <c r="A348">
        <v>348</v>
      </c>
      <c r="B348" t="s">
        <v>20</v>
      </c>
      <c r="C348" s="5">
        <v>739</v>
      </c>
      <c r="D348" t="s">
        <v>23</v>
      </c>
      <c r="E348" t="s">
        <v>26</v>
      </c>
      <c r="F348">
        <v>53</v>
      </c>
      <c r="G348" s="5">
        <v>1</v>
      </c>
      <c r="H348" s="4">
        <v>221804.74</v>
      </c>
      <c r="I348" s="5">
        <v>2</v>
      </c>
      <c r="J348">
        <v>0</v>
      </c>
      <c r="K348">
        <v>1</v>
      </c>
      <c r="L348" s="4">
        <v>140925.68</v>
      </c>
      <c r="M348">
        <v>0</v>
      </c>
      <c r="N348" s="4">
        <f t="shared" si="10"/>
        <v>1.2979384353956815</v>
      </c>
      <c r="O348" s="4">
        <f t="shared" si="11"/>
        <v>1.4345444929428712</v>
      </c>
      <c r="P348" t="str" cm="1">
        <f t="array" ref="P348">_xlfn.IFS(AND(F348&gt;15,F348&lt;=30), "Youngsters", AND(F348&gt;30,F348&lt;=50), "Adults", AND(F348&gt;50,F348&lt;=70),"Old person", AND(F348&gt;70, F348&lt;92), "Senior Citizens")</f>
        <v>Old person</v>
      </c>
      <c r="Q348" t="str" cm="1">
        <f t="array" ref="Q348">_xlfn.IFS(G348=0,"No Tenure Period",AND(G348&gt;0,G348&lt;=3),"Less Tenure Period",AND(G348&gt;3,G348&lt;=7),"More Tenure Period",AND(G348&gt;7,G348&lt;=10),"Large Tenure Period")</f>
        <v>Less Tenure Period</v>
      </c>
      <c r="R348" t="str" cm="1">
        <f t="array" ref="R348">_xlfn.IFS(AND(C348&gt;300,C348&lt;=525),"1 Star",AND(C348&gt;525,C348&lt;=600),"2 Star",AND(C348&gt;600,C348&lt;=700),"3 Star",AND(C348&gt;700,C348&lt;=750),"4 Star",AND(C348&gt;750,C348&lt;=900),"5 Star")</f>
        <v>4 Star</v>
      </c>
      <c r="S348" cm="1">
        <f t="array" ref="S348">_xlfn.IFS(E348="Male",1,E348="Female",2)</f>
        <v>2</v>
      </c>
      <c r="T348" cm="1">
        <f t="array" ref="T348">_xlfn.IFS(D348="France",1,D348="Germany",2,D348="Spain",3)</f>
        <v>3</v>
      </c>
    </row>
    <row r="349" spans="1:20" x14ac:dyDescent="0.3">
      <c r="A349">
        <v>349</v>
      </c>
      <c r="B349" t="s">
        <v>16</v>
      </c>
      <c r="C349" s="5">
        <v>642</v>
      </c>
      <c r="D349" t="s">
        <v>23</v>
      </c>
      <c r="E349" t="s">
        <v>25</v>
      </c>
      <c r="F349">
        <v>80</v>
      </c>
      <c r="G349" s="5">
        <v>5</v>
      </c>
      <c r="H349" s="4">
        <v>141610.87</v>
      </c>
      <c r="I349" s="5">
        <v>1</v>
      </c>
      <c r="J349">
        <v>1</v>
      </c>
      <c r="K349">
        <v>0</v>
      </c>
      <c r="L349" s="4">
        <v>35048.160000000003</v>
      </c>
      <c r="M349">
        <v>0</v>
      </c>
      <c r="N349" s="4">
        <f t="shared" si="10"/>
        <v>0.18370911129608586</v>
      </c>
      <c r="O349" s="4">
        <f t="shared" si="11"/>
        <v>-1.1527147204073092</v>
      </c>
      <c r="P349" t="str" cm="1">
        <f t="array" ref="P349">_xlfn.IFS(AND(F349&gt;15,F349&lt;=30), "Youngsters", AND(F349&gt;30,F349&lt;=50), "Adults", AND(F349&gt;50,F349&lt;=70),"Old person", AND(F349&gt;70, F349&lt;92), "Senior Citizens")</f>
        <v>Senior Citizens</v>
      </c>
      <c r="Q349" t="str" cm="1">
        <f t="array" ref="Q349">_xlfn.IFS(G349=0,"No Tenure Period",AND(G349&gt;0,G349&lt;=3),"Less Tenure Period",AND(G349&gt;3,G349&lt;=7),"More Tenure Period",AND(G349&gt;7,G349&lt;=10),"Large Tenure Period")</f>
        <v>More Tenure Period</v>
      </c>
      <c r="R349" t="str" cm="1">
        <f t="array" ref="R349">_xlfn.IFS(AND(C349&gt;300,C349&lt;=525),"1 Star",AND(C349&gt;525,C349&lt;=600),"2 Star",AND(C349&gt;600,C349&lt;=700),"3 Star",AND(C349&gt;700,C349&lt;=750),"4 Star",AND(C349&gt;750,C349&lt;=900),"5 Star")</f>
        <v>3 Star</v>
      </c>
      <c r="S349" cm="1">
        <f t="array" ref="S349">_xlfn.IFS(E349="Male",1,E349="Female",2)</f>
        <v>1</v>
      </c>
      <c r="T349" cm="1">
        <f t="array" ref="T349">_xlfn.IFS(D349="France",1,D349="Germany",2,D349="Spain",3)</f>
        <v>3</v>
      </c>
    </row>
    <row r="350" spans="1:20" x14ac:dyDescent="0.3">
      <c r="A350">
        <v>350</v>
      </c>
      <c r="B350" t="s">
        <v>20</v>
      </c>
      <c r="C350" s="5">
        <v>433</v>
      </c>
      <c r="D350" t="s">
        <v>22</v>
      </c>
      <c r="E350" t="s">
        <v>25</v>
      </c>
      <c r="F350">
        <v>87</v>
      </c>
      <c r="G350" s="5">
        <v>0</v>
      </c>
      <c r="H350" s="4">
        <v>161025.64000000001</v>
      </c>
      <c r="I350" s="5">
        <v>4</v>
      </c>
      <c r="J350">
        <v>1</v>
      </c>
      <c r="K350">
        <v>1</v>
      </c>
      <c r="L350" s="4">
        <v>129607.96</v>
      </c>
      <c r="M350">
        <v>0</v>
      </c>
      <c r="N350" s="4">
        <f t="shared" si="10"/>
        <v>0.45346172523838751</v>
      </c>
      <c r="O350" s="4">
        <f t="shared" si="11"/>
        <v>1.1579808244312024</v>
      </c>
      <c r="P350" t="str" cm="1">
        <f t="array" ref="P350">_xlfn.IFS(AND(F350&gt;15,F350&lt;=30), "Youngsters", AND(F350&gt;30,F350&lt;=50), "Adults", AND(F350&gt;50,F350&lt;=70),"Old person", AND(F350&gt;70, F350&lt;92), "Senior Citizens")</f>
        <v>Senior Citizens</v>
      </c>
      <c r="Q350" t="str" cm="1">
        <f t="array" ref="Q350">_xlfn.IFS(G350=0,"No Tenure Period",AND(G350&gt;0,G350&lt;=3),"Less Tenure Period",AND(G350&gt;3,G350&lt;=7),"More Tenure Period",AND(G350&gt;7,G350&lt;=10),"Large Tenure Period")</f>
        <v>No Tenure Period</v>
      </c>
      <c r="R350" t="str" cm="1">
        <f t="array" ref="R350">_xlfn.IFS(AND(C350&gt;300,C350&lt;=525),"1 Star",AND(C350&gt;525,C350&lt;=600),"2 Star",AND(C350&gt;600,C350&lt;=700),"3 Star",AND(C350&gt;700,C350&lt;=750),"4 Star",AND(C350&gt;750,C350&lt;=900),"5 Star")</f>
        <v>1 Star</v>
      </c>
      <c r="S350" cm="1">
        <f t="array" ref="S350">_xlfn.IFS(E350="Male",1,E350="Female",2)</f>
        <v>1</v>
      </c>
      <c r="T350" cm="1">
        <f t="array" ref="T350">_xlfn.IFS(D350="France",1,D350="Germany",2,D350="Spain",3)</f>
        <v>2</v>
      </c>
    </row>
    <row r="351" spans="1:20" x14ac:dyDescent="0.3">
      <c r="A351">
        <v>351</v>
      </c>
      <c r="B351" t="s">
        <v>14</v>
      </c>
      <c r="C351" s="5">
        <v>477</v>
      </c>
      <c r="D351" t="s">
        <v>22</v>
      </c>
      <c r="E351" t="s">
        <v>25</v>
      </c>
      <c r="F351">
        <v>80</v>
      </c>
      <c r="G351" s="5">
        <v>7</v>
      </c>
      <c r="H351" s="4">
        <v>69980.850000000006</v>
      </c>
      <c r="I351" s="5">
        <v>4</v>
      </c>
      <c r="J351">
        <v>1</v>
      </c>
      <c r="K351">
        <v>0</v>
      </c>
      <c r="L351" s="4">
        <v>112678.04</v>
      </c>
      <c r="M351">
        <v>0</v>
      </c>
      <c r="N351" s="4">
        <f t="shared" si="10"/>
        <v>-0.81153240491756629</v>
      </c>
      <c r="O351" s="4">
        <f t="shared" si="11"/>
        <v>0.744275521348154</v>
      </c>
      <c r="P351" t="str" cm="1">
        <f t="array" ref="P351">_xlfn.IFS(AND(F351&gt;15,F351&lt;=30), "Youngsters", AND(F351&gt;30,F351&lt;=50), "Adults", AND(F351&gt;50,F351&lt;=70),"Old person", AND(F351&gt;70, F351&lt;92), "Senior Citizens")</f>
        <v>Senior Citizens</v>
      </c>
      <c r="Q351" t="str" cm="1">
        <f t="array" ref="Q351">_xlfn.IFS(G351=0,"No Tenure Period",AND(G351&gt;0,G351&lt;=3),"Less Tenure Period",AND(G351&gt;3,G351&lt;=7),"More Tenure Period",AND(G351&gt;7,G351&lt;=10),"Large Tenure Period")</f>
        <v>More Tenure Period</v>
      </c>
      <c r="R351" t="str" cm="1">
        <f t="array" ref="R351">_xlfn.IFS(AND(C351&gt;300,C351&lt;=525),"1 Star",AND(C351&gt;525,C351&lt;=600),"2 Star",AND(C351&gt;600,C351&lt;=700),"3 Star",AND(C351&gt;700,C351&lt;=750),"4 Star",AND(C351&gt;750,C351&lt;=900),"5 Star")</f>
        <v>1 Star</v>
      </c>
      <c r="S351" cm="1">
        <f t="array" ref="S351">_xlfn.IFS(E351="Male",1,E351="Female",2)</f>
        <v>1</v>
      </c>
      <c r="T351" cm="1">
        <f t="array" ref="T351">_xlfn.IFS(D351="France",1,D351="Germany",2,D351="Spain",3)</f>
        <v>2</v>
      </c>
    </row>
    <row r="352" spans="1:20" x14ac:dyDescent="0.3">
      <c r="A352">
        <v>352</v>
      </c>
      <c r="B352" t="s">
        <v>19</v>
      </c>
      <c r="C352" s="5">
        <v>834</v>
      </c>
      <c r="D352" t="s">
        <v>24</v>
      </c>
      <c r="E352" t="s">
        <v>25</v>
      </c>
      <c r="F352">
        <v>76</v>
      </c>
      <c r="G352" s="5">
        <v>8</v>
      </c>
      <c r="H352" s="4">
        <v>77216.62</v>
      </c>
      <c r="I352" s="5">
        <v>4</v>
      </c>
      <c r="J352">
        <v>0</v>
      </c>
      <c r="K352">
        <v>0</v>
      </c>
      <c r="L352" s="4">
        <v>104636.55</v>
      </c>
      <c r="M352">
        <v>1</v>
      </c>
      <c r="N352" s="4">
        <f t="shared" si="10"/>
        <v>-0.7109972004631594</v>
      </c>
      <c r="O352" s="4">
        <f t="shared" si="11"/>
        <v>0.54777092725147214</v>
      </c>
      <c r="P352" t="str" cm="1">
        <f t="array" ref="P352">_xlfn.IFS(AND(F352&gt;15,F352&lt;=30), "Youngsters", AND(F352&gt;30,F352&lt;=50), "Adults", AND(F352&gt;50,F352&lt;=70),"Old person", AND(F352&gt;70, F352&lt;92), "Senior Citizens")</f>
        <v>Senior Citizens</v>
      </c>
      <c r="Q352" t="str" cm="1">
        <f t="array" ref="Q352">_xlfn.IFS(G352=0,"No Tenure Period",AND(G352&gt;0,G352&lt;=3),"Less Tenure Period",AND(G352&gt;3,G352&lt;=7),"More Tenure Period",AND(G352&gt;7,G352&lt;=10),"Large Tenure Period")</f>
        <v>Large Tenure Period</v>
      </c>
      <c r="R352" t="str" cm="1">
        <f t="array" ref="R352">_xlfn.IFS(AND(C352&gt;300,C352&lt;=525),"1 Star",AND(C352&gt;525,C352&lt;=600),"2 Star",AND(C352&gt;600,C352&lt;=700),"3 Star",AND(C352&gt;700,C352&lt;=750),"4 Star",AND(C352&gt;750,C352&lt;=900),"5 Star")</f>
        <v>5 Star</v>
      </c>
      <c r="S352" cm="1">
        <f t="array" ref="S352">_xlfn.IFS(E352="Male",1,E352="Female",2)</f>
        <v>1</v>
      </c>
      <c r="T352" cm="1">
        <f t="array" ref="T352">_xlfn.IFS(D352="France",1,D352="Germany",2,D352="Spain",3)</f>
        <v>1</v>
      </c>
    </row>
    <row r="353" spans="1:20" x14ac:dyDescent="0.3">
      <c r="A353">
        <v>353</v>
      </c>
      <c r="B353" t="s">
        <v>21</v>
      </c>
      <c r="C353" s="5">
        <v>611</v>
      </c>
      <c r="D353" t="s">
        <v>22</v>
      </c>
      <c r="E353" t="s">
        <v>26</v>
      </c>
      <c r="F353">
        <v>36</v>
      </c>
      <c r="G353" s="5">
        <v>4</v>
      </c>
      <c r="H353" s="4">
        <v>124751.31</v>
      </c>
      <c r="I353" s="5">
        <v>1</v>
      </c>
      <c r="J353">
        <v>0</v>
      </c>
      <c r="K353">
        <v>0</v>
      </c>
      <c r="L353" s="4">
        <v>16581.23</v>
      </c>
      <c r="M353">
        <v>1</v>
      </c>
      <c r="N353" s="4">
        <f t="shared" si="10"/>
        <v>-5.0540914839534941E-2</v>
      </c>
      <c r="O353" s="4">
        <f t="shared" si="11"/>
        <v>-1.6039789244120202</v>
      </c>
      <c r="P353" t="str" cm="1">
        <f t="array" ref="P353">_xlfn.IFS(AND(F353&gt;15,F353&lt;=30), "Youngsters", AND(F353&gt;30,F353&lt;=50), "Adults", AND(F353&gt;50,F353&lt;=70),"Old person", AND(F353&gt;70, F353&lt;92), "Senior Citizens")</f>
        <v>Adults</v>
      </c>
      <c r="Q353" t="str" cm="1">
        <f t="array" ref="Q353">_xlfn.IFS(G353=0,"No Tenure Period",AND(G353&gt;0,G353&lt;=3),"Less Tenure Period",AND(G353&gt;3,G353&lt;=7),"More Tenure Period",AND(G353&gt;7,G353&lt;=10),"Large Tenure Period")</f>
        <v>More Tenure Period</v>
      </c>
      <c r="R353" t="str" cm="1">
        <f t="array" ref="R353">_xlfn.IFS(AND(C353&gt;300,C353&lt;=525),"1 Star",AND(C353&gt;525,C353&lt;=600),"2 Star",AND(C353&gt;600,C353&lt;=700),"3 Star",AND(C353&gt;700,C353&lt;=750),"4 Star",AND(C353&gt;750,C353&lt;=900),"5 Star")</f>
        <v>3 Star</v>
      </c>
      <c r="S353" cm="1">
        <f t="array" ref="S353">_xlfn.IFS(E353="Male",1,E353="Female",2)</f>
        <v>2</v>
      </c>
      <c r="T353" cm="1">
        <f t="array" ref="T353">_xlfn.IFS(D353="France",1,D353="Germany",2,D353="Spain",3)</f>
        <v>2</v>
      </c>
    </row>
    <row r="354" spans="1:20" x14ac:dyDescent="0.3">
      <c r="A354">
        <v>354</v>
      </c>
      <c r="B354" t="s">
        <v>15</v>
      </c>
      <c r="C354" s="5">
        <v>698</v>
      </c>
      <c r="D354" t="s">
        <v>24</v>
      </c>
      <c r="E354" t="s">
        <v>26</v>
      </c>
      <c r="F354">
        <v>18</v>
      </c>
      <c r="G354" s="5">
        <v>5</v>
      </c>
      <c r="H354" s="4">
        <v>142139.92000000001</v>
      </c>
      <c r="I354" s="5">
        <v>2</v>
      </c>
      <c r="J354">
        <v>0</v>
      </c>
      <c r="K354">
        <v>1</v>
      </c>
      <c r="L354" s="4">
        <v>89777.41</v>
      </c>
      <c r="M354">
        <v>0</v>
      </c>
      <c r="N354" s="4">
        <f t="shared" si="10"/>
        <v>0.19105983553367298</v>
      </c>
      <c r="O354" s="4">
        <f t="shared" si="11"/>
        <v>0.18466791097889421</v>
      </c>
      <c r="P354" t="str" cm="1">
        <f t="array" ref="P354">_xlfn.IFS(AND(F354&gt;15,F354&lt;=30), "Youngsters", AND(F354&gt;30,F354&lt;=50), "Adults", AND(F354&gt;50,F354&lt;=70),"Old person", AND(F354&gt;70, F354&lt;92), "Senior Citizens")</f>
        <v>Youngsters</v>
      </c>
      <c r="Q354" t="str" cm="1">
        <f t="array" ref="Q354">_xlfn.IFS(G354=0,"No Tenure Period",AND(G354&gt;0,G354&lt;=3),"Less Tenure Period",AND(G354&gt;3,G354&lt;=7),"More Tenure Period",AND(G354&gt;7,G354&lt;=10),"Large Tenure Period")</f>
        <v>More Tenure Period</v>
      </c>
      <c r="R354" t="str" cm="1">
        <f t="array" ref="R354">_xlfn.IFS(AND(C354&gt;300,C354&lt;=525),"1 Star",AND(C354&gt;525,C354&lt;=600),"2 Star",AND(C354&gt;600,C354&lt;=700),"3 Star",AND(C354&gt;700,C354&lt;=750),"4 Star",AND(C354&gt;750,C354&lt;=900),"5 Star")</f>
        <v>3 Star</v>
      </c>
      <c r="S354" cm="1">
        <f t="array" ref="S354">_xlfn.IFS(E354="Male",1,E354="Female",2)</f>
        <v>2</v>
      </c>
      <c r="T354" cm="1">
        <f t="array" ref="T354">_xlfn.IFS(D354="France",1,D354="Germany",2,D354="Spain",3)</f>
        <v>1</v>
      </c>
    </row>
    <row r="355" spans="1:20" x14ac:dyDescent="0.3">
      <c r="A355">
        <v>355</v>
      </c>
      <c r="B355" t="s">
        <v>18</v>
      </c>
      <c r="C355" s="5">
        <v>810</v>
      </c>
      <c r="D355" t="s">
        <v>22</v>
      </c>
      <c r="E355" t="s">
        <v>25</v>
      </c>
      <c r="F355">
        <v>19</v>
      </c>
      <c r="G355" s="5">
        <v>2</v>
      </c>
      <c r="H355" s="4">
        <v>136582.23000000001</v>
      </c>
      <c r="I355" s="5">
        <v>2</v>
      </c>
      <c r="J355">
        <v>1</v>
      </c>
      <c r="K355">
        <v>0</v>
      </c>
      <c r="L355" s="4">
        <v>146255.76999999999</v>
      </c>
      <c r="M355">
        <v>1</v>
      </c>
      <c r="N355" s="4">
        <f t="shared" si="10"/>
        <v>0.11384020300745763</v>
      </c>
      <c r="O355" s="4">
        <f t="shared" si="11"/>
        <v>1.5647923912737507</v>
      </c>
      <c r="P355" t="str" cm="1">
        <f t="array" ref="P355">_xlfn.IFS(AND(F355&gt;15,F355&lt;=30), "Youngsters", AND(F355&gt;30,F355&lt;=50), "Adults", AND(F355&gt;50,F355&lt;=70),"Old person", AND(F355&gt;70, F355&lt;92), "Senior Citizens")</f>
        <v>Youngsters</v>
      </c>
      <c r="Q355" t="str" cm="1">
        <f t="array" ref="Q355">_xlfn.IFS(G355=0,"No Tenure Period",AND(G355&gt;0,G355&lt;=3),"Less Tenure Period",AND(G355&gt;3,G355&lt;=7),"More Tenure Period",AND(G355&gt;7,G355&lt;=10),"Large Tenure Period")</f>
        <v>Less Tenure Period</v>
      </c>
      <c r="R355" t="str" cm="1">
        <f t="array" ref="R355">_xlfn.IFS(AND(C355&gt;300,C355&lt;=525),"1 Star",AND(C355&gt;525,C355&lt;=600),"2 Star",AND(C355&gt;600,C355&lt;=700),"3 Star",AND(C355&gt;700,C355&lt;=750),"4 Star",AND(C355&gt;750,C355&lt;=900),"5 Star")</f>
        <v>5 Star</v>
      </c>
      <c r="S355" cm="1">
        <f t="array" ref="S355">_xlfn.IFS(E355="Male",1,E355="Female",2)</f>
        <v>1</v>
      </c>
      <c r="T355" cm="1">
        <f t="array" ref="T355">_xlfn.IFS(D355="France",1,D355="Germany",2,D355="Spain",3)</f>
        <v>2</v>
      </c>
    </row>
    <row r="356" spans="1:20" x14ac:dyDescent="0.3">
      <c r="A356">
        <v>356</v>
      </c>
      <c r="B356" t="s">
        <v>16</v>
      </c>
      <c r="C356" s="5">
        <v>504</v>
      </c>
      <c r="D356" t="s">
        <v>23</v>
      </c>
      <c r="E356" t="s">
        <v>26</v>
      </c>
      <c r="F356">
        <v>39</v>
      </c>
      <c r="G356" s="5">
        <v>0</v>
      </c>
      <c r="H356" s="4">
        <v>65011.59</v>
      </c>
      <c r="I356" s="5">
        <v>2</v>
      </c>
      <c r="J356">
        <v>1</v>
      </c>
      <c r="K356">
        <v>1</v>
      </c>
      <c r="L356" s="4">
        <v>100509.25</v>
      </c>
      <c r="M356">
        <v>1</v>
      </c>
      <c r="N356" s="4">
        <f t="shared" si="10"/>
        <v>-0.880576275865248</v>
      </c>
      <c r="O356" s="4">
        <f t="shared" si="11"/>
        <v>0.44691481585728571</v>
      </c>
      <c r="P356" t="str" cm="1">
        <f t="array" ref="P356">_xlfn.IFS(AND(F356&gt;15,F356&lt;=30), "Youngsters", AND(F356&gt;30,F356&lt;=50), "Adults", AND(F356&gt;50,F356&lt;=70),"Old person", AND(F356&gt;70, F356&lt;92), "Senior Citizens")</f>
        <v>Adults</v>
      </c>
      <c r="Q356" t="str" cm="1">
        <f t="array" ref="Q356">_xlfn.IFS(G356=0,"No Tenure Period",AND(G356&gt;0,G356&lt;=3),"Less Tenure Period",AND(G356&gt;3,G356&lt;=7),"More Tenure Period",AND(G356&gt;7,G356&lt;=10),"Large Tenure Period")</f>
        <v>No Tenure Period</v>
      </c>
      <c r="R356" t="str" cm="1">
        <f t="array" ref="R356">_xlfn.IFS(AND(C356&gt;300,C356&lt;=525),"1 Star",AND(C356&gt;525,C356&lt;=600),"2 Star",AND(C356&gt;600,C356&lt;=700),"3 Star",AND(C356&gt;700,C356&lt;=750),"4 Star",AND(C356&gt;750,C356&lt;=900),"5 Star")</f>
        <v>1 Star</v>
      </c>
      <c r="S356" cm="1">
        <f t="array" ref="S356">_xlfn.IFS(E356="Male",1,E356="Female",2)</f>
        <v>2</v>
      </c>
      <c r="T356" cm="1">
        <f t="array" ref="T356">_xlfn.IFS(D356="France",1,D356="Germany",2,D356="Spain",3)</f>
        <v>3</v>
      </c>
    </row>
    <row r="357" spans="1:20" x14ac:dyDescent="0.3">
      <c r="A357">
        <v>357</v>
      </c>
      <c r="B357" t="s">
        <v>17</v>
      </c>
      <c r="C357" s="5">
        <v>591</v>
      </c>
      <c r="D357" t="s">
        <v>23</v>
      </c>
      <c r="E357" t="s">
        <v>26</v>
      </c>
      <c r="F357">
        <v>31</v>
      </c>
      <c r="G357" s="5">
        <v>8</v>
      </c>
      <c r="H357" s="4">
        <v>36493.35</v>
      </c>
      <c r="I357" s="5">
        <v>2</v>
      </c>
      <c r="J357">
        <v>1</v>
      </c>
      <c r="K357">
        <v>0</v>
      </c>
      <c r="L357" s="4">
        <v>50480.54</v>
      </c>
      <c r="M357">
        <v>1</v>
      </c>
      <c r="N357" s="4">
        <f t="shared" si="10"/>
        <v>-1.2768142835796785</v>
      </c>
      <c r="O357" s="4">
        <f t="shared" si="11"/>
        <v>-0.77560381585532245</v>
      </c>
      <c r="P357" t="str" cm="1">
        <f t="array" ref="P357">_xlfn.IFS(AND(F357&gt;15,F357&lt;=30), "Youngsters", AND(F357&gt;30,F357&lt;=50), "Adults", AND(F357&gt;50,F357&lt;=70),"Old person", AND(F357&gt;70, F357&lt;92), "Senior Citizens")</f>
        <v>Adults</v>
      </c>
      <c r="Q357" t="str" cm="1">
        <f t="array" ref="Q357">_xlfn.IFS(G357=0,"No Tenure Period",AND(G357&gt;0,G357&lt;=3),"Less Tenure Period",AND(G357&gt;3,G357&lt;=7),"More Tenure Period",AND(G357&gt;7,G357&lt;=10),"Large Tenure Period")</f>
        <v>Large Tenure Period</v>
      </c>
      <c r="R357" t="str" cm="1">
        <f t="array" ref="R357">_xlfn.IFS(AND(C357&gt;300,C357&lt;=525),"1 Star",AND(C357&gt;525,C357&lt;=600),"2 Star",AND(C357&gt;600,C357&lt;=700),"3 Star",AND(C357&gt;700,C357&lt;=750),"4 Star",AND(C357&gt;750,C357&lt;=900),"5 Star")</f>
        <v>2 Star</v>
      </c>
      <c r="S357" cm="1">
        <f t="array" ref="S357">_xlfn.IFS(E357="Male",1,E357="Female",2)</f>
        <v>2</v>
      </c>
      <c r="T357" cm="1">
        <f t="array" ref="T357">_xlfn.IFS(D357="France",1,D357="Germany",2,D357="Spain",3)</f>
        <v>3</v>
      </c>
    </row>
    <row r="358" spans="1:20" x14ac:dyDescent="0.3">
      <c r="A358">
        <v>358</v>
      </c>
      <c r="B358" t="s">
        <v>13</v>
      </c>
      <c r="C358" s="5">
        <v>433</v>
      </c>
      <c r="D358" t="s">
        <v>23</v>
      </c>
      <c r="E358" t="s">
        <v>26</v>
      </c>
      <c r="F358">
        <v>85</v>
      </c>
      <c r="G358" s="5">
        <v>6</v>
      </c>
      <c r="H358" s="4">
        <v>92093.09</v>
      </c>
      <c r="I358" s="5">
        <v>4</v>
      </c>
      <c r="J358">
        <v>0</v>
      </c>
      <c r="K358">
        <v>1</v>
      </c>
      <c r="L358" s="4">
        <v>117465.12</v>
      </c>
      <c r="M358">
        <v>1</v>
      </c>
      <c r="N358" s="4">
        <f t="shared" si="10"/>
        <v>-0.50430061488762967</v>
      </c>
      <c r="O358" s="4">
        <f t="shared" si="11"/>
        <v>0.86125424199673351</v>
      </c>
      <c r="P358" t="str" cm="1">
        <f t="array" ref="P358">_xlfn.IFS(AND(F358&gt;15,F358&lt;=30), "Youngsters", AND(F358&gt;30,F358&lt;=50), "Adults", AND(F358&gt;50,F358&lt;=70),"Old person", AND(F358&gt;70, F358&lt;92), "Senior Citizens")</f>
        <v>Senior Citizens</v>
      </c>
      <c r="Q358" t="str" cm="1">
        <f t="array" ref="Q358">_xlfn.IFS(G358=0,"No Tenure Period",AND(G358&gt;0,G358&lt;=3),"Less Tenure Period",AND(G358&gt;3,G358&lt;=7),"More Tenure Period",AND(G358&gt;7,G358&lt;=10),"Large Tenure Period")</f>
        <v>More Tenure Period</v>
      </c>
      <c r="R358" t="str" cm="1">
        <f t="array" ref="R358">_xlfn.IFS(AND(C358&gt;300,C358&lt;=525),"1 Star",AND(C358&gt;525,C358&lt;=600),"2 Star",AND(C358&gt;600,C358&lt;=700),"3 Star",AND(C358&gt;700,C358&lt;=750),"4 Star",AND(C358&gt;750,C358&lt;=900),"5 Star")</f>
        <v>1 Star</v>
      </c>
      <c r="S358" cm="1">
        <f t="array" ref="S358">_xlfn.IFS(E358="Male",1,E358="Female",2)</f>
        <v>2</v>
      </c>
      <c r="T358" cm="1">
        <f t="array" ref="T358">_xlfn.IFS(D358="France",1,D358="Germany",2,D358="Spain",3)</f>
        <v>3</v>
      </c>
    </row>
    <row r="359" spans="1:20" x14ac:dyDescent="0.3">
      <c r="A359">
        <v>359</v>
      </c>
      <c r="B359" t="s">
        <v>20</v>
      </c>
      <c r="C359" s="5">
        <v>746</v>
      </c>
      <c r="D359" t="s">
        <v>22</v>
      </c>
      <c r="E359" t="s">
        <v>26</v>
      </c>
      <c r="F359">
        <v>35</v>
      </c>
      <c r="G359" s="5">
        <v>5</v>
      </c>
      <c r="H359" s="4">
        <v>196029.87</v>
      </c>
      <c r="I359" s="5">
        <v>4</v>
      </c>
      <c r="J359">
        <v>1</v>
      </c>
      <c r="K359">
        <v>0</v>
      </c>
      <c r="L359" s="4">
        <v>77933.48</v>
      </c>
      <c r="M359">
        <v>0</v>
      </c>
      <c r="N359" s="4">
        <f t="shared" si="10"/>
        <v>0.93981734735173317</v>
      </c>
      <c r="O359" s="4">
        <f t="shared" si="11"/>
        <v>-0.10475440468145204</v>
      </c>
      <c r="P359" t="str" cm="1">
        <f t="array" ref="P359">_xlfn.IFS(AND(F359&gt;15,F359&lt;=30), "Youngsters", AND(F359&gt;30,F359&lt;=50), "Adults", AND(F359&gt;50,F359&lt;=70),"Old person", AND(F359&gt;70, F359&lt;92), "Senior Citizens")</f>
        <v>Adults</v>
      </c>
      <c r="Q359" t="str" cm="1">
        <f t="array" ref="Q359">_xlfn.IFS(G359=0,"No Tenure Period",AND(G359&gt;0,G359&lt;=3),"Less Tenure Period",AND(G359&gt;3,G359&lt;=7),"More Tenure Period",AND(G359&gt;7,G359&lt;=10),"Large Tenure Period")</f>
        <v>More Tenure Period</v>
      </c>
      <c r="R359" t="str" cm="1">
        <f t="array" ref="R359">_xlfn.IFS(AND(C359&gt;300,C359&lt;=525),"1 Star",AND(C359&gt;525,C359&lt;=600),"2 Star",AND(C359&gt;600,C359&lt;=700),"3 Star",AND(C359&gt;700,C359&lt;=750),"4 Star",AND(C359&gt;750,C359&lt;=900),"5 Star")</f>
        <v>4 Star</v>
      </c>
      <c r="S359" cm="1">
        <f t="array" ref="S359">_xlfn.IFS(E359="Male",1,E359="Female",2)</f>
        <v>2</v>
      </c>
      <c r="T359" cm="1">
        <f t="array" ref="T359">_xlfn.IFS(D359="France",1,D359="Germany",2,D359="Spain",3)</f>
        <v>2</v>
      </c>
    </row>
    <row r="360" spans="1:20" x14ac:dyDescent="0.3">
      <c r="A360">
        <v>360</v>
      </c>
      <c r="B360" t="s">
        <v>17</v>
      </c>
      <c r="C360" s="5">
        <v>836</v>
      </c>
      <c r="D360" t="s">
        <v>24</v>
      </c>
      <c r="E360" t="s">
        <v>26</v>
      </c>
      <c r="F360">
        <v>23</v>
      </c>
      <c r="G360" s="5">
        <v>3</v>
      </c>
      <c r="H360" s="4">
        <v>149033.25</v>
      </c>
      <c r="I360" s="5">
        <v>2</v>
      </c>
      <c r="J360">
        <v>0</v>
      </c>
      <c r="K360">
        <v>0</v>
      </c>
      <c r="L360" s="4">
        <v>26370.52</v>
      </c>
      <c r="M360">
        <v>1</v>
      </c>
      <c r="N360" s="4">
        <f t="shared" si="10"/>
        <v>0.28683711161095232</v>
      </c>
      <c r="O360" s="4">
        <f t="shared" si="11"/>
        <v>-1.3647644930137703</v>
      </c>
      <c r="P360" t="str" cm="1">
        <f t="array" ref="P360">_xlfn.IFS(AND(F360&gt;15,F360&lt;=30), "Youngsters", AND(F360&gt;30,F360&lt;=50), "Adults", AND(F360&gt;50,F360&lt;=70),"Old person", AND(F360&gt;70, F360&lt;92), "Senior Citizens")</f>
        <v>Youngsters</v>
      </c>
      <c r="Q360" t="str" cm="1">
        <f t="array" ref="Q360">_xlfn.IFS(G360=0,"No Tenure Period",AND(G360&gt;0,G360&lt;=3),"Less Tenure Period",AND(G360&gt;3,G360&lt;=7),"More Tenure Period",AND(G360&gt;7,G360&lt;=10),"Large Tenure Period")</f>
        <v>Less Tenure Period</v>
      </c>
      <c r="R360" t="str" cm="1">
        <f t="array" ref="R360">_xlfn.IFS(AND(C360&gt;300,C360&lt;=525),"1 Star",AND(C360&gt;525,C360&lt;=600),"2 Star",AND(C360&gt;600,C360&lt;=700),"3 Star",AND(C360&gt;700,C360&lt;=750),"4 Star",AND(C360&gt;750,C360&lt;=900),"5 Star")</f>
        <v>5 Star</v>
      </c>
      <c r="S360" cm="1">
        <f t="array" ref="S360">_xlfn.IFS(E360="Male",1,E360="Female",2)</f>
        <v>2</v>
      </c>
      <c r="T360" cm="1">
        <f t="array" ref="T360">_xlfn.IFS(D360="France",1,D360="Germany",2,D360="Spain",3)</f>
        <v>1</v>
      </c>
    </row>
    <row r="361" spans="1:20" x14ac:dyDescent="0.3">
      <c r="A361">
        <v>361</v>
      </c>
      <c r="B361" t="s">
        <v>15</v>
      </c>
      <c r="C361" s="5">
        <v>485</v>
      </c>
      <c r="D361" t="s">
        <v>23</v>
      </c>
      <c r="E361" t="s">
        <v>26</v>
      </c>
      <c r="F361">
        <v>44</v>
      </c>
      <c r="G361" s="5">
        <v>8</v>
      </c>
      <c r="H361" s="4">
        <v>45468.26</v>
      </c>
      <c r="I361" s="5">
        <v>2</v>
      </c>
      <c r="J361">
        <v>1</v>
      </c>
      <c r="K361">
        <v>1</v>
      </c>
      <c r="L361" s="4">
        <v>132665.07999999999</v>
      </c>
      <c r="M361">
        <v>0</v>
      </c>
      <c r="N361" s="4">
        <f t="shared" si="10"/>
        <v>-1.1521151276073491</v>
      </c>
      <c r="O361" s="4">
        <f t="shared" si="11"/>
        <v>1.2326856521067757</v>
      </c>
      <c r="P361" t="str" cm="1">
        <f t="array" ref="P361">_xlfn.IFS(AND(F361&gt;15,F361&lt;=30), "Youngsters", AND(F361&gt;30,F361&lt;=50), "Adults", AND(F361&gt;50,F361&lt;=70),"Old person", AND(F361&gt;70, F361&lt;92), "Senior Citizens")</f>
        <v>Adults</v>
      </c>
      <c r="Q361" t="str" cm="1">
        <f t="array" ref="Q361">_xlfn.IFS(G361=0,"No Tenure Period",AND(G361&gt;0,G361&lt;=3),"Less Tenure Period",AND(G361&gt;3,G361&lt;=7),"More Tenure Period",AND(G361&gt;7,G361&lt;=10),"Large Tenure Period")</f>
        <v>Large Tenure Period</v>
      </c>
      <c r="R361" t="str" cm="1">
        <f t="array" ref="R361">_xlfn.IFS(AND(C361&gt;300,C361&lt;=525),"1 Star",AND(C361&gt;525,C361&lt;=600),"2 Star",AND(C361&gt;600,C361&lt;=700),"3 Star",AND(C361&gt;700,C361&lt;=750),"4 Star",AND(C361&gt;750,C361&lt;=900),"5 Star")</f>
        <v>1 Star</v>
      </c>
      <c r="S361" cm="1">
        <f t="array" ref="S361">_xlfn.IFS(E361="Male",1,E361="Female",2)</f>
        <v>2</v>
      </c>
      <c r="T361" cm="1">
        <f t="array" ref="T361">_xlfn.IFS(D361="France",1,D361="Germany",2,D361="Spain",3)</f>
        <v>3</v>
      </c>
    </row>
    <row r="362" spans="1:20" x14ac:dyDescent="0.3">
      <c r="A362">
        <v>362</v>
      </c>
      <c r="B362" t="s">
        <v>20</v>
      </c>
      <c r="C362" s="5">
        <v>530</v>
      </c>
      <c r="D362" t="s">
        <v>24</v>
      </c>
      <c r="E362" t="s">
        <v>25</v>
      </c>
      <c r="F362">
        <v>81</v>
      </c>
      <c r="G362" s="5">
        <v>10</v>
      </c>
      <c r="H362" s="4">
        <v>58304.43</v>
      </c>
      <c r="I362" s="5">
        <v>1</v>
      </c>
      <c r="J362">
        <v>0</v>
      </c>
      <c r="K362">
        <v>0</v>
      </c>
      <c r="L362" s="4">
        <v>122633.44</v>
      </c>
      <c r="M362">
        <v>0</v>
      </c>
      <c r="N362" s="4">
        <f t="shared" si="10"/>
        <v>-0.97376686952817815</v>
      </c>
      <c r="O362" s="4">
        <f t="shared" si="11"/>
        <v>0.98754907339760145</v>
      </c>
      <c r="P362" t="str" cm="1">
        <f t="array" ref="P362">_xlfn.IFS(AND(F362&gt;15,F362&lt;=30), "Youngsters", AND(F362&gt;30,F362&lt;=50), "Adults", AND(F362&gt;50,F362&lt;=70),"Old person", AND(F362&gt;70, F362&lt;92), "Senior Citizens")</f>
        <v>Senior Citizens</v>
      </c>
      <c r="Q362" t="str" cm="1">
        <f t="array" ref="Q362">_xlfn.IFS(G362=0,"No Tenure Period",AND(G362&gt;0,G362&lt;=3),"Less Tenure Period",AND(G362&gt;3,G362&lt;=7),"More Tenure Period",AND(G362&gt;7,G362&lt;=10),"Large Tenure Period")</f>
        <v>Large Tenure Period</v>
      </c>
      <c r="R362" t="str" cm="1">
        <f t="array" ref="R362">_xlfn.IFS(AND(C362&gt;300,C362&lt;=525),"1 Star",AND(C362&gt;525,C362&lt;=600),"2 Star",AND(C362&gt;600,C362&lt;=700),"3 Star",AND(C362&gt;700,C362&lt;=750),"4 Star",AND(C362&gt;750,C362&lt;=900),"5 Star")</f>
        <v>2 Star</v>
      </c>
      <c r="S362" cm="1">
        <f t="array" ref="S362">_xlfn.IFS(E362="Male",1,E362="Female",2)</f>
        <v>1</v>
      </c>
      <c r="T362" cm="1">
        <f t="array" ref="T362">_xlfn.IFS(D362="France",1,D362="Germany",2,D362="Spain",3)</f>
        <v>1</v>
      </c>
    </row>
    <row r="363" spans="1:20" x14ac:dyDescent="0.3">
      <c r="A363">
        <v>363</v>
      </c>
      <c r="B363" t="s">
        <v>18</v>
      </c>
      <c r="C363" s="5">
        <v>430</v>
      </c>
      <c r="D363" t="s">
        <v>23</v>
      </c>
      <c r="E363" t="s">
        <v>26</v>
      </c>
      <c r="F363">
        <v>45</v>
      </c>
      <c r="G363" s="5">
        <v>9</v>
      </c>
      <c r="H363" s="4">
        <v>226048.06</v>
      </c>
      <c r="I363" s="5">
        <v>4</v>
      </c>
      <c r="J363">
        <v>1</v>
      </c>
      <c r="K363">
        <v>1</v>
      </c>
      <c r="L363" s="4">
        <v>13741.1</v>
      </c>
      <c r="M363">
        <v>1</v>
      </c>
      <c r="N363" s="4">
        <f t="shared" si="10"/>
        <v>1.3568959539134722</v>
      </c>
      <c r="O363" s="4">
        <f t="shared" si="11"/>
        <v>-1.6733813103917088</v>
      </c>
      <c r="P363" t="str" cm="1">
        <f t="array" ref="P363">_xlfn.IFS(AND(F363&gt;15,F363&lt;=30), "Youngsters", AND(F363&gt;30,F363&lt;=50), "Adults", AND(F363&gt;50,F363&lt;=70),"Old person", AND(F363&gt;70, F363&lt;92), "Senior Citizens")</f>
        <v>Adults</v>
      </c>
      <c r="Q363" t="str" cm="1">
        <f t="array" ref="Q363">_xlfn.IFS(G363=0,"No Tenure Period",AND(G363&gt;0,G363&lt;=3),"Less Tenure Period",AND(G363&gt;3,G363&lt;=7),"More Tenure Period",AND(G363&gt;7,G363&lt;=10),"Large Tenure Period")</f>
        <v>Large Tenure Period</v>
      </c>
      <c r="R363" t="str" cm="1">
        <f t="array" ref="R363">_xlfn.IFS(AND(C363&gt;300,C363&lt;=525),"1 Star",AND(C363&gt;525,C363&lt;=600),"2 Star",AND(C363&gt;600,C363&lt;=700),"3 Star",AND(C363&gt;700,C363&lt;=750),"4 Star",AND(C363&gt;750,C363&lt;=900),"5 Star")</f>
        <v>1 Star</v>
      </c>
      <c r="S363" cm="1">
        <f t="array" ref="S363">_xlfn.IFS(E363="Male",1,E363="Female",2)</f>
        <v>2</v>
      </c>
      <c r="T363" cm="1">
        <f t="array" ref="T363">_xlfn.IFS(D363="France",1,D363="Germany",2,D363="Spain",3)</f>
        <v>3</v>
      </c>
    </row>
    <row r="364" spans="1:20" x14ac:dyDescent="0.3">
      <c r="A364">
        <v>364</v>
      </c>
      <c r="B364" t="s">
        <v>18</v>
      </c>
      <c r="C364" s="5">
        <v>763</v>
      </c>
      <c r="D364" t="s">
        <v>24</v>
      </c>
      <c r="E364" t="s">
        <v>26</v>
      </c>
      <c r="F364">
        <v>59</v>
      </c>
      <c r="G364" s="5">
        <v>0</v>
      </c>
      <c r="H364" s="4">
        <v>99046.96</v>
      </c>
      <c r="I364" s="5">
        <v>4</v>
      </c>
      <c r="J364">
        <v>1</v>
      </c>
      <c r="K364">
        <v>0</v>
      </c>
      <c r="L364" s="4">
        <v>15699.41</v>
      </c>
      <c r="M364">
        <v>0</v>
      </c>
      <c r="N364" s="4">
        <f t="shared" si="10"/>
        <v>-0.40768218420238567</v>
      </c>
      <c r="O364" s="4">
        <f t="shared" si="11"/>
        <v>-1.6255273788857973</v>
      </c>
      <c r="P364" t="str" cm="1">
        <f t="array" ref="P364">_xlfn.IFS(AND(F364&gt;15,F364&lt;=30), "Youngsters", AND(F364&gt;30,F364&lt;=50), "Adults", AND(F364&gt;50,F364&lt;=70),"Old person", AND(F364&gt;70, F364&lt;92), "Senior Citizens")</f>
        <v>Old person</v>
      </c>
      <c r="Q364" t="str" cm="1">
        <f t="array" ref="Q364">_xlfn.IFS(G364=0,"No Tenure Period",AND(G364&gt;0,G364&lt;=3),"Less Tenure Period",AND(G364&gt;3,G364&lt;=7),"More Tenure Period",AND(G364&gt;7,G364&lt;=10),"Large Tenure Period")</f>
        <v>No Tenure Period</v>
      </c>
      <c r="R364" t="str" cm="1">
        <f t="array" ref="R364">_xlfn.IFS(AND(C364&gt;300,C364&lt;=525),"1 Star",AND(C364&gt;525,C364&lt;=600),"2 Star",AND(C364&gt;600,C364&lt;=700),"3 Star",AND(C364&gt;700,C364&lt;=750),"4 Star",AND(C364&gt;750,C364&lt;=900),"5 Star")</f>
        <v>5 Star</v>
      </c>
      <c r="S364" cm="1">
        <f t="array" ref="S364">_xlfn.IFS(E364="Male",1,E364="Female",2)</f>
        <v>2</v>
      </c>
      <c r="T364" cm="1">
        <f t="array" ref="T364">_xlfn.IFS(D364="France",1,D364="Germany",2,D364="Spain",3)</f>
        <v>1</v>
      </c>
    </row>
    <row r="365" spans="1:20" x14ac:dyDescent="0.3">
      <c r="A365">
        <v>365</v>
      </c>
      <c r="B365" t="s">
        <v>21</v>
      </c>
      <c r="C365" s="5">
        <v>350</v>
      </c>
      <c r="D365" t="s">
        <v>22</v>
      </c>
      <c r="E365" t="s">
        <v>26</v>
      </c>
      <c r="F365">
        <v>31</v>
      </c>
      <c r="G365" s="5">
        <v>10</v>
      </c>
      <c r="H365" s="4">
        <v>213425.22</v>
      </c>
      <c r="I365" s="5">
        <v>2</v>
      </c>
      <c r="J365">
        <v>0</v>
      </c>
      <c r="K365">
        <v>0</v>
      </c>
      <c r="L365" s="4">
        <v>36418.230000000003</v>
      </c>
      <c r="M365">
        <v>1</v>
      </c>
      <c r="N365" s="4">
        <f t="shared" si="10"/>
        <v>1.1815117446039909</v>
      </c>
      <c r="O365" s="4">
        <f t="shared" si="11"/>
        <v>-1.1192352223001123</v>
      </c>
      <c r="P365" t="str" cm="1">
        <f t="array" ref="P365">_xlfn.IFS(AND(F365&gt;15,F365&lt;=30), "Youngsters", AND(F365&gt;30,F365&lt;=50), "Adults", AND(F365&gt;50,F365&lt;=70),"Old person", AND(F365&gt;70, F365&lt;92), "Senior Citizens")</f>
        <v>Adults</v>
      </c>
      <c r="Q365" t="str" cm="1">
        <f t="array" ref="Q365">_xlfn.IFS(G365=0,"No Tenure Period",AND(G365&gt;0,G365&lt;=3),"Less Tenure Period",AND(G365&gt;3,G365&lt;=7),"More Tenure Period",AND(G365&gt;7,G365&lt;=10),"Large Tenure Period")</f>
        <v>Large Tenure Period</v>
      </c>
      <c r="R365" t="str" cm="1">
        <f t="array" ref="R365">_xlfn.IFS(AND(C365&gt;300,C365&lt;=525),"1 Star",AND(C365&gt;525,C365&lt;=600),"2 Star",AND(C365&gt;600,C365&lt;=700),"3 Star",AND(C365&gt;700,C365&lt;=750),"4 Star",AND(C365&gt;750,C365&lt;=900),"5 Star")</f>
        <v>1 Star</v>
      </c>
      <c r="S365" cm="1">
        <f t="array" ref="S365">_xlfn.IFS(E365="Male",1,E365="Female",2)</f>
        <v>2</v>
      </c>
      <c r="T365" cm="1">
        <f t="array" ref="T365">_xlfn.IFS(D365="France",1,D365="Germany",2,D365="Spain",3)</f>
        <v>2</v>
      </c>
    </row>
    <row r="366" spans="1:20" x14ac:dyDescent="0.3">
      <c r="A366">
        <v>366</v>
      </c>
      <c r="B366" t="s">
        <v>15</v>
      </c>
      <c r="C366" s="5">
        <v>565</v>
      </c>
      <c r="D366" t="s">
        <v>22</v>
      </c>
      <c r="E366" t="s">
        <v>25</v>
      </c>
      <c r="F366">
        <v>63</v>
      </c>
      <c r="G366" s="5">
        <v>7</v>
      </c>
      <c r="H366" s="4">
        <v>244367.77</v>
      </c>
      <c r="I366" s="5">
        <v>4</v>
      </c>
      <c r="J366">
        <v>1</v>
      </c>
      <c r="K366">
        <v>1</v>
      </c>
      <c r="L366" s="4">
        <v>130825.14</v>
      </c>
      <c r="M366">
        <v>0</v>
      </c>
      <c r="N366" s="4">
        <f t="shared" si="10"/>
        <v>1.6114335899073531</v>
      </c>
      <c r="O366" s="4">
        <f t="shared" si="11"/>
        <v>1.1877242503190166</v>
      </c>
      <c r="P366" t="str" cm="1">
        <f t="array" ref="P366">_xlfn.IFS(AND(F366&gt;15,F366&lt;=30), "Youngsters", AND(F366&gt;30,F366&lt;=50), "Adults", AND(F366&gt;50,F366&lt;=70),"Old person", AND(F366&gt;70, F366&lt;92), "Senior Citizens")</f>
        <v>Old person</v>
      </c>
      <c r="Q366" t="str" cm="1">
        <f t="array" ref="Q366">_xlfn.IFS(G366=0,"No Tenure Period",AND(G366&gt;0,G366&lt;=3),"Less Tenure Period",AND(G366&gt;3,G366&lt;=7),"More Tenure Period",AND(G366&gt;7,G366&lt;=10),"Large Tenure Period")</f>
        <v>More Tenure Period</v>
      </c>
      <c r="R366" t="str" cm="1">
        <f t="array" ref="R366">_xlfn.IFS(AND(C366&gt;300,C366&lt;=525),"1 Star",AND(C366&gt;525,C366&lt;=600),"2 Star",AND(C366&gt;600,C366&lt;=700),"3 Star",AND(C366&gt;700,C366&lt;=750),"4 Star",AND(C366&gt;750,C366&lt;=900),"5 Star")</f>
        <v>2 Star</v>
      </c>
      <c r="S366" cm="1">
        <f t="array" ref="S366">_xlfn.IFS(E366="Male",1,E366="Female",2)</f>
        <v>1</v>
      </c>
      <c r="T366" cm="1">
        <f t="array" ref="T366">_xlfn.IFS(D366="France",1,D366="Germany",2,D366="Spain",3)</f>
        <v>2</v>
      </c>
    </row>
    <row r="367" spans="1:20" x14ac:dyDescent="0.3">
      <c r="A367">
        <v>367</v>
      </c>
      <c r="B367" t="s">
        <v>19</v>
      </c>
      <c r="C367" s="5">
        <v>557</v>
      </c>
      <c r="D367" t="s">
        <v>24</v>
      </c>
      <c r="E367" t="s">
        <v>26</v>
      </c>
      <c r="F367">
        <v>66</v>
      </c>
      <c r="G367" s="5">
        <v>2</v>
      </c>
      <c r="H367" s="4">
        <v>89466.82</v>
      </c>
      <c r="I367" s="5">
        <v>4</v>
      </c>
      <c r="J367">
        <v>1</v>
      </c>
      <c r="K367">
        <v>1</v>
      </c>
      <c r="L367" s="4">
        <v>37239.08</v>
      </c>
      <c r="M367">
        <v>1</v>
      </c>
      <c r="N367" s="4">
        <f t="shared" si="10"/>
        <v>-0.54079052424108809</v>
      </c>
      <c r="O367" s="4">
        <f t="shared" si="11"/>
        <v>-1.0991766515546086</v>
      </c>
      <c r="P367" t="str" cm="1">
        <f t="array" ref="P367">_xlfn.IFS(AND(F367&gt;15,F367&lt;=30), "Youngsters", AND(F367&gt;30,F367&lt;=50), "Adults", AND(F367&gt;50,F367&lt;=70),"Old person", AND(F367&gt;70, F367&lt;92), "Senior Citizens")</f>
        <v>Old person</v>
      </c>
      <c r="Q367" t="str" cm="1">
        <f t="array" ref="Q367">_xlfn.IFS(G367=0,"No Tenure Period",AND(G367&gt;0,G367&lt;=3),"Less Tenure Period",AND(G367&gt;3,G367&lt;=7),"More Tenure Period",AND(G367&gt;7,G367&lt;=10),"Large Tenure Period")</f>
        <v>Less Tenure Period</v>
      </c>
      <c r="R367" t="str" cm="1">
        <f t="array" ref="R367">_xlfn.IFS(AND(C367&gt;300,C367&lt;=525),"1 Star",AND(C367&gt;525,C367&lt;=600),"2 Star",AND(C367&gt;600,C367&lt;=700),"3 Star",AND(C367&gt;700,C367&lt;=750),"4 Star",AND(C367&gt;750,C367&lt;=900),"5 Star")</f>
        <v>2 Star</v>
      </c>
      <c r="S367" cm="1">
        <f t="array" ref="S367">_xlfn.IFS(E367="Male",1,E367="Female",2)</f>
        <v>2</v>
      </c>
      <c r="T367" cm="1">
        <f t="array" ref="T367">_xlfn.IFS(D367="France",1,D367="Germany",2,D367="Spain",3)</f>
        <v>1</v>
      </c>
    </row>
    <row r="368" spans="1:20" x14ac:dyDescent="0.3">
      <c r="A368">
        <v>368</v>
      </c>
      <c r="B368" t="s">
        <v>16</v>
      </c>
      <c r="C368" s="5">
        <v>680</v>
      </c>
      <c r="D368" t="s">
        <v>22</v>
      </c>
      <c r="E368" t="s">
        <v>26</v>
      </c>
      <c r="F368">
        <v>74</v>
      </c>
      <c r="G368" s="5">
        <v>10</v>
      </c>
      <c r="H368" s="4">
        <v>3229.42</v>
      </c>
      <c r="I368" s="5">
        <v>2</v>
      </c>
      <c r="J368">
        <v>0</v>
      </c>
      <c r="K368">
        <v>0</v>
      </c>
      <c r="L368" s="4">
        <v>139041.32999999999</v>
      </c>
      <c r="M368">
        <v>1</v>
      </c>
      <c r="N368" s="4">
        <f t="shared" si="10"/>
        <v>-1.7389898369080847</v>
      </c>
      <c r="O368" s="4">
        <f t="shared" si="11"/>
        <v>1.3884978732385522</v>
      </c>
      <c r="P368" t="str" cm="1">
        <f t="array" ref="P368">_xlfn.IFS(AND(F368&gt;15,F368&lt;=30), "Youngsters", AND(F368&gt;30,F368&lt;=50), "Adults", AND(F368&gt;50,F368&lt;=70),"Old person", AND(F368&gt;70, F368&lt;92), "Senior Citizens")</f>
        <v>Senior Citizens</v>
      </c>
      <c r="Q368" t="str" cm="1">
        <f t="array" ref="Q368">_xlfn.IFS(G368=0,"No Tenure Period",AND(G368&gt;0,G368&lt;=3),"Less Tenure Period",AND(G368&gt;3,G368&lt;=7),"More Tenure Period",AND(G368&gt;7,G368&lt;=10),"Large Tenure Period")</f>
        <v>Large Tenure Period</v>
      </c>
      <c r="R368" t="str" cm="1">
        <f t="array" ref="R368">_xlfn.IFS(AND(C368&gt;300,C368&lt;=525),"1 Star",AND(C368&gt;525,C368&lt;=600),"2 Star",AND(C368&gt;600,C368&lt;=700),"3 Star",AND(C368&gt;700,C368&lt;=750),"4 Star",AND(C368&gt;750,C368&lt;=900),"5 Star")</f>
        <v>3 Star</v>
      </c>
      <c r="S368" cm="1">
        <f t="array" ref="S368">_xlfn.IFS(E368="Male",1,E368="Female",2)</f>
        <v>2</v>
      </c>
      <c r="T368" cm="1">
        <f t="array" ref="T368">_xlfn.IFS(D368="France",1,D368="Germany",2,D368="Spain",3)</f>
        <v>2</v>
      </c>
    </row>
    <row r="369" spans="1:20" x14ac:dyDescent="0.3">
      <c r="A369">
        <v>369</v>
      </c>
      <c r="B369" t="s">
        <v>18</v>
      </c>
      <c r="C369" s="5">
        <v>602</v>
      </c>
      <c r="D369" t="s">
        <v>24</v>
      </c>
      <c r="E369" t="s">
        <v>26</v>
      </c>
      <c r="F369">
        <v>76</v>
      </c>
      <c r="G369" s="5">
        <v>8</v>
      </c>
      <c r="H369" s="4">
        <v>181947.19</v>
      </c>
      <c r="I369" s="5">
        <v>3</v>
      </c>
      <c r="J369">
        <v>0</v>
      </c>
      <c r="K369">
        <v>1</v>
      </c>
      <c r="L369" s="4">
        <v>81521.02</v>
      </c>
      <c r="M369">
        <v>0</v>
      </c>
      <c r="N369" s="4">
        <f t="shared" si="10"/>
        <v>0.7441498353846604</v>
      </c>
      <c r="O369" s="4">
        <f t="shared" si="11"/>
        <v>-1.7088052860382494E-2</v>
      </c>
      <c r="P369" t="str" cm="1">
        <f t="array" ref="P369">_xlfn.IFS(AND(F369&gt;15,F369&lt;=30), "Youngsters", AND(F369&gt;30,F369&lt;=50), "Adults", AND(F369&gt;50,F369&lt;=70),"Old person", AND(F369&gt;70, F369&lt;92), "Senior Citizens")</f>
        <v>Senior Citizens</v>
      </c>
      <c r="Q369" t="str" cm="1">
        <f t="array" ref="Q369">_xlfn.IFS(G369=0,"No Tenure Period",AND(G369&gt;0,G369&lt;=3),"Less Tenure Period",AND(G369&gt;3,G369&lt;=7),"More Tenure Period",AND(G369&gt;7,G369&lt;=10),"Large Tenure Period")</f>
        <v>Large Tenure Period</v>
      </c>
      <c r="R369" t="str" cm="1">
        <f t="array" ref="R369">_xlfn.IFS(AND(C369&gt;300,C369&lt;=525),"1 Star",AND(C369&gt;525,C369&lt;=600),"2 Star",AND(C369&gt;600,C369&lt;=700),"3 Star",AND(C369&gt;700,C369&lt;=750),"4 Star",AND(C369&gt;750,C369&lt;=900),"5 Star")</f>
        <v>3 Star</v>
      </c>
      <c r="S369" cm="1">
        <f t="array" ref="S369">_xlfn.IFS(E369="Male",1,E369="Female",2)</f>
        <v>2</v>
      </c>
      <c r="T369" cm="1">
        <f t="array" ref="T369">_xlfn.IFS(D369="France",1,D369="Germany",2,D369="Spain",3)</f>
        <v>1</v>
      </c>
    </row>
    <row r="370" spans="1:20" x14ac:dyDescent="0.3">
      <c r="A370">
        <v>370</v>
      </c>
      <c r="B370" t="s">
        <v>21</v>
      </c>
      <c r="C370" s="5">
        <v>481</v>
      </c>
      <c r="D370" t="s">
        <v>22</v>
      </c>
      <c r="E370" t="s">
        <v>26</v>
      </c>
      <c r="F370">
        <v>35</v>
      </c>
      <c r="G370" s="5">
        <v>7</v>
      </c>
      <c r="H370" s="4">
        <v>121359.53</v>
      </c>
      <c r="I370" s="5">
        <v>3</v>
      </c>
      <c r="J370">
        <v>0</v>
      </c>
      <c r="K370">
        <v>0</v>
      </c>
      <c r="L370" s="4">
        <v>50215.32</v>
      </c>
      <c r="M370">
        <v>1</v>
      </c>
      <c r="N370" s="4">
        <f t="shared" si="10"/>
        <v>-9.7666969946920645E-2</v>
      </c>
      <c r="O370" s="4">
        <f t="shared" si="11"/>
        <v>-0.78208482229148324</v>
      </c>
      <c r="P370" t="str" cm="1">
        <f t="array" ref="P370">_xlfn.IFS(AND(F370&gt;15,F370&lt;=30), "Youngsters", AND(F370&gt;30,F370&lt;=50), "Adults", AND(F370&gt;50,F370&lt;=70),"Old person", AND(F370&gt;70, F370&lt;92), "Senior Citizens")</f>
        <v>Adults</v>
      </c>
      <c r="Q370" t="str" cm="1">
        <f t="array" ref="Q370">_xlfn.IFS(G370=0,"No Tenure Period",AND(G370&gt;0,G370&lt;=3),"Less Tenure Period",AND(G370&gt;3,G370&lt;=7),"More Tenure Period",AND(G370&gt;7,G370&lt;=10),"Large Tenure Period")</f>
        <v>More Tenure Period</v>
      </c>
      <c r="R370" t="str" cm="1">
        <f t="array" ref="R370">_xlfn.IFS(AND(C370&gt;300,C370&lt;=525),"1 Star",AND(C370&gt;525,C370&lt;=600),"2 Star",AND(C370&gt;600,C370&lt;=700),"3 Star",AND(C370&gt;700,C370&lt;=750),"4 Star",AND(C370&gt;750,C370&lt;=900),"5 Star")</f>
        <v>1 Star</v>
      </c>
      <c r="S370" cm="1">
        <f t="array" ref="S370">_xlfn.IFS(E370="Male",1,E370="Female",2)</f>
        <v>2</v>
      </c>
      <c r="T370" cm="1">
        <f t="array" ref="T370">_xlfn.IFS(D370="France",1,D370="Germany",2,D370="Spain",3)</f>
        <v>2</v>
      </c>
    </row>
    <row r="371" spans="1:20" x14ac:dyDescent="0.3">
      <c r="A371">
        <v>371</v>
      </c>
      <c r="B371" t="s">
        <v>12</v>
      </c>
      <c r="C371" s="5">
        <v>411</v>
      </c>
      <c r="D371" t="s">
        <v>22</v>
      </c>
      <c r="E371" t="s">
        <v>26</v>
      </c>
      <c r="F371">
        <v>25</v>
      </c>
      <c r="G371" s="5">
        <v>6</v>
      </c>
      <c r="H371" s="4">
        <v>221855.45</v>
      </c>
      <c r="I371" s="5">
        <v>3</v>
      </c>
      <c r="J371">
        <v>0</v>
      </c>
      <c r="K371">
        <v>1</v>
      </c>
      <c r="L371" s="4">
        <v>27505.16</v>
      </c>
      <c r="M371">
        <v>0</v>
      </c>
      <c r="N371" s="4">
        <f t="shared" si="10"/>
        <v>1.2986430100598685</v>
      </c>
      <c r="O371" s="4">
        <f t="shared" si="11"/>
        <v>-1.3370380427357922</v>
      </c>
      <c r="P371" t="str" cm="1">
        <f t="array" ref="P371">_xlfn.IFS(AND(F371&gt;15,F371&lt;=30), "Youngsters", AND(F371&gt;30,F371&lt;=50), "Adults", AND(F371&gt;50,F371&lt;=70),"Old person", AND(F371&gt;70, F371&lt;92), "Senior Citizens")</f>
        <v>Youngsters</v>
      </c>
      <c r="Q371" t="str" cm="1">
        <f t="array" ref="Q371">_xlfn.IFS(G371=0,"No Tenure Period",AND(G371&gt;0,G371&lt;=3),"Less Tenure Period",AND(G371&gt;3,G371&lt;=7),"More Tenure Period",AND(G371&gt;7,G371&lt;=10),"Large Tenure Period")</f>
        <v>More Tenure Period</v>
      </c>
      <c r="R371" t="str" cm="1">
        <f t="array" ref="R371">_xlfn.IFS(AND(C371&gt;300,C371&lt;=525),"1 Star",AND(C371&gt;525,C371&lt;=600),"2 Star",AND(C371&gt;600,C371&lt;=700),"3 Star",AND(C371&gt;700,C371&lt;=750),"4 Star",AND(C371&gt;750,C371&lt;=900),"5 Star")</f>
        <v>1 Star</v>
      </c>
      <c r="S371" cm="1">
        <f t="array" ref="S371">_xlfn.IFS(E371="Male",1,E371="Female",2)</f>
        <v>2</v>
      </c>
      <c r="T371" cm="1">
        <f t="array" ref="T371">_xlfn.IFS(D371="France",1,D371="Germany",2,D371="Spain",3)</f>
        <v>2</v>
      </c>
    </row>
    <row r="372" spans="1:20" x14ac:dyDescent="0.3">
      <c r="A372">
        <v>372</v>
      </c>
      <c r="B372" t="s">
        <v>16</v>
      </c>
      <c r="C372" s="5">
        <v>673</v>
      </c>
      <c r="D372" t="s">
        <v>24</v>
      </c>
      <c r="E372" t="s">
        <v>25</v>
      </c>
      <c r="F372">
        <v>44</v>
      </c>
      <c r="G372" s="5">
        <v>0</v>
      </c>
      <c r="H372" s="4">
        <v>42307.27</v>
      </c>
      <c r="I372" s="5">
        <v>4</v>
      </c>
      <c r="J372">
        <v>1</v>
      </c>
      <c r="K372">
        <v>0</v>
      </c>
      <c r="L372" s="4">
        <v>91193.31</v>
      </c>
      <c r="M372">
        <v>1</v>
      </c>
      <c r="N372" s="4">
        <f t="shared" si="10"/>
        <v>-1.1960345412880409</v>
      </c>
      <c r="O372" s="4">
        <f t="shared" si="11"/>
        <v>0.21926732660727788</v>
      </c>
      <c r="P372" t="str" cm="1">
        <f t="array" ref="P372">_xlfn.IFS(AND(F372&gt;15,F372&lt;=30), "Youngsters", AND(F372&gt;30,F372&lt;=50), "Adults", AND(F372&gt;50,F372&lt;=70),"Old person", AND(F372&gt;70, F372&lt;92), "Senior Citizens")</f>
        <v>Adults</v>
      </c>
      <c r="Q372" t="str" cm="1">
        <f t="array" ref="Q372">_xlfn.IFS(G372=0,"No Tenure Period",AND(G372&gt;0,G372&lt;=3),"Less Tenure Period",AND(G372&gt;3,G372&lt;=7),"More Tenure Period",AND(G372&gt;7,G372&lt;=10),"Large Tenure Period")</f>
        <v>No Tenure Period</v>
      </c>
      <c r="R372" t="str" cm="1">
        <f t="array" ref="R372">_xlfn.IFS(AND(C372&gt;300,C372&lt;=525),"1 Star",AND(C372&gt;525,C372&lt;=600),"2 Star",AND(C372&gt;600,C372&lt;=700),"3 Star",AND(C372&gt;700,C372&lt;=750),"4 Star",AND(C372&gt;750,C372&lt;=900),"5 Star")</f>
        <v>3 Star</v>
      </c>
      <c r="S372" cm="1">
        <f t="array" ref="S372">_xlfn.IFS(E372="Male",1,E372="Female",2)</f>
        <v>1</v>
      </c>
      <c r="T372" cm="1">
        <f t="array" ref="T372">_xlfn.IFS(D372="France",1,D372="Germany",2,D372="Spain",3)</f>
        <v>1</v>
      </c>
    </row>
    <row r="373" spans="1:20" x14ac:dyDescent="0.3">
      <c r="A373">
        <v>373</v>
      </c>
      <c r="B373" t="s">
        <v>15</v>
      </c>
      <c r="C373" s="5">
        <v>494</v>
      </c>
      <c r="D373" t="s">
        <v>23</v>
      </c>
      <c r="E373" t="s">
        <v>26</v>
      </c>
      <c r="F373">
        <v>35</v>
      </c>
      <c r="G373" s="5">
        <v>5</v>
      </c>
      <c r="H373" s="4">
        <v>60811.89</v>
      </c>
      <c r="I373" s="5">
        <v>1</v>
      </c>
      <c r="J373">
        <v>1</v>
      </c>
      <c r="K373">
        <v>0</v>
      </c>
      <c r="L373" s="4">
        <v>135514.51</v>
      </c>
      <c r="M373">
        <v>0</v>
      </c>
      <c r="N373" s="4">
        <f t="shared" si="10"/>
        <v>-0.93892772956639836</v>
      </c>
      <c r="O373" s="4">
        <f t="shared" si="11"/>
        <v>1.3023152960604352</v>
      </c>
      <c r="P373" t="str" cm="1">
        <f t="array" ref="P373">_xlfn.IFS(AND(F373&gt;15,F373&lt;=30), "Youngsters", AND(F373&gt;30,F373&lt;=50), "Adults", AND(F373&gt;50,F373&lt;=70),"Old person", AND(F373&gt;70, F373&lt;92), "Senior Citizens")</f>
        <v>Adults</v>
      </c>
      <c r="Q373" t="str" cm="1">
        <f t="array" ref="Q373">_xlfn.IFS(G373=0,"No Tenure Period",AND(G373&gt;0,G373&lt;=3),"Less Tenure Period",AND(G373&gt;3,G373&lt;=7),"More Tenure Period",AND(G373&gt;7,G373&lt;=10),"Large Tenure Period")</f>
        <v>More Tenure Period</v>
      </c>
      <c r="R373" t="str" cm="1">
        <f t="array" ref="R373">_xlfn.IFS(AND(C373&gt;300,C373&lt;=525),"1 Star",AND(C373&gt;525,C373&lt;=600),"2 Star",AND(C373&gt;600,C373&lt;=700),"3 Star",AND(C373&gt;700,C373&lt;=750),"4 Star",AND(C373&gt;750,C373&lt;=900),"5 Star")</f>
        <v>1 Star</v>
      </c>
      <c r="S373" cm="1">
        <f t="array" ref="S373">_xlfn.IFS(E373="Male",1,E373="Female",2)</f>
        <v>2</v>
      </c>
      <c r="T373" cm="1">
        <f t="array" ref="T373">_xlfn.IFS(D373="France",1,D373="Germany",2,D373="Spain",3)</f>
        <v>3</v>
      </c>
    </row>
    <row r="374" spans="1:20" x14ac:dyDescent="0.3">
      <c r="A374">
        <v>374</v>
      </c>
      <c r="B374" t="s">
        <v>21</v>
      </c>
      <c r="C374" s="5">
        <v>718</v>
      </c>
      <c r="D374" t="s">
        <v>23</v>
      </c>
      <c r="E374" t="s">
        <v>26</v>
      </c>
      <c r="F374">
        <v>86</v>
      </c>
      <c r="G374" s="5">
        <v>2</v>
      </c>
      <c r="H374" s="4">
        <v>117910.43</v>
      </c>
      <c r="I374" s="5">
        <v>4</v>
      </c>
      <c r="J374">
        <v>1</v>
      </c>
      <c r="K374">
        <v>0</v>
      </c>
      <c r="L374" s="4">
        <v>96850.83</v>
      </c>
      <c r="M374">
        <v>0</v>
      </c>
      <c r="N374" s="4">
        <f t="shared" si="10"/>
        <v>-0.14558944035210153</v>
      </c>
      <c r="O374" s="4">
        <f t="shared" si="11"/>
        <v>0.35751641616578778</v>
      </c>
      <c r="P374" t="str" cm="1">
        <f t="array" ref="P374">_xlfn.IFS(AND(F374&gt;15,F374&lt;=30), "Youngsters", AND(F374&gt;30,F374&lt;=50), "Adults", AND(F374&gt;50,F374&lt;=70),"Old person", AND(F374&gt;70, F374&lt;92), "Senior Citizens")</f>
        <v>Senior Citizens</v>
      </c>
      <c r="Q374" t="str" cm="1">
        <f t="array" ref="Q374">_xlfn.IFS(G374=0,"No Tenure Period",AND(G374&gt;0,G374&lt;=3),"Less Tenure Period",AND(G374&gt;3,G374&lt;=7),"More Tenure Period",AND(G374&gt;7,G374&lt;=10),"Large Tenure Period")</f>
        <v>Less Tenure Period</v>
      </c>
      <c r="R374" t="str" cm="1">
        <f t="array" ref="R374">_xlfn.IFS(AND(C374&gt;300,C374&lt;=525),"1 Star",AND(C374&gt;525,C374&lt;=600),"2 Star",AND(C374&gt;600,C374&lt;=700),"3 Star",AND(C374&gt;700,C374&lt;=750),"4 Star",AND(C374&gt;750,C374&lt;=900),"5 Star")</f>
        <v>4 Star</v>
      </c>
      <c r="S374" cm="1">
        <f t="array" ref="S374">_xlfn.IFS(E374="Male",1,E374="Female",2)</f>
        <v>2</v>
      </c>
      <c r="T374" cm="1">
        <f t="array" ref="T374">_xlfn.IFS(D374="France",1,D374="Germany",2,D374="Spain",3)</f>
        <v>3</v>
      </c>
    </row>
    <row r="375" spans="1:20" x14ac:dyDescent="0.3">
      <c r="A375">
        <v>375</v>
      </c>
      <c r="B375" t="s">
        <v>14</v>
      </c>
      <c r="C375" s="5">
        <v>807</v>
      </c>
      <c r="D375" t="s">
        <v>23</v>
      </c>
      <c r="E375" t="s">
        <v>25</v>
      </c>
      <c r="F375">
        <v>61</v>
      </c>
      <c r="G375" s="5">
        <v>10</v>
      </c>
      <c r="H375" s="4">
        <v>33943.949999999997</v>
      </c>
      <c r="I375" s="5">
        <v>2</v>
      </c>
      <c r="J375">
        <v>1</v>
      </c>
      <c r="K375">
        <v>1</v>
      </c>
      <c r="L375" s="4">
        <v>70802.91</v>
      </c>
      <c r="M375">
        <v>0</v>
      </c>
      <c r="N375" s="4">
        <f t="shared" si="10"/>
        <v>-1.3122361461093148</v>
      </c>
      <c r="O375" s="4">
        <f t="shared" si="11"/>
        <v>-0.27899944677290239</v>
      </c>
      <c r="P375" t="str" cm="1">
        <f t="array" ref="P375">_xlfn.IFS(AND(F375&gt;15,F375&lt;=30), "Youngsters", AND(F375&gt;30,F375&lt;=50), "Adults", AND(F375&gt;50,F375&lt;=70),"Old person", AND(F375&gt;70, F375&lt;92), "Senior Citizens")</f>
        <v>Old person</v>
      </c>
      <c r="Q375" t="str" cm="1">
        <f t="array" ref="Q375">_xlfn.IFS(G375=0,"No Tenure Period",AND(G375&gt;0,G375&lt;=3),"Less Tenure Period",AND(G375&gt;3,G375&lt;=7),"More Tenure Period",AND(G375&gt;7,G375&lt;=10),"Large Tenure Period")</f>
        <v>Large Tenure Period</v>
      </c>
      <c r="R375" t="str" cm="1">
        <f t="array" ref="R375">_xlfn.IFS(AND(C375&gt;300,C375&lt;=525),"1 Star",AND(C375&gt;525,C375&lt;=600),"2 Star",AND(C375&gt;600,C375&lt;=700),"3 Star",AND(C375&gt;700,C375&lt;=750),"4 Star",AND(C375&gt;750,C375&lt;=900),"5 Star")</f>
        <v>5 Star</v>
      </c>
      <c r="S375" cm="1">
        <f t="array" ref="S375">_xlfn.IFS(E375="Male",1,E375="Female",2)</f>
        <v>1</v>
      </c>
      <c r="T375" cm="1">
        <f t="array" ref="T375">_xlfn.IFS(D375="France",1,D375="Germany",2,D375="Spain",3)</f>
        <v>3</v>
      </c>
    </row>
    <row r="376" spans="1:20" x14ac:dyDescent="0.3">
      <c r="A376">
        <v>376</v>
      </c>
      <c r="B376" t="s">
        <v>12</v>
      </c>
      <c r="C376" s="5">
        <v>434</v>
      </c>
      <c r="D376" t="s">
        <v>24</v>
      </c>
      <c r="E376" t="s">
        <v>25</v>
      </c>
      <c r="F376">
        <v>65</v>
      </c>
      <c r="G376" s="5">
        <v>6</v>
      </c>
      <c r="H376" s="4">
        <v>90083.5</v>
      </c>
      <c r="I376" s="5">
        <v>1</v>
      </c>
      <c r="J376">
        <v>0</v>
      </c>
      <c r="K376">
        <v>1</v>
      </c>
      <c r="L376" s="4">
        <v>97501.27</v>
      </c>
      <c r="M376">
        <v>0</v>
      </c>
      <c r="N376" s="4">
        <f t="shared" si="10"/>
        <v>-0.53222225163389592</v>
      </c>
      <c r="O376" s="4">
        <f t="shared" si="11"/>
        <v>0.3734107899925595</v>
      </c>
      <c r="P376" t="str" cm="1">
        <f t="array" ref="P376">_xlfn.IFS(AND(F376&gt;15,F376&lt;=30), "Youngsters", AND(F376&gt;30,F376&lt;=50), "Adults", AND(F376&gt;50,F376&lt;=70),"Old person", AND(F376&gt;70, F376&lt;92), "Senior Citizens")</f>
        <v>Old person</v>
      </c>
      <c r="Q376" t="str" cm="1">
        <f t="array" ref="Q376">_xlfn.IFS(G376=0,"No Tenure Period",AND(G376&gt;0,G376&lt;=3),"Less Tenure Period",AND(G376&gt;3,G376&lt;=7),"More Tenure Period",AND(G376&gt;7,G376&lt;=10),"Large Tenure Period")</f>
        <v>More Tenure Period</v>
      </c>
      <c r="R376" t="str" cm="1">
        <f t="array" ref="R376">_xlfn.IFS(AND(C376&gt;300,C376&lt;=525),"1 Star",AND(C376&gt;525,C376&lt;=600),"2 Star",AND(C376&gt;600,C376&lt;=700),"3 Star",AND(C376&gt;700,C376&lt;=750),"4 Star",AND(C376&gt;750,C376&lt;=900),"5 Star")</f>
        <v>1 Star</v>
      </c>
      <c r="S376" cm="1">
        <f t="array" ref="S376">_xlfn.IFS(E376="Male",1,E376="Female",2)</f>
        <v>1</v>
      </c>
      <c r="T376" cm="1">
        <f t="array" ref="T376">_xlfn.IFS(D376="France",1,D376="Germany",2,D376="Spain",3)</f>
        <v>1</v>
      </c>
    </row>
    <row r="377" spans="1:20" x14ac:dyDescent="0.3">
      <c r="A377">
        <v>377</v>
      </c>
      <c r="B377" t="s">
        <v>15</v>
      </c>
      <c r="C377" s="5">
        <v>466</v>
      </c>
      <c r="D377" t="s">
        <v>23</v>
      </c>
      <c r="E377" t="s">
        <v>26</v>
      </c>
      <c r="F377">
        <v>90</v>
      </c>
      <c r="G377" s="5">
        <v>8</v>
      </c>
      <c r="H377" s="4">
        <v>3890.93</v>
      </c>
      <c r="I377" s="5">
        <v>2</v>
      </c>
      <c r="J377">
        <v>0</v>
      </c>
      <c r="K377">
        <v>1</v>
      </c>
      <c r="L377" s="4">
        <v>112863.73</v>
      </c>
      <c r="M377">
        <v>1</v>
      </c>
      <c r="N377" s="4">
        <f t="shared" si="10"/>
        <v>-1.7297986875074496</v>
      </c>
      <c r="O377" s="4">
        <f t="shared" si="11"/>
        <v>0.74881310556175296</v>
      </c>
      <c r="P377" t="str" cm="1">
        <f t="array" ref="P377">_xlfn.IFS(AND(F377&gt;15,F377&lt;=30), "Youngsters", AND(F377&gt;30,F377&lt;=50), "Adults", AND(F377&gt;50,F377&lt;=70),"Old person", AND(F377&gt;70, F377&lt;92), "Senior Citizens")</f>
        <v>Senior Citizens</v>
      </c>
      <c r="Q377" t="str" cm="1">
        <f t="array" ref="Q377">_xlfn.IFS(G377=0,"No Tenure Period",AND(G377&gt;0,G377&lt;=3),"Less Tenure Period",AND(G377&gt;3,G377&lt;=7),"More Tenure Period",AND(G377&gt;7,G377&lt;=10),"Large Tenure Period")</f>
        <v>Large Tenure Period</v>
      </c>
      <c r="R377" t="str" cm="1">
        <f t="array" ref="R377">_xlfn.IFS(AND(C377&gt;300,C377&lt;=525),"1 Star",AND(C377&gt;525,C377&lt;=600),"2 Star",AND(C377&gt;600,C377&lt;=700),"3 Star",AND(C377&gt;700,C377&lt;=750),"4 Star",AND(C377&gt;750,C377&lt;=900),"5 Star")</f>
        <v>1 Star</v>
      </c>
      <c r="S377" cm="1">
        <f t="array" ref="S377">_xlfn.IFS(E377="Male",1,E377="Female",2)</f>
        <v>2</v>
      </c>
      <c r="T377" cm="1">
        <f t="array" ref="T377">_xlfn.IFS(D377="France",1,D377="Germany",2,D377="Spain",3)</f>
        <v>3</v>
      </c>
    </row>
    <row r="378" spans="1:20" x14ac:dyDescent="0.3">
      <c r="A378">
        <v>378</v>
      </c>
      <c r="B378" t="s">
        <v>14</v>
      </c>
      <c r="C378" s="5">
        <v>579</v>
      </c>
      <c r="D378" t="s">
        <v>22</v>
      </c>
      <c r="E378" t="s">
        <v>26</v>
      </c>
      <c r="F378">
        <v>76</v>
      </c>
      <c r="G378" s="5">
        <v>4</v>
      </c>
      <c r="H378" s="4">
        <v>200445.11</v>
      </c>
      <c r="I378" s="5">
        <v>1</v>
      </c>
      <c r="J378">
        <v>1</v>
      </c>
      <c r="K378">
        <v>1</v>
      </c>
      <c r="L378" s="4">
        <v>43482.28</v>
      </c>
      <c r="M378">
        <v>0</v>
      </c>
      <c r="N378" s="4">
        <f t="shared" si="10"/>
        <v>1.0011635559950807</v>
      </c>
      <c r="O378" s="4">
        <f t="shared" si="11"/>
        <v>-0.94661568563107878</v>
      </c>
      <c r="P378" t="str" cm="1">
        <f t="array" ref="P378">_xlfn.IFS(AND(F378&gt;15,F378&lt;=30), "Youngsters", AND(F378&gt;30,F378&lt;=50), "Adults", AND(F378&gt;50,F378&lt;=70),"Old person", AND(F378&gt;70, F378&lt;92), "Senior Citizens")</f>
        <v>Senior Citizens</v>
      </c>
      <c r="Q378" t="str" cm="1">
        <f t="array" ref="Q378">_xlfn.IFS(G378=0,"No Tenure Period",AND(G378&gt;0,G378&lt;=3),"Less Tenure Period",AND(G378&gt;3,G378&lt;=7),"More Tenure Period",AND(G378&gt;7,G378&lt;=10),"Large Tenure Period")</f>
        <v>More Tenure Period</v>
      </c>
      <c r="R378" t="str" cm="1">
        <f t="array" ref="R378">_xlfn.IFS(AND(C378&gt;300,C378&lt;=525),"1 Star",AND(C378&gt;525,C378&lt;=600),"2 Star",AND(C378&gt;600,C378&lt;=700),"3 Star",AND(C378&gt;700,C378&lt;=750),"4 Star",AND(C378&gt;750,C378&lt;=900),"5 Star")</f>
        <v>2 Star</v>
      </c>
      <c r="S378" cm="1">
        <f t="array" ref="S378">_xlfn.IFS(E378="Male",1,E378="Female",2)</f>
        <v>2</v>
      </c>
      <c r="T378" cm="1">
        <f t="array" ref="T378">_xlfn.IFS(D378="France",1,D378="Germany",2,D378="Spain",3)</f>
        <v>2</v>
      </c>
    </row>
    <row r="379" spans="1:20" x14ac:dyDescent="0.3">
      <c r="A379">
        <v>379</v>
      </c>
      <c r="B379" t="s">
        <v>19</v>
      </c>
      <c r="C379" s="5">
        <v>605</v>
      </c>
      <c r="D379" t="s">
        <v>23</v>
      </c>
      <c r="E379" t="s">
        <v>26</v>
      </c>
      <c r="F379">
        <v>45</v>
      </c>
      <c r="G379" s="5">
        <v>0</v>
      </c>
      <c r="H379" s="4">
        <v>25176.02</v>
      </c>
      <c r="I379" s="5">
        <v>1</v>
      </c>
      <c r="J379">
        <v>0</v>
      </c>
      <c r="K379">
        <v>1</v>
      </c>
      <c r="L379" s="4">
        <v>47799.89</v>
      </c>
      <c r="M379">
        <v>0</v>
      </c>
      <c r="N379" s="4">
        <f t="shared" si="10"/>
        <v>-1.4340594814546792</v>
      </c>
      <c r="O379" s="4">
        <f t="shared" si="11"/>
        <v>-0.84110909412654722</v>
      </c>
      <c r="P379" t="str" cm="1">
        <f t="array" ref="P379">_xlfn.IFS(AND(F379&gt;15,F379&lt;=30), "Youngsters", AND(F379&gt;30,F379&lt;=50), "Adults", AND(F379&gt;50,F379&lt;=70),"Old person", AND(F379&gt;70, F379&lt;92), "Senior Citizens")</f>
        <v>Adults</v>
      </c>
      <c r="Q379" t="str" cm="1">
        <f t="array" ref="Q379">_xlfn.IFS(G379=0,"No Tenure Period",AND(G379&gt;0,G379&lt;=3),"Less Tenure Period",AND(G379&gt;3,G379&lt;=7),"More Tenure Period",AND(G379&gt;7,G379&lt;=10),"Large Tenure Period")</f>
        <v>No Tenure Period</v>
      </c>
      <c r="R379" t="str" cm="1">
        <f t="array" ref="R379">_xlfn.IFS(AND(C379&gt;300,C379&lt;=525),"1 Star",AND(C379&gt;525,C379&lt;=600),"2 Star",AND(C379&gt;600,C379&lt;=700),"3 Star",AND(C379&gt;700,C379&lt;=750),"4 Star",AND(C379&gt;750,C379&lt;=900),"5 Star")</f>
        <v>3 Star</v>
      </c>
      <c r="S379" cm="1">
        <f t="array" ref="S379">_xlfn.IFS(E379="Male",1,E379="Female",2)</f>
        <v>2</v>
      </c>
      <c r="T379" cm="1">
        <f t="array" ref="T379">_xlfn.IFS(D379="France",1,D379="Germany",2,D379="Spain",3)</f>
        <v>3</v>
      </c>
    </row>
    <row r="380" spans="1:20" x14ac:dyDescent="0.3">
      <c r="A380">
        <v>380</v>
      </c>
      <c r="B380" t="s">
        <v>19</v>
      </c>
      <c r="C380" s="5">
        <v>662</v>
      </c>
      <c r="D380" t="s">
        <v>22</v>
      </c>
      <c r="E380" t="s">
        <v>25</v>
      </c>
      <c r="F380">
        <v>24</v>
      </c>
      <c r="G380" s="5">
        <v>3</v>
      </c>
      <c r="H380" s="4">
        <v>148964.49</v>
      </c>
      <c r="I380" s="5">
        <v>1</v>
      </c>
      <c r="J380">
        <v>1</v>
      </c>
      <c r="K380">
        <v>0</v>
      </c>
      <c r="L380" s="4">
        <v>134929.35</v>
      </c>
      <c r="M380">
        <v>1</v>
      </c>
      <c r="N380" s="4">
        <f t="shared" si="10"/>
        <v>0.28588174671429506</v>
      </c>
      <c r="O380" s="4">
        <f t="shared" si="11"/>
        <v>1.2880161265928844</v>
      </c>
      <c r="P380" t="str" cm="1">
        <f t="array" ref="P380">_xlfn.IFS(AND(F380&gt;15,F380&lt;=30), "Youngsters", AND(F380&gt;30,F380&lt;=50), "Adults", AND(F380&gt;50,F380&lt;=70),"Old person", AND(F380&gt;70, F380&lt;92), "Senior Citizens")</f>
        <v>Youngsters</v>
      </c>
      <c r="Q380" t="str" cm="1">
        <f t="array" ref="Q380">_xlfn.IFS(G380=0,"No Tenure Period",AND(G380&gt;0,G380&lt;=3),"Less Tenure Period",AND(G380&gt;3,G380&lt;=7),"More Tenure Period",AND(G380&gt;7,G380&lt;=10),"Large Tenure Period")</f>
        <v>Less Tenure Period</v>
      </c>
      <c r="R380" t="str" cm="1">
        <f t="array" ref="R380">_xlfn.IFS(AND(C380&gt;300,C380&lt;=525),"1 Star",AND(C380&gt;525,C380&lt;=600),"2 Star",AND(C380&gt;600,C380&lt;=700),"3 Star",AND(C380&gt;700,C380&lt;=750),"4 Star",AND(C380&gt;750,C380&lt;=900),"5 Star")</f>
        <v>3 Star</v>
      </c>
      <c r="S380" cm="1">
        <f t="array" ref="S380">_xlfn.IFS(E380="Male",1,E380="Female",2)</f>
        <v>1</v>
      </c>
      <c r="T380" cm="1">
        <f t="array" ref="T380">_xlfn.IFS(D380="France",1,D380="Germany",2,D380="Spain",3)</f>
        <v>2</v>
      </c>
    </row>
    <row r="381" spans="1:20" x14ac:dyDescent="0.3">
      <c r="A381">
        <v>381</v>
      </c>
      <c r="B381" t="s">
        <v>15</v>
      </c>
      <c r="C381" s="5">
        <v>668</v>
      </c>
      <c r="D381" t="s">
        <v>23</v>
      </c>
      <c r="E381" t="s">
        <v>26</v>
      </c>
      <c r="F381">
        <v>25</v>
      </c>
      <c r="G381" s="5">
        <v>10</v>
      </c>
      <c r="H381" s="4">
        <v>65557.83</v>
      </c>
      <c r="I381" s="5">
        <v>1</v>
      </c>
      <c r="J381">
        <v>1</v>
      </c>
      <c r="K381">
        <v>1</v>
      </c>
      <c r="L381" s="4">
        <v>119298.33</v>
      </c>
      <c r="M381">
        <v>1</v>
      </c>
      <c r="N381" s="4">
        <f t="shared" si="10"/>
        <v>-0.87298671040349674</v>
      </c>
      <c r="O381" s="4">
        <f t="shared" si="11"/>
        <v>0.906051187207631</v>
      </c>
      <c r="P381" t="str" cm="1">
        <f t="array" ref="P381">_xlfn.IFS(AND(F381&gt;15,F381&lt;=30), "Youngsters", AND(F381&gt;30,F381&lt;=50), "Adults", AND(F381&gt;50,F381&lt;=70),"Old person", AND(F381&gt;70, F381&lt;92), "Senior Citizens")</f>
        <v>Youngsters</v>
      </c>
      <c r="Q381" t="str" cm="1">
        <f t="array" ref="Q381">_xlfn.IFS(G381=0,"No Tenure Period",AND(G381&gt;0,G381&lt;=3),"Less Tenure Period",AND(G381&gt;3,G381&lt;=7),"More Tenure Period",AND(G381&gt;7,G381&lt;=10),"Large Tenure Period")</f>
        <v>Large Tenure Period</v>
      </c>
      <c r="R381" t="str" cm="1">
        <f t="array" ref="R381">_xlfn.IFS(AND(C381&gt;300,C381&lt;=525),"1 Star",AND(C381&gt;525,C381&lt;=600),"2 Star",AND(C381&gt;600,C381&lt;=700),"3 Star",AND(C381&gt;700,C381&lt;=750),"4 Star",AND(C381&gt;750,C381&lt;=900),"5 Star")</f>
        <v>3 Star</v>
      </c>
      <c r="S381" cm="1">
        <f t="array" ref="S381">_xlfn.IFS(E381="Male",1,E381="Female",2)</f>
        <v>2</v>
      </c>
      <c r="T381" cm="1">
        <f t="array" ref="T381">_xlfn.IFS(D381="France",1,D381="Germany",2,D381="Spain",3)</f>
        <v>3</v>
      </c>
    </row>
    <row r="382" spans="1:20" x14ac:dyDescent="0.3">
      <c r="A382">
        <v>382</v>
      </c>
      <c r="B382" t="s">
        <v>16</v>
      </c>
      <c r="C382" s="5">
        <v>790</v>
      </c>
      <c r="D382" t="s">
        <v>23</v>
      </c>
      <c r="E382" t="s">
        <v>25</v>
      </c>
      <c r="F382">
        <v>71</v>
      </c>
      <c r="G382" s="5">
        <v>4</v>
      </c>
      <c r="H382" s="4">
        <v>7503.74</v>
      </c>
      <c r="I382" s="5">
        <v>3</v>
      </c>
      <c r="J382">
        <v>1</v>
      </c>
      <c r="K382">
        <v>1</v>
      </c>
      <c r="L382" s="4">
        <v>111705.43</v>
      </c>
      <c r="M382">
        <v>1</v>
      </c>
      <c r="N382" s="4">
        <f t="shared" si="10"/>
        <v>-1.6796015983234474</v>
      </c>
      <c r="O382" s="4">
        <f t="shared" si="11"/>
        <v>0.72050849144892215</v>
      </c>
      <c r="P382" t="str" cm="1">
        <f t="array" ref="P382">_xlfn.IFS(AND(F382&gt;15,F382&lt;=30), "Youngsters", AND(F382&gt;30,F382&lt;=50), "Adults", AND(F382&gt;50,F382&lt;=70),"Old person", AND(F382&gt;70, F382&lt;92), "Senior Citizens")</f>
        <v>Senior Citizens</v>
      </c>
      <c r="Q382" t="str" cm="1">
        <f t="array" ref="Q382">_xlfn.IFS(G382=0,"No Tenure Period",AND(G382&gt;0,G382&lt;=3),"Less Tenure Period",AND(G382&gt;3,G382&lt;=7),"More Tenure Period",AND(G382&gt;7,G382&lt;=10),"Large Tenure Period")</f>
        <v>More Tenure Period</v>
      </c>
      <c r="R382" t="str" cm="1">
        <f t="array" ref="R382">_xlfn.IFS(AND(C382&gt;300,C382&lt;=525),"1 Star",AND(C382&gt;525,C382&lt;=600),"2 Star",AND(C382&gt;600,C382&lt;=700),"3 Star",AND(C382&gt;700,C382&lt;=750),"4 Star",AND(C382&gt;750,C382&lt;=900),"5 Star")</f>
        <v>5 Star</v>
      </c>
      <c r="S382" cm="1">
        <f t="array" ref="S382">_xlfn.IFS(E382="Male",1,E382="Female",2)</f>
        <v>1</v>
      </c>
      <c r="T382" cm="1">
        <f t="array" ref="T382">_xlfn.IFS(D382="France",1,D382="Germany",2,D382="Spain",3)</f>
        <v>3</v>
      </c>
    </row>
    <row r="383" spans="1:20" x14ac:dyDescent="0.3">
      <c r="A383">
        <v>383</v>
      </c>
      <c r="B383" t="s">
        <v>21</v>
      </c>
      <c r="C383" s="5">
        <v>398</v>
      </c>
      <c r="D383" t="s">
        <v>24</v>
      </c>
      <c r="E383" t="s">
        <v>26</v>
      </c>
      <c r="F383">
        <v>44</v>
      </c>
      <c r="G383" s="5">
        <v>1</v>
      </c>
      <c r="H383" s="4">
        <v>27423.79</v>
      </c>
      <c r="I383" s="5">
        <v>1</v>
      </c>
      <c r="J383">
        <v>1</v>
      </c>
      <c r="K383">
        <v>1</v>
      </c>
      <c r="L383" s="4">
        <v>103883.72</v>
      </c>
      <c r="M383">
        <v>1</v>
      </c>
      <c r="N383" s="4">
        <f t="shared" si="10"/>
        <v>-1.4028285251754604</v>
      </c>
      <c r="O383" s="4">
        <f t="shared" si="11"/>
        <v>0.52937451644031586</v>
      </c>
      <c r="P383" t="str" cm="1">
        <f t="array" ref="P383">_xlfn.IFS(AND(F383&gt;15,F383&lt;=30), "Youngsters", AND(F383&gt;30,F383&lt;=50), "Adults", AND(F383&gt;50,F383&lt;=70),"Old person", AND(F383&gt;70, F383&lt;92), "Senior Citizens")</f>
        <v>Adults</v>
      </c>
      <c r="Q383" t="str" cm="1">
        <f t="array" ref="Q383">_xlfn.IFS(G383=0,"No Tenure Period",AND(G383&gt;0,G383&lt;=3),"Less Tenure Period",AND(G383&gt;3,G383&lt;=7),"More Tenure Period",AND(G383&gt;7,G383&lt;=10),"Large Tenure Period")</f>
        <v>Less Tenure Period</v>
      </c>
      <c r="R383" t="str" cm="1">
        <f t="array" ref="R383">_xlfn.IFS(AND(C383&gt;300,C383&lt;=525),"1 Star",AND(C383&gt;525,C383&lt;=600),"2 Star",AND(C383&gt;600,C383&lt;=700),"3 Star",AND(C383&gt;700,C383&lt;=750),"4 Star",AND(C383&gt;750,C383&lt;=900),"5 Star")</f>
        <v>1 Star</v>
      </c>
      <c r="S383" cm="1">
        <f t="array" ref="S383">_xlfn.IFS(E383="Male",1,E383="Female",2)</f>
        <v>2</v>
      </c>
      <c r="T383" cm="1">
        <f t="array" ref="T383">_xlfn.IFS(D383="France",1,D383="Germany",2,D383="Spain",3)</f>
        <v>1</v>
      </c>
    </row>
    <row r="384" spans="1:20" x14ac:dyDescent="0.3">
      <c r="A384">
        <v>384</v>
      </c>
      <c r="B384" t="s">
        <v>16</v>
      </c>
      <c r="C384" s="5">
        <v>495</v>
      </c>
      <c r="D384" t="s">
        <v>22</v>
      </c>
      <c r="E384" t="s">
        <v>25</v>
      </c>
      <c r="F384">
        <v>55</v>
      </c>
      <c r="G384" s="5">
        <v>8</v>
      </c>
      <c r="H384" s="4">
        <v>174803.79</v>
      </c>
      <c r="I384" s="5">
        <v>1</v>
      </c>
      <c r="J384">
        <v>1</v>
      </c>
      <c r="K384">
        <v>1</v>
      </c>
      <c r="L384" s="4">
        <v>82707.83</v>
      </c>
      <c r="M384">
        <v>1</v>
      </c>
      <c r="N384" s="4">
        <f t="shared" si="10"/>
        <v>0.64489803778749932</v>
      </c>
      <c r="O384" s="4">
        <f t="shared" si="11"/>
        <v>1.1913241342542938E-2</v>
      </c>
      <c r="P384" t="str" cm="1">
        <f t="array" ref="P384">_xlfn.IFS(AND(F384&gt;15,F384&lt;=30), "Youngsters", AND(F384&gt;30,F384&lt;=50), "Adults", AND(F384&gt;50,F384&lt;=70),"Old person", AND(F384&gt;70, F384&lt;92), "Senior Citizens")</f>
        <v>Old person</v>
      </c>
      <c r="Q384" t="str" cm="1">
        <f t="array" ref="Q384">_xlfn.IFS(G384=0,"No Tenure Period",AND(G384&gt;0,G384&lt;=3),"Less Tenure Period",AND(G384&gt;3,G384&lt;=7),"More Tenure Period",AND(G384&gt;7,G384&lt;=10),"Large Tenure Period")</f>
        <v>Large Tenure Period</v>
      </c>
      <c r="R384" t="str" cm="1">
        <f t="array" ref="R384">_xlfn.IFS(AND(C384&gt;300,C384&lt;=525),"1 Star",AND(C384&gt;525,C384&lt;=600),"2 Star",AND(C384&gt;600,C384&lt;=700),"3 Star",AND(C384&gt;700,C384&lt;=750),"4 Star",AND(C384&gt;750,C384&lt;=900),"5 Star")</f>
        <v>1 Star</v>
      </c>
      <c r="S384" cm="1">
        <f t="array" ref="S384">_xlfn.IFS(E384="Male",1,E384="Female",2)</f>
        <v>1</v>
      </c>
      <c r="T384" cm="1">
        <f t="array" ref="T384">_xlfn.IFS(D384="France",1,D384="Germany",2,D384="Spain",3)</f>
        <v>2</v>
      </c>
    </row>
    <row r="385" spans="1:20" x14ac:dyDescent="0.3">
      <c r="A385">
        <v>385</v>
      </c>
      <c r="B385" t="s">
        <v>19</v>
      </c>
      <c r="C385" s="5">
        <v>723</v>
      </c>
      <c r="D385" t="s">
        <v>22</v>
      </c>
      <c r="E385" t="s">
        <v>25</v>
      </c>
      <c r="F385">
        <v>67</v>
      </c>
      <c r="G385" s="5">
        <v>2</v>
      </c>
      <c r="H385" s="4">
        <v>222765.58</v>
      </c>
      <c r="I385" s="5">
        <v>2</v>
      </c>
      <c r="J385">
        <v>1</v>
      </c>
      <c r="K385">
        <v>1</v>
      </c>
      <c r="L385" s="4">
        <v>60737.81</v>
      </c>
      <c r="M385">
        <v>0</v>
      </c>
      <c r="N385" s="4">
        <f t="shared" si="10"/>
        <v>1.3112885343966132</v>
      </c>
      <c r="O385" s="4">
        <f t="shared" si="11"/>
        <v>-0.52495366546154298</v>
      </c>
      <c r="P385" t="str" cm="1">
        <f t="array" ref="P385">_xlfn.IFS(AND(F385&gt;15,F385&lt;=30), "Youngsters", AND(F385&gt;30,F385&lt;=50), "Adults", AND(F385&gt;50,F385&lt;=70),"Old person", AND(F385&gt;70, F385&lt;92), "Senior Citizens")</f>
        <v>Old person</v>
      </c>
      <c r="Q385" t="str" cm="1">
        <f t="array" ref="Q385">_xlfn.IFS(G385=0,"No Tenure Period",AND(G385&gt;0,G385&lt;=3),"Less Tenure Period",AND(G385&gt;3,G385&lt;=7),"More Tenure Period",AND(G385&gt;7,G385&lt;=10),"Large Tenure Period")</f>
        <v>Less Tenure Period</v>
      </c>
      <c r="R385" t="str" cm="1">
        <f t="array" ref="R385">_xlfn.IFS(AND(C385&gt;300,C385&lt;=525),"1 Star",AND(C385&gt;525,C385&lt;=600),"2 Star",AND(C385&gt;600,C385&lt;=700),"3 Star",AND(C385&gt;700,C385&lt;=750),"4 Star",AND(C385&gt;750,C385&lt;=900),"5 Star")</f>
        <v>4 Star</v>
      </c>
      <c r="S385" cm="1">
        <f t="array" ref="S385">_xlfn.IFS(E385="Male",1,E385="Female",2)</f>
        <v>1</v>
      </c>
      <c r="T385" cm="1">
        <f t="array" ref="T385">_xlfn.IFS(D385="France",1,D385="Germany",2,D385="Spain",3)</f>
        <v>2</v>
      </c>
    </row>
    <row r="386" spans="1:20" x14ac:dyDescent="0.3">
      <c r="A386">
        <v>386</v>
      </c>
      <c r="B386" t="s">
        <v>13</v>
      </c>
      <c r="C386" s="5">
        <v>791</v>
      </c>
      <c r="D386" t="s">
        <v>22</v>
      </c>
      <c r="E386" t="s">
        <v>25</v>
      </c>
      <c r="F386">
        <v>38</v>
      </c>
      <c r="G386" s="5">
        <v>8</v>
      </c>
      <c r="H386" s="4">
        <v>13669.44</v>
      </c>
      <c r="I386" s="5">
        <v>2</v>
      </c>
      <c r="J386">
        <v>1</v>
      </c>
      <c r="K386">
        <v>1</v>
      </c>
      <c r="L386" s="4">
        <v>64850.98</v>
      </c>
      <c r="M386">
        <v>0</v>
      </c>
      <c r="N386" s="4">
        <f t="shared" ref="N386:N449" si="12">(H386-$X$4)/$X$7</f>
        <v>-1.5939341558667999</v>
      </c>
      <c r="O386" s="4">
        <f t="shared" ref="O386:O449" si="13">(L386-$Y$5)/$Y$8</f>
        <v>-0.42444283956974294</v>
      </c>
      <c r="P386" t="str" cm="1">
        <f t="array" ref="P386">_xlfn.IFS(AND(F386&gt;15,F386&lt;=30), "Youngsters", AND(F386&gt;30,F386&lt;=50), "Adults", AND(F386&gt;50,F386&lt;=70),"Old person", AND(F386&gt;70, F386&lt;92), "Senior Citizens")</f>
        <v>Adults</v>
      </c>
      <c r="Q386" t="str" cm="1">
        <f t="array" ref="Q386">_xlfn.IFS(G386=0,"No Tenure Period",AND(G386&gt;0,G386&lt;=3),"Less Tenure Period",AND(G386&gt;3,G386&lt;=7),"More Tenure Period",AND(G386&gt;7,G386&lt;=10),"Large Tenure Period")</f>
        <v>Large Tenure Period</v>
      </c>
      <c r="R386" t="str" cm="1">
        <f t="array" ref="R386">_xlfn.IFS(AND(C386&gt;300,C386&lt;=525),"1 Star",AND(C386&gt;525,C386&lt;=600),"2 Star",AND(C386&gt;600,C386&lt;=700),"3 Star",AND(C386&gt;700,C386&lt;=750),"4 Star",AND(C386&gt;750,C386&lt;=900),"5 Star")</f>
        <v>5 Star</v>
      </c>
      <c r="S386" cm="1">
        <f t="array" ref="S386">_xlfn.IFS(E386="Male",1,E386="Female",2)</f>
        <v>1</v>
      </c>
      <c r="T386" cm="1">
        <f t="array" ref="T386">_xlfn.IFS(D386="France",1,D386="Germany",2,D386="Spain",3)</f>
        <v>2</v>
      </c>
    </row>
    <row r="387" spans="1:20" x14ac:dyDescent="0.3">
      <c r="A387">
        <v>387</v>
      </c>
      <c r="B387" t="s">
        <v>14</v>
      </c>
      <c r="C387" s="5">
        <v>359</v>
      </c>
      <c r="D387" t="s">
        <v>23</v>
      </c>
      <c r="E387" t="s">
        <v>26</v>
      </c>
      <c r="F387">
        <v>74</v>
      </c>
      <c r="G387" s="5">
        <v>9</v>
      </c>
      <c r="H387" s="4">
        <v>70359.16</v>
      </c>
      <c r="I387" s="5">
        <v>3</v>
      </c>
      <c r="J387">
        <v>0</v>
      </c>
      <c r="K387">
        <v>1</v>
      </c>
      <c r="L387" s="4">
        <v>21108.79</v>
      </c>
      <c r="M387">
        <v>0</v>
      </c>
      <c r="N387" s="4">
        <f t="shared" si="12"/>
        <v>-0.80627609174051029</v>
      </c>
      <c r="O387" s="4">
        <f t="shared" si="13"/>
        <v>-1.4933419230542648</v>
      </c>
      <c r="P387" t="str" cm="1">
        <f t="array" ref="P387">_xlfn.IFS(AND(F387&gt;15,F387&lt;=30), "Youngsters", AND(F387&gt;30,F387&lt;=50), "Adults", AND(F387&gt;50,F387&lt;=70),"Old person", AND(F387&gt;70, F387&lt;92), "Senior Citizens")</f>
        <v>Senior Citizens</v>
      </c>
      <c r="Q387" t="str" cm="1">
        <f t="array" ref="Q387">_xlfn.IFS(G387=0,"No Tenure Period",AND(G387&gt;0,G387&lt;=3),"Less Tenure Period",AND(G387&gt;3,G387&lt;=7),"More Tenure Period",AND(G387&gt;7,G387&lt;=10),"Large Tenure Period")</f>
        <v>Large Tenure Period</v>
      </c>
      <c r="R387" t="str" cm="1">
        <f t="array" ref="R387">_xlfn.IFS(AND(C387&gt;300,C387&lt;=525),"1 Star",AND(C387&gt;525,C387&lt;=600),"2 Star",AND(C387&gt;600,C387&lt;=700),"3 Star",AND(C387&gt;700,C387&lt;=750),"4 Star",AND(C387&gt;750,C387&lt;=900),"5 Star")</f>
        <v>1 Star</v>
      </c>
      <c r="S387" cm="1">
        <f t="array" ref="S387">_xlfn.IFS(E387="Male",1,E387="Female",2)</f>
        <v>2</v>
      </c>
      <c r="T387" cm="1">
        <f t="array" ref="T387">_xlfn.IFS(D387="France",1,D387="Germany",2,D387="Spain",3)</f>
        <v>3</v>
      </c>
    </row>
    <row r="388" spans="1:20" x14ac:dyDescent="0.3">
      <c r="A388">
        <v>388</v>
      </c>
      <c r="B388" t="s">
        <v>20</v>
      </c>
      <c r="C388" s="5">
        <v>842</v>
      </c>
      <c r="D388" t="s">
        <v>23</v>
      </c>
      <c r="E388" t="s">
        <v>26</v>
      </c>
      <c r="F388">
        <v>79</v>
      </c>
      <c r="G388" s="5">
        <v>8</v>
      </c>
      <c r="H388" s="4">
        <v>99607.93</v>
      </c>
      <c r="I388" s="5">
        <v>1</v>
      </c>
      <c r="J388">
        <v>1</v>
      </c>
      <c r="K388">
        <v>1</v>
      </c>
      <c r="L388" s="4">
        <v>134066.89000000001</v>
      </c>
      <c r="M388">
        <v>0</v>
      </c>
      <c r="N388" s="4">
        <f t="shared" si="12"/>
        <v>-0.39988795723790399</v>
      </c>
      <c r="O388" s="4">
        <f t="shared" si="13"/>
        <v>1.2669407596864251</v>
      </c>
      <c r="P388" t="str" cm="1">
        <f t="array" ref="P388">_xlfn.IFS(AND(F388&gt;15,F388&lt;=30), "Youngsters", AND(F388&gt;30,F388&lt;=50), "Adults", AND(F388&gt;50,F388&lt;=70),"Old person", AND(F388&gt;70, F388&lt;92), "Senior Citizens")</f>
        <v>Senior Citizens</v>
      </c>
      <c r="Q388" t="str" cm="1">
        <f t="array" ref="Q388">_xlfn.IFS(G388=0,"No Tenure Period",AND(G388&gt;0,G388&lt;=3),"Less Tenure Period",AND(G388&gt;3,G388&lt;=7),"More Tenure Period",AND(G388&gt;7,G388&lt;=10),"Large Tenure Period")</f>
        <v>Large Tenure Period</v>
      </c>
      <c r="R388" t="str" cm="1">
        <f t="array" ref="R388">_xlfn.IFS(AND(C388&gt;300,C388&lt;=525),"1 Star",AND(C388&gt;525,C388&lt;=600),"2 Star",AND(C388&gt;600,C388&lt;=700),"3 Star",AND(C388&gt;700,C388&lt;=750),"4 Star",AND(C388&gt;750,C388&lt;=900),"5 Star")</f>
        <v>5 Star</v>
      </c>
      <c r="S388" cm="1">
        <f t="array" ref="S388">_xlfn.IFS(E388="Male",1,E388="Female",2)</f>
        <v>2</v>
      </c>
      <c r="T388" cm="1">
        <f t="array" ref="T388">_xlfn.IFS(D388="France",1,D388="Germany",2,D388="Spain",3)</f>
        <v>3</v>
      </c>
    </row>
    <row r="389" spans="1:20" x14ac:dyDescent="0.3">
      <c r="A389">
        <v>389</v>
      </c>
      <c r="B389" t="s">
        <v>18</v>
      </c>
      <c r="C389" s="5">
        <v>540</v>
      </c>
      <c r="D389" t="s">
        <v>24</v>
      </c>
      <c r="E389" t="s">
        <v>26</v>
      </c>
      <c r="F389">
        <v>73</v>
      </c>
      <c r="G389" s="5">
        <v>7</v>
      </c>
      <c r="H389" s="4">
        <v>244670.66</v>
      </c>
      <c r="I389" s="5">
        <v>2</v>
      </c>
      <c r="J389">
        <v>1</v>
      </c>
      <c r="K389">
        <v>1</v>
      </c>
      <c r="L389" s="4">
        <v>12942.78</v>
      </c>
      <c r="M389">
        <v>0</v>
      </c>
      <c r="N389" s="4">
        <f t="shared" si="12"/>
        <v>1.6156420028443585</v>
      </c>
      <c r="O389" s="4">
        <f t="shared" si="13"/>
        <v>-1.6928893303680148</v>
      </c>
      <c r="P389" t="str" cm="1">
        <f t="array" ref="P389">_xlfn.IFS(AND(F389&gt;15,F389&lt;=30), "Youngsters", AND(F389&gt;30,F389&lt;=50), "Adults", AND(F389&gt;50,F389&lt;=70),"Old person", AND(F389&gt;70, F389&lt;92), "Senior Citizens")</f>
        <v>Senior Citizens</v>
      </c>
      <c r="Q389" t="str" cm="1">
        <f t="array" ref="Q389">_xlfn.IFS(G389=0,"No Tenure Period",AND(G389&gt;0,G389&lt;=3),"Less Tenure Period",AND(G389&gt;3,G389&lt;=7),"More Tenure Period",AND(G389&gt;7,G389&lt;=10),"Large Tenure Period")</f>
        <v>More Tenure Period</v>
      </c>
      <c r="R389" t="str" cm="1">
        <f t="array" ref="R389">_xlfn.IFS(AND(C389&gt;300,C389&lt;=525),"1 Star",AND(C389&gt;525,C389&lt;=600),"2 Star",AND(C389&gt;600,C389&lt;=700),"3 Star",AND(C389&gt;700,C389&lt;=750),"4 Star",AND(C389&gt;750,C389&lt;=900),"5 Star")</f>
        <v>2 Star</v>
      </c>
      <c r="S389" cm="1">
        <f t="array" ref="S389">_xlfn.IFS(E389="Male",1,E389="Female",2)</f>
        <v>2</v>
      </c>
      <c r="T389" cm="1">
        <f t="array" ref="T389">_xlfn.IFS(D389="France",1,D389="Germany",2,D389="Spain",3)</f>
        <v>1</v>
      </c>
    </row>
    <row r="390" spans="1:20" x14ac:dyDescent="0.3">
      <c r="A390">
        <v>390</v>
      </c>
      <c r="B390" t="s">
        <v>21</v>
      </c>
      <c r="C390" s="5">
        <v>429</v>
      </c>
      <c r="D390" t="s">
        <v>24</v>
      </c>
      <c r="E390" t="s">
        <v>26</v>
      </c>
      <c r="F390">
        <v>41</v>
      </c>
      <c r="G390" s="5">
        <v>9</v>
      </c>
      <c r="H390" s="4">
        <v>110666.99</v>
      </c>
      <c r="I390" s="5">
        <v>1</v>
      </c>
      <c r="J390">
        <v>0</v>
      </c>
      <c r="K390">
        <v>1</v>
      </c>
      <c r="L390" s="4">
        <v>128261.18</v>
      </c>
      <c r="M390">
        <v>1</v>
      </c>
      <c r="N390" s="4">
        <f t="shared" si="12"/>
        <v>-0.24623121328756356</v>
      </c>
      <c r="O390" s="4">
        <f t="shared" si="13"/>
        <v>1.1250704487125816</v>
      </c>
      <c r="P390" t="str" cm="1">
        <f t="array" ref="P390">_xlfn.IFS(AND(F390&gt;15,F390&lt;=30), "Youngsters", AND(F390&gt;30,F390&lt;=50), "Adults", AND(F390&gt;50,F390&lt;=70),"Old person", AND(F390&gt;70, F390&lt;92), "Senior Citizens")</f>
        <v>Adults</v>
      </c>
      <c r="Q390" t="str" cm="1">
        <f t="array" ref="Q390">_xlfn.IFS(G390=0,"No Tenure Period",AND(G390&gt;0,G390&lt;=3),"Less Tenure Period",AND(G390&gt;3,G390&lt;=7),"More Tenure Period",AND(G390&gt;7,G390&lt;=10),"Large Tenure Period")</f>
        <v>Large Tenure Period</v>
      </c>
      <c r="R390" t="str" cm="1">
        <f t="array" ref="R390">_xlfn.IFS(AND(C390&gt;300,C390&lt;=525),"1 Star",AND(C390&gt;525,C390&lt;=600),"2 Star",AND(C390&gt;600,C390&lt;=700),"3 Star",AND(C390&gt;700,C390&lt;=750),"4 Star",AND(C390&gt;750,C390&lt;=900),"5 Star")</f>
        <v>1 Star</v>
      </c>
      <c r="S390" cm="1">
        <f t="array" ref="S390">_xlfn.IFS(E390="Male",1,E390="Female",2)</f>
        <v>2</v>
      </c>
      <c r="T390" cm="1">
        <f t="array" ref="T390">_xlfn.IFS(D390="France",1,D390="Germany",2,D390="Spain",3)</f>
        <v>1</v>
      </c>
    </row>
    <row r="391" spans="1:20" x14ac:dyDescent="0.3">
      <c r="A391">
        <v>391</v>
      </c>
      <c r="B391" t="s">
        <v>18</v>
      </c>
      <c r="C391" s="5">
        <v>580</v>
      </c>
      <c r="D391" t="s">
        <v>24</v>
      </c>
      <c r="E391" t="s">
        <v>26</v>
      </c>
      <c r="F391">
        <v>75</v>
      </c>
      <c r="G391" s="5">
        <v>3</v>
      </c>
      <c r="H391" s="4">
        <v>206215.22</v>
      </c>
      <c r="I391" s="5">
        <v>1</v>
      </c>
      <c r="J391">
        <v>0</v>
      </c>
      <c r="K391">
        <v>1</v>
      </c>
      <c r="L391" s="4">
        <v>73777.070000000007</v>
      </c>
      <c r="M391">
        <v>1</v>
      </c>
      <c r="N391" s="4">
        <f t="shared" si="12"/>
        <v>1.0813345935728949</v>
      </c>
      <c r="O391" s="4">
        <f t="shared" si="13"/>
        <v>-0.20632185797050523</v>
      </c>
      <c r="P391" t="str" cm="1">
        <f t="array" ref="P391">_xlfn.IFS(AND(F391&gt;15,F391&lt;=30), "Youngsters", AND(F391&gt;30,F391&lt;=50), "Adults", AND(F391&gt;50,F391&lt;=70),"Old person", AND(F391&gt;70, F391&lt;92), "Senior Citizens")</f>
        <v>Senior Citizens</v>
      </c>
      <c r="Q391" t="str" cm="1">
        <f t="array" ref="Q391">_xlfn.IFS(G391=0,"No Tenure Period",AND(G391&gt;0,G391&lt;=3),"Less Tenure Period",AND(G391&gt;3,G391&lt;=7),"More Tenure Period",AND(G391&gt;7,G391&lt;=10),"Large Tenure Period")</f>
        <v>Less Tenure Period</v>
      </c>
      <c r="R391" t="str" cm="1">
        <f t="array" ref="R391">_xlfn.IFS(AND(C391&gt;300,C391&lt;=525),"1 Star",AND(C391&gt;525,C391&lt;=600),"2 Star",AND(C391&gt;600,C391&lt;=700),"3 Star",AND(C391&gt;700,C391&lt;=750),"4 Star",AND(C391&gt;750,C391&lt;=900),"5 Star")</f>
        <v>2 Star</v>
      </c>
      <c r="S391" cm="1">
        <f t="array" ref="S391">_xlfn.IFS(E391="Male",1,E391="Female",2)</f>
        <v>2</v>
      </c>
      <c r="T391" cm="1">
        <f t="array" ref="T391">_xlfn.IFS(D391="France",1,D391="Germany",2,D391="Spain",3)</f>
        <v>1</v>
      </c>
    </row>
    <row r="392" spans="1:20" x14ac:dyDescent="0.3">
      <c r="A392">
        <v>392</v>
      </c>
      <c r="B392" t="s">
        <v>12</v>
      </c>
      <c r="C392" s="5">
        <v>556</v>
      </c>
      <c r="D392" t="s">
        <v>23</v>
      </c>
      <c r="E392" t="s">
        <v>25</v>
      </c>
      <c r="F392">
        <v>27</v>
      </c>
      <c r="G392" s="5">
        <v>6</v>
      </c>
      <c r="H392" s="4">
        <v>70279.97</v>
      </c>
      <c r="I392" s="5">
        <v>4</v>
      </c>
      <c r="J392">
        <v>0</v>
      </c>
      <c r="K392">
        <v>0</v>
      </c>
      <c r="L392" s="4">
        <v>35799.879999999997</v>
      </c>
      <c r="M392">
        <v>1</v>
      </c>
      <c r="N392" s="4">
        <f t="shared" si="12"/>
        <v>-0.80737637309836774</v>
      </c>
      <c r="O392" s="4">
        <f t="shared" si="13"/>
        <v>-1.1343454339349817</v>
      </c>
      <c r="P392" t="str" cm="1">
        <f t="array" ref="P392">_xlfn.IFS(AND(F392&gt;15,F392&lt;=30), "Youngsters", AND(F392&gt;30,F392&lt;=50), "Adults", AND(F392&gt;50,F392&lt;=70),"Old person", AND(F392&gt;70, F392&lt;92), "Senior Citizens")</f>
        <v>Youngsters</v>
      </c>
      <c r="Q392" t="str" cm="1">
        <f t="array" ref="Q392">_xlfn.IFS(G392=0,"No Tenure Period",AND(G392&gt;0,G392&lt;=3),"Less Tenure Period",AND(G392&gt;3,G392&lt;=7),"More Tenure Period",AND(G392&gt;7,G392&lt;=10),"Large Tenure Period")</f>
        <v>More Tenure Period</v>
      </c>
      <c r="R392" t="str" cm="1">
        <f t="array" ref="R392">_xlfn.IFS(AND(C392&gt;300,C392&lt;=525),"1 Star",AND(C392&gt;525,C392&lt;=600),"2 Star",AND(C392&gt;600,C392&lt;=700),"3 Star",AND(C392&gt;700,C392&lt;=750),"4 Star",AND(C392&gt;750,C392&lt;=900),"5 Star")</f>
        <v>2 Star</v>
      </c>
      <c r="S392" cm="1">
        <f t="array" ref="S392">_xlfn.IFS(E392="Male",1,E392="Female",2)</f>
        <v>1</v>
      </c>
      <c r="T392" cm="1">
        <f t="array" ref="T392">_xlfn.IFS(D392="France",1,D392="Germany",2,D392="Spain",3)</f>
        <v>3</v>
      </c>
    </row>
    <row r="393" spans="1:20" x14ac:dyDescent="0.3">
      <c r="A393">
        <v>393</v>
      </c>
      <c r="B393" t="s">
        <v>13</v>
      </c>
      <c r="C393" s="5">
        <v>767</v>
      </c>
      <c r="D393" t="s">
        <v>24</v>
      </c>
      <c r="E393" t="s">
        <v>26</v>
      </c>
      <c r="F393">
        <v>18</v>
      </c>
      <c r="G393" s="5">
        <v>3</v>
      </c>
      <c r="H393" s="4">
        <v>117042.43</v>
      </c>
      <c r="I393" s="5">
        <v>1</v>
      </c>
      <c r="J393">
        <v>0</v>
      </c>
      <c r="K393">
        <v>0</v>
      </c>
      <c r="L393" s="4">
        <v>97218.44</v>
      </c>
      <c r="M393">
        <v>1</v>
      </c>
      <c r="N393" s="4">
        <f t="shared" si="12"/>
        <v>-0.15764960222380628</v>
      </c>
      <c r="O393" s="4">
        <f t="shared" si="13"/>
        <v>0.36649945958633318</v>
      </c>
      <c r="P393" t="str" cm="1">
        <f t="array" ref="P393">_xlfn.IFS(AND(F393&gt;15,F393&lt;=30), "Youngsters", AND(F393&gt;30,F393&lt;=50), "Adults", AND(F393&gt;50,F393&lt;=70),"Old person", AND(F393&gt;70, F393&lt;92), "Senior Citizens")</f>
        <v>Youngsters</v>
      </c>
      <c r="Q393" t="str" cm="1">
        <f t="array" ref="Q393">_xlfn.IFS(G393=0,"No Tenure Period",AND(G393&gt;0,G393&lt;=3),"Less Tenure Period",AND(G393&gt;3,G393&lt;=7),"More Tenure Period",AND(G393&gt;7,G393&lt;=10),"Large Tenure Period")</f>
        <v>Less Tenure Period</v>
      </c>
      <c r="R393" t="str" cm="1">
        <f t="array" ref="R393">_xlfn.IFS(AND(C393&gt;300,C393&lt;=525),"1 Star",AND(C393&gt;525,C393&lt;=600),"2 Star",AND(C393&gt;600,C393&lt;=700),"3 Star",AND(C393&gt;700,C393&lt;=750),"4 Star",AND(C393&gt;750,C393&lt;=900),"5 Star")</f>
        <v>5 Star</v>
      </c>
      <c r="S393" cm="1">
        <f t="array" ref="S393">_xlfn.IFS(E393="Male",1,E393="Female",2)</f>
        <v>2</v>
      </c>
      <c r="T393" cm="1">
        <f t="array" ref="T393">_xlfn.IFS(D393="France",1,D393="Germany",2,D393="Spain",3)</f>
        <v>1</v>
      </c>
    </row>
    <row r="394" spans="1:20" x14ac:dyDescent="0.3">
      <c r="A394">
        <v>394</v>
      </c>
      <c r="B394" t="s">
        <v>14</v>
      </c>
      <c r="C394" s="5">
        <v>738</v>
      </c>
      <c r="D394" t="s">
        <v>22</v>
      </c>
      <c r="E394" t="s">
        <v>26</v>
      </c>
      <c r="F394">
        <v>37</v>
      </c>
      <c r="G394" s="5">
        <v>7</v>
      </c>
      <c r="H394" s="4">
        <v>206465.41</v>
      </c>
      <c r="I394" s="5">
        <v>2</v>
      </c>
      <c r="J394">
        <v>1</v>
      </c>
      <c r="K394">
        <v>1</v>
      </c>
      <c r="L394" s="4">
        <v>81839.69</v>
      </c>
      <c r="M394">
        <v>0</v>
      </c>
      <c r="N394" s="4">
        <f t="shared" si="12"/>
        <v>1.0848107823962609</v>
      </c>
      <c r="O394" s="4">
        <f t="shared" si="13"/>
        <v>-9.3009239824271214E-3</v>
      </c>
      <c r="P394" t="str" cm="1">
        <f t="array" ref="P394">_xlfn.IFS(AND(F394&gt;15,F394&lt;=30), "Youngsters", AND(F394&gt;30,F394&lt;=50), "Adults", AND(F394&gt;50,F394&lt;=70),"Old person", AND(F394&gt;70, F394&lt;92), "Senior Citizens")</f>
        <v>Adults</v>
      </c>
      <c r="Q394" t="str" cm="1">
        <f t="array" ref="Q394">_xlfn.IFS(G394=0,"No Tenure Period",AND(G394&gt;0,G394&lt;=3),"Less Tenure Period",AND(G394&gt;3,G394&lt;=7),"More Tenure Period",AND(G394&gt;7,G394&lt;=10),"Large Tenure Period")</f>
        <v>More Tenure Period</v>
      </c>
      <c r="R394" t="str" cm="1">
        <f t="array" ref="R394">_xlfn.IFS(AND(C394&gt;300,C394&lt;=525),"1 Star",AND(C394&gt;525,C394&lt;=600),"2 Star",AND(C394&gt;600,C394&lt;=700),"3 Star",AND(C394&gt;700,C394&lt;=750),"4 Star",AND(C394&gt;750,C394&lt;=900),"5 Star")</f>
        <v>4 Star</v>
      </c>
      <c r="S394" cm="1">
        <f t="array" ref="S394">_xlfn.IFS(E394="Male",1,E394="Female",2)</f>
        <v>2</v>
      </c>
      <c r="T394" cm="1">
        <f t="array" ref="T394">_xlfn.IFS(D394="France",1,D394="Germany",2,D394="Spain",3)</f>
        <v>2</v>
      </c>
    </row>
    <row r="395" spans="1:20" x14ac:dyDescent="0.3">
      <c r="A395">
        <v>395</v>
      </c>
      <c r="B395" t="s">
        <v>21</v>
      </c>
      <c r="C395" s="5">
        <v>750</v>
      </c>
      <c r="D395" t="s">
        <v>24</v>
      </c>
      <c r="E395" t="s">
        <v>26</v>
      </c>
      <c r="F395">
        <v>89</v>
      </c>
      <c r="G395" s="5">
        <v>7</v>
      </c>
      <c r="H395" s="4">
        <v>192173.02</v>
      </c>
      <c r="I395" s="5">
        <v>4</v>
      </c>
      <c r="J395">
        <v>0</v>
      </c>
      <c r="K395">
        <v>1</v>
      </c>
      <c r="L395" s="4">
        <v>99695.37</v>
      </c>
      <c r="M395">
        <v>1</v>
      </c>
      <c r="N395" s="4">
        <f t="shared" si="12"/>
        <v>0.88622951864794908</v>
      </c>
      <c r="O395" s="4">
        <f t="shared" si="13"/>
        <v>0.42702656641055275</v>
      </c>
      <c r="P395" t="str" cm="1">
        <f t="array" ref="P395">_xlfn.IFS(AND(F395&gt;15,F395&lt;=30), "Youngsters", AND(F395&gt;30,F395&lt;=50), "Adults", AND(F395&gt;50,F395&lt;=70),"Old person", AND(F395&gt;70, F395&lt;92), "Senior Citizens")</f>
        <v>Senior Citizens</v>
      </c>
      <c r="Q395" t="str" cm="1">
        <f t="array" ref="Q395">_xlfn.IFS(G395=0,"No Tenure Period",AND(G395&gt;0,G395&lt;=3),"Less Tenure Period",AND(G395&gt;3,G395&lt;=7),"More Tenure Period",AND(G395&gt;7,G395&lt;=10),"Large Tenure Period")</f>
        <v>More Tenure Period</v>
      </c>
      <c r="R395" t="str" cm="1">
        <f t="array" ref="R395">_xlfn.IFS(AND(C395&gt;300,C395&lt;=525),"1 Star",AND(C395&gt;525,C395&lt;=600),"2 Star",AND(C395&gt;600,C395&lt;=700),"3 Star",AND(C395&gt;700,C395&lt;=750),"4 Star",AND(C395&gt;750,C395&lt;=900),"5 Star")</f>
        <v>4 Star</v>
      </c>
      <c r="S395" cm="1">
        <f t="array" ref="S395">_xlfn.IFS(E395="Male",1,E395="Female",2)</f>
        <v>2</v>
      </c>
      <c r="T395" cm="1">
        <f t="array" ref="T395">_xlfn.IFS(D395="France",1,D395="Germany",2,D395="Spain",3)</f>
        <v>1</v>
      </c>
    </row>
    <row r="396" spans="1:20" x14ac:dyDescent="0.3">
      <c r="A396">
        <v>396</v>
      </c>
      <c r="B396" t="s">
        <v>18</v>
      </c>
      <c r="C396" s="5">
        <v>578</v>
      </c>
      <c r="D396" t="s">
        <v>23</v>
      </c>
      <c r="E396" t="s">
        <v>25</v>
      </c>
      <c r="F396">
        <v>68</v>
      </c>
      <c r="G396" s="5">
        <v>2</v>
      </c>
      <c r="H396" s="4">
        <v>59641.51</v>
      </c>
      <c r="I396" s="5">
        <v>4</v>
      </c>
      <c r="J396">
        <v>0</v>
      </c>
      <c r="K396">
        <v>0</v>
      </c>
      <c r="L396" s="4">
        <v>61207.9</v>
      </c>
      <c r="M396">
        <v>1</v>
      </c>
      <c r="N396" s="4">
        <f t="shared" si="12"/>
        <v>-0.95518921833529891</v>
      </c>
      <c r="O396" s="4">
        <f t="shared" si="13"/>
        <v>-0.51346638578589698</v>
      </c>
      <c r="P396" t="str" cm="1">
        <f t="array" ref="P396">_xlfn.IFS(AND(F396&gt;15,F396&lt;=30), "Youngsters", AND(F396&gt;30,F396&lt;=50), "Adults", AND(F396&gt;50,F396&lt;=70),"Old person", AND(F396&gt;70, F396&lt;92), "Senior Citizens")</f>
        <v>Old person</v>
      </c>
      <c r="Q396" t="str" cm="1">
        <f t="array" ref="Q396">_xlfn.IFS(G396=0,"No Tenure Period",AND(G396&gt;0,G396&lt;=3),"Less Tenure Period",AND(G396&gt;3,G396&lt;=7),"More Tenure Period",AND(G396&gt;7,G396&lt;=10),"Large Tenure Period")</f>
        <v>Less Tenure Period</v>
      </c>
      <c r="R396" t="str" cm="1">
        <f t="array" ref="R396">_xlfn.IFS(AND(C396&gt;300,C396&lt;=525),"1 Star",AND(C396&gt;525,C396&lt;=600),"2 Star",AND(C396&gt;600,C396&lt;=700),"3 Star",AND(C396&gt;700,C396&lt;=750),"4 Star",AND(C396&gt;750,C396&lt;=900),"5 Star")</f>
        <v>2 Star</v>
      </c>
      <c r="S396" cm="1">
        <f t="array" ref="S396">_xlfn.IFS(E396="Male",1,E396="Female",2)</f>
        <v>1</v>
      </c>
      <c r="T396" cm="1">
        <f t="array" ref="T396">_xlfn.IFS(D396="France",1,D396="Germany",2,D396="Spain",3)</f>
        <v>3</v>
      </c>
    </row>
    <row r="397" spans="1:20" x14ac:dyDescent="0.3">
      <c r="A397">
        <v>397</v>
      </c>
      <c r="B397" t="s">
        <v>18</v>
      </c>
      <c r="C397" s="5">
        <v>677</v>
      </c>
      <c r="D397" t="s">
        <v>24</v>
      </c>
      <c r="E397" t="s">
        <v>26</v>
      </c>
      <c r="F397">
        <v>56</v>
      </c>
      <c r="G397" s="5">
        <v>7</v>
      </c>
      <c r="H397" s="4">
        <v>63179.37</v>
      </c>
      <c r="I397" s="5">
        <v>2</v>
      </c>
      <c r="J397">
        <v>0</v>
      </c>
      <c r="K397">
        <v>1</v>
      </c>
      <c r="L397" s="4">
        <v>121798.16</v>
      </c>
      <c r="M397">
        <v>0</v>
      </c>
      <c r="N397" s="4">
        <f t="shared" si="12"/>
        <v>-0.90603349911936648</v>
      </c>
      <c r="O397" s="4">
        <f t="shared" si="13"/>
        <v>0.967137886247325</v>
      </c>
      <c r="P397" t="str" cm="1">
        <f t="array" ref="P397">_xlfn.IFS(AND(F397&gt;15,F397&lt;=30), "Youngsters", AND(F397&gt;30,F397&lt;=50), "Adults", AND(F397&gt;50,F397&lt;=70),"Old person", AND(F397&gt;70, F397&lt;92), "Senior Citizens")</f>
        <v>Old person</v>
      </c>
      <c r="Q397" t="str" cm="1">
        <f t="array" ref="Q397">_xlfn.IFS(G397=0,"No Tenure Period",AND(G397&gt;0,G397&lt;=3),"Less Tenure Period",AND(G397&gt;3,G397&lt;=7),"More Tenure Period",AND(G397&gt;7,G397&lt;=10),"Large Tenure Period")</f>
        <v>More Tenure Period</v>
      </c>
      <c r="R397" t="str" cm="1">
        <f t="array" ref="R397">_xlfn.IFS(AND(C397&gt;300,C397&lt;=525),"1 Star",AND(C397&gt;525,C397&lt;=600),"2 Star",AND(C397&gt;600,C397&lt;=700),"3 Star",AND(C397&gt;700,C397&lt;=750),"4 Star",AND(C397&gt;750,C397&lt;=900),"5 Star")</f>
        <v>3 Star</v>
      </c>
      <c r="S397" cm="1">
        <f t="array" ref="S397">_xlfn.IFS(E397="Male",1,E397="Female",2)</f>
        <v>2</v>
      </c>
      <c r="T397" cm="1">
        <f t="array" ref="T397">_xlfn.IFS(D397="France",1,D397="Germany",2,D397="Spain",3)</f>
        <v>1</v>
      </c>
    </row>
    <row r="398" spans="1:20" x14ac:dyDescent="0.3">
      <c r="A398">
        <v>398</v>
      </c>
      <c r="B398" t="s">
        <v>18</v>
      </c>
      <c r="C398" s="5">
        <v>668</v>
      </c>
      <c r="D398" t="s">
        <v>22</v>
      </c>
      <c r="E398" t="s">
        <v>26</v>
      </c>
      <c r="F398">
        <v>85</v>
      </c>
      <c r="G398" s="5">
        <v>8</v>
      </c>
      <c r="H398" s="4">
        <v>137118.25</v>
      </c>
      <c r="I398" s="5">
        <v>1</v>
      </c>
      <c r="J398">
        <v>1</v>
      </c>
      <c r="K398">
        <v>1</v>
      </c>
      <c r="L398" s="4">
        <v>69952.509999999995</v>
      </c>
      <c r="M398">
        <v>1</v>
      </c>
      <c r="N398" s="4">
        <f t="shared" si="12"/>
        <v>0.12128776978910633</v>
      </c>
      <c r="O398" s="4">
        <f t="shared" si="13"/>
        <v>-0.2997801114034398</v>
      </c>
      <c r="P398" t="str" cm="1">
        <f t="array" ref="P398">_xlfn.IFS(AND(F398&gt;15,F398&lt;=30), "Youngsters", AND(F398&gt;30,F398&lt;=50), "Adults", AND(F398&gt;50,F398&lt;=70),"Old person", AND(F398&gt;70, F398&lt;92), "Senior Citizens")</f>
        <v>Senior Citizens</v>
      </c>
      <c r="Q398" t="str" cm="1">
        <f t="array" ref="Q398">_xlfn.IFS(G398=0,"No Tenure Period",AND(G398&gt;0,G398&lt;=3),"Less Tenure Period",AND(G398&gt;3,G398&lt;=7),"More Tenure Period",AND(G398&gt;7,G398&lt;=10),"Large Tenure Period")</f>
        <v>Large Tenure Period</v>
      </c>
      <c r="R398" t="str" cm="1">
        <f t="array" ref="R398">_xlfn.IFS(AND(C398&gt;300,C398&lt;=525),"1 Star",AND(C398&gt;525,C398&lt;=600),"2 Star",AND(C398&gt;600,C398&lt;=700),"3 Star",AND(C398&gt;700,C398&lt;=750),"4 Star",AND(C398&gt;750,C398&lt;=900),"5 Star")</f>
        <v>3 Star</v>
      </c>
      <c r="S398" cm="1">
        <f t="array" ref="S398">_xlfn.IFS(E398="Male",1,E398="Female",2)</f>
        <v>2</v>
      </c>
      <c r="T398" cm="1">
        <f t="array" ref="T398">_xlfn.IFS(D398="France",1,D398="Germany",2,D398="Spain",3)</f>
        <v>2</v>
      </c>
    </row>
    <row r="399" spans="1:20" x14ac:dyDescent="0.3">
      <c r="A399">
        <v>399</v>
      </c>
      <c r="B399" t="s">
        <v>13</v>
      </c>
      <c r="C399" s="5">
        <v>629</v>
      </c>
      <c r="D399" t="s">
        <v>22</v>
      </c>
      <c r="E399" t="s">
        <v>26</v>
      </c>
      <c r="F399">
        <v>48</v>
      </c>
      <c r="G399" s="5">
        <v>4</v>
      </c>
      <c r="H399" s="4">
        <v>234503.75</v>
      </c>
      <c r="I399" s="5">
        <v>1</v>
      </c>
      <c r="J399">
        <v>1</v>
      </c>
      <c r="K399">
        <v>0</v>
      </c>
      <c r="L399" s="4">
        <v>64388.61</v>
      </c>
      <c r="M399">
        <v>0</v>
      </c>
      <c r="N399" s="4">
        <f t="shared" si="12"/>
        <v>1.4743809655919922</v>
      </c>
      <c r="O399" s="4">
        <f t="shared" si="13"/>
        <v>-0.43574147069065255</v>
      </c>
      <c r="P399" t="str" cm="1">
        <f t="array" ref="P399">_xlfn.IFS(AND(F399&gt;15,F399&lt;=30), "Youngsters", AND(F399&gt;30,F399&lt;=50), "Adults", AND(F399&gt;50,F399&lt;=70),"Old person", AND(F399&gt;70, F399&lt;92), "Senior Citizens")</f>
        <v>Adults</v>
      </c>
      <c r="Q399" t="str" cm="1">
        <f t="array" ref="Q399">_xlfn.IFS(G399=0,"No Tenure Period",AND(G399&gt;0,G399&lt;=3),"Less Tenure Period",AND(G399&gt;3,G399&lt;=7),"More Tenure Period",AND(G399&gt;7,G399&lt;=10),"Large Tenure Period")</f>
        <v>More Tenure Period</v>
      </c>
      <c r="R399" t="str" cm="1">
        <f t="array" ref="R399">_xlfn.IFS(AND(C399&gt;300,C399&lt;=525),"1 Star",AND(C399&gt;525,C399&lt;=600),"2 Star",AND(C399&gt;600,C399&lt;=700),"3 Star",AND(C399&gt;700,C399&lt;=750),"4 Star",AND(C399&gt;750,C399&lt;=900),"5 Star")</f>
        <v>3 Star</v>
      </c>
      <c r="S399" cm="1">
        <f t="array" ref="S399">_xlfn.IFS(E399="Male",1,E399="Female",2)</f>
        <v>2</v>
      </c>
      <c r="T399" cm="1">
        <f t="array" ref="T399">_xlfn.IFS(D399="France",1,D399="Germany",2,D399="Spain",3)</f>
        <v>2</v>
      </c>
    </row>
    <row r="400" spans="1:20" x14ac:dyDescent="0.3">
      <c r="A400">
        <v>400</v>
      </c>
      <c r="B400" t="s">
        <v>13</v>
      </c>
      <c r="C400" s="5">
        <v>697</v>
      </c>
      <c r="D400" t="s">
        <v>22</v>
      </c>
      <c r="E400" t="s">
        <v>25</v>
      </c>
      <c r="F400">
        <v>55</v>
      </c>
      <c r="G400" s="5">
        <v>3</v>
      </c>
      <c r="H400" s="4">
        <v>29981.98</v>
      </c>
      <c r="I400" s="5">
        <v>1</v>
      </c>
      <c r="J400">
        <v>1</v>
      </c>
      <c r="K400">
        <v>0</v>
      </c>
      <c r="L400" s="4">
        <v>97693.26</v>
      </c>
      <c r="M400">
        <v>1</v>
      </c>
      <c r="N400" s="4">
        <f t="shared" si="12"/>
        <v>-1.36728453266558</v>
      </c>
      <c r="O400" s="4">
        <f t="shared" si="13"/>
        <v>0.37810232315626674</v>
      </c>
      <c r="P400" t="str" cm="1">
        <f t="array" ref="P400">_xlfn.IFS(AND(F400&gt;15,F400&lt;=30), "Youngsters", AND(F400&gt;30,F400&lt;=50), "Adults", AND(F400&gt;50,F400&lt;=70),"Old person", AND(F400&gt;70, F400&lt;92), "Senior Citizens")</f>
        <v>Old person</v>
      </c>
      <c r="Q400" t="str" cm="1">
        <f t="array" ref="Q400">_xlfn.IFS(G400=0,"No Tenure Period",AND(G400&gt;0,G400&lt;=3),"Less Tenure Period",AND(G400&gt;3,G400&lt;=7),"More Tenure Period",AND(G400&gt;7,G400&lt;=10),"Large Tenure Period")</f>
        <v>Less Tenure Period</v>
      </c>
      <c r="R400" t="str" cm="1">
        <f t="array" ref="R400">_xlfn.IFS(AND(C400&gt;300,C400&lt;=525),"1 Star",AND(C400&gt;525,C400&lt;=600),"2 Star",AND(C400&gt;600,C400&lt;=700),"3 Star",AND(C400&gt;700,C400&lt;=750),"4 Star",AND(C400&gt;750,C400&lt;=900),"5 Star")</f>
        <v>3 Star</v>
      </c>
      <c r="S400" cm="1">
        <f t="array" ref="S400">_xlfn.IFS(E400="Male",1,E400="Female",2)</f>
        <v>1</v>
      </c>
      <c r="T400" cm="1">
        <f t="array" ref="T400">_xlfn.IFS(D400="France",1,D400="Germany",2,D400="Spain",3)</f>
        <v>2</v>
      </c>
    </row>
    <row r="401" spans="1:20" x14ac:dyDescent="0.3">
      <c r="A401">
        <v>401</v>
      </c>
      <c r="B401" t="s">
        <v>20</v>
      </c>
      <c r="C401" s="5">
        <v>716</v>
      </c>
      <c r="D401" t="s">
        <v>23</v>
      </c>
      <c r="E401" t="s">
        <v>26</v>
      </c>
      <c r="F401">
        <v>74</v>
      </c>
      <c r="G401" s="5">
        <v>10</v>
      </c>
      <c r="H401" s="4">
        <v>193015.5</v>
      </c>
      <c r="I401" s="5">
        <v>4</v>
      </c>
      <c r="J401">
        <v>0</v>
      </c>
      <c r="K401">
        <v>0</v>
      </c>
      <c r="L401" s="4">
        <v>127051.78</v>
      </c>
      <c r="M401">
        <v>0</v>
      </c>
      <c r="N401" s="4">
        <f t="shared" si="12"/>
        <v>0.89793510064526938</v>
      </c>
      <c r="O401" s="4">
        <f t="shared" si="13"/>
        <v>1.095517137559981</v>
      </c>
      <c r="P401" t="str" cm="1">
        <f t="array" ref="P401">_xlfn.IFS(AND(F401&gt;15,F401&lt;=30), "Youngsters", AND(F401&gt;30,F401&lt;=50), "Adults", AND(F401&gt;50,F401&lt;=70),"Old person", AND(F401&gt;70, F401&lt;92), "Senior Citizens")</f>
        <v>Senior Citizens</v>
      </c>
      <c r="Q401" t="str" cm="1">
        <f t="array" ref="Q401">_xlfn.IFS(G401=0,"No Tenure Period",AND(G401&gt;0,G401&lt;=3),"Less Tenure Period",AND(G401&gt;3,G401&lt;=7),"More Tenure Period",AND(G401&gt;7,G401&lt;=10),"Large Tenure Period")</f>
        <v>Large Tenure Period</v>
      </c>
      <c r="R401" t="str" cm="1">
        <f t="array" ref="R401">_xlfn.IFS(AND(C401&gt;300,C401&lt;=525),"1 Star",AND(C401&gt;525,C401&lt;=600),"2 Star",AND(C401&gt;600,C401&lt;=700),"3 Star",AND(C401&gt;700,C401&lt;=750),"4 Star",AND(C401&gt;750,C401&lt;=900),"5 Star")</f>
        <v>4 Star</v>
      </c>
      <c r="S401" cm="1">
        <f t="array" ref="S401">_xlfn.IFS(E401="Male",1,E401="Female",2)</f>
        <v>2</v>
      </c>
      <c r="T401" cm="1">
        <f t="array" ref="T401">_xlfn.IFS(D401="France",1,D401="Germany",2,D401="Spain",3)</f>
        <v>3</v>
      </c>
    </row>
    <row r="402" spans="1:20" x14ac:dyDescent="0.3">
      <c r="A402">
        <v>402</v>
      </c>
      <c r="B402" t="s">
        <v>18</v>
      </c>
      <c r="C402" s="5">
        <v>357</v>
      </c>
      <c r="D402" t="s">
        <v>22</v>
      </c>
      <c r="E402" t="s">
        <v>26</v>
      </c>
      <c r="F402">
        <v>23</v>
      </c>
      <c r="G402" s="5">
        <v>0</v>
      </c>
      <c r="H402" s="4">
        <v>184400.14</v>
      </c>
      <c r="I402" s="5">
        <v>2</v>
      </c>
      <c r="J402">
        <v>1</v>
      </c>
      <c r="K402">
        <v>1</v>
      </c>
      <c r="L402" s="4">
        <v>22278.37</v>
      </c>
      <c r="M402">
        <v>0</v>
      </c>
      <c r="N402" s="4">
        <f t="shared" si="12"/>
        <v>0.7782316027385755</v>
      </c>
      <c r="O402" s="4">
        <f t="shared" si="13"/>
        <v>-1.4647616670117161</v>
      </c>
      <c r="P402" t="str" cm="1">
        <f t="array" ref="P402">_xlfn.IFS(AND(F402&gt;15,F402&lt;=30), "Youngsters", AND(F402&gt;30,F402&lt;=50), "Adults", AND(F402&gt;50,F402&lt;=70),"Old person", AND(F402&gt;70, F402&lt;92), "Senior Citizens")</f>
        <v>Youngsters</v>
      </c>
      <c r="Q402" t="str" cm="1">
        <f t="array" ref="Q402">_xlfn.IFS(G402=0,"No Tenure Period",AND(G402&gt;0,G402&lt;=3),"Less Tenure Period",AND(G402&gt;3,G402&lt;=7),"More Tenure Period",AND(G402&gt;7,G402&lt;=10),"Large Tenure Period")</f>
        <v>No Tenure Period</v>
      </c>
      <c r="R402" t="str" cm="1">
        <f t="array" ref="R402">_xlfn.IFS(AND(C402&gt;300,C402&lt;=525),"1 Star",AND(C402&gt;525,C402&lt;=600),"2 Star",AND(C402&gt;600,C402&lt;=700),"3 Star",AND(C402&gt;700,C402&lt;=750),"4 Star",AND(C402&gt;750,C402&lt;=900),"5 Star")</f>
        <v>1 Star</v>
      </c>
      <c r="S402" cm="1">
        <f t="array" ref="S402">_xlfn.IFS(E402="Male",1,E402="Female",2)</f>
        <v>2</v>
      </c>
      <c r="T402" cm="1">
        <f t="array" ref="T402">_xlfn.IFS(D402="France",1,D402="Germany",2,D402="Spain",3)</f>
        <v>2</v>
      </c>
    </row>
    <row r="403" spans="1:20" x14ac:dyDescent="0.3">
      <c r="A403">
        <v>403</v>
      </c>
      <c r="B403" t="s">
        <v>19</v>
      </c>
      <c r="C403" s="5">
        <v>628</v>
      </c>
      <c r="D403" t="s">
        <v>24</v>
      </c>
      <c r="E403" t="s">
        <v>25</v>
      </c>
      <c r="F403">
        <v>77</v>
      </c>
      <c r="G403" s="5">
        <v>2</v>
      </c>
      <c r="H403" s="4">
        <v>212693.91</v>
      </c>
      <c r="I403" s="5">
        <v>4</v>
      </c>
      <c r="J403">
        <v>1</v>
      </c>
      <c r="K403">
        <v>1</v>
      </c>
      <c r="L403" s="4">
        <v>71242.42</v>
      </c>
      <c r="M403">
        <v>1</v>
      </c>
      <c r="N403" s="4">
        <f t="shared" si="12"/>
        <v>1.1713507803431655</v>
      </c>
      <c r="O403" s="4">
        <f t="shared" si="13"/>
        <v>-0.26825943041381572</v>
      </c>
      <c r="P403" t="str" cm="1">
        <f t="array" ref="P403">_xlfn.IFS(AND(F403&gt;15,F403&lt;=30), "Youngsters", AND(F403&gt;30,F403&lt;=50), "Adults", AND(F403&gt;50,F403&lt;=70),"Old person", AND(F403&gt;70, F403&lt;92), "Senior Citizens")</f>
        <v>Senior Citizens</v>
      </c>
      <c r="Q403" t="str" cm="1">
        <f t="array" ref="Q403">_xlfn.IFS(G403=0,"No Tenure Period",AND(G403&gt;0,G403&lt;=3),"Less Tenure Period",AND(G403&gt;3,G403&lt;=7),"More Tenure Period",AND(G403&gt;7,G403&lt;=10),"Large Tenure Period")</f>
        <v>Less Tenure Period</v>
      </c>
      <c r="R403" t="str" cm="1">
        <f t="array" ref="R403">_xlfn.IFS(AND(C403&gt;300,C403&lt;=525),"1 Star",AND(C403&gt;525,C403&lt;=600),"2 Star",AND(C403&gt;600,C403&lt;=700),"3 Star",AND(C403&gt;700,C403&lt;=750),"4 Star",AND(C403&gt;750,C403&lt;=900),"5 Star")</f>
        <v>3 Star</v>
      </c>
      <c r="S403" cm="1">
        <f t="array" ref="S403">_xlfn.IFS(E403="Male",1,E403="Female",2)</f>
        <v>1</v>
      </c>
      <c r="T403" cm="1">
        <f t="array" ref="T403">_xlfn.IFS(D403="France",1,D403="Germany",2,D403="Spain",3)</f>
        <v>1</v>
      </c>
    </row>
    <row r="404" spans="1:20" x14ac:dyDescent="0.3">
      <c r="A404">
        <v>404</v>
      </c>
      <c r="B404" t="s">
        <v>16</v>
      </c>
      <c r="C404" s="5">
        <v>704</v>
      </c>
      <c r="D404" t="s">
        <v>24</v>
      </c>
      <c r="E404" t="s">
        <v>26</v>
      </c>
      <c r="F404">
        <v>79</v>
      </c>
      <c r="G404" s="5">
        <v>10</v>
      </c>
      <c r="H404" s="4">
        <v>222300.09</v>
      </c>
      <c r="I404" s="5">
        <v>4</v>
      </c>
      <c r="J404">
        <v>0</v>
      </c>
      <c r="K404">
        <v>0</v>
      </c>
      <c r="L404" s="4">
        <v>76217.14</v>
      </c>
      <c r="M404">
        <v>1</v>
      </c>
      <c r="N404" s="4">
        <f t="shared" si="12"/>
        <v>1.304820925238019</v>
      </c>
      <c r="O404" s="4">
        <f t="shared" si="13"/>
        <v>-0.14669547468612762</v>
      </c>
      <c r="P404" t="str" cm="1">
        <f t="array" ref="P404">_xlfn.IFS(AND(F404&gt;15,F404&lt;=30), "Youngsters", AND(F404&gt;30,F404&lt;=50), "Adults", AND(F404&gt;50,F404&lt;=70),"Old person", AND(F404&gt;70, F404&lt;92), "Senior Citizens")</f>
        <v>Senior Citizens</v>
      </c>
      <c r="Q404" t="str" cm="1">
        <f t="array" ref="Q404">_xlfn.IFS(G404=0,"No Tenure Period",AND(G404&gt;0,G404&lt;=3),"Less Tenure Period",AND(G404&gt;3,G404&lt;=7),"More Tenure Period",AND(G404&gt;7,G404&lt;=10),"Large Tenure Period")</f>
        <v>Large Tenure Period</v>
      </c>
      <c r="R404" t="str" cm="1">
        <f t="array" ref="R404">_xlfn.IFS(AND(C404&gt;300,C404&lt;=525),"1 Star",AND(C404&gt;525,C404&lt;=600),"2 Star",AND(C404&gt;600,C404&lt;=700),"3 Star",AND(C404&gt;700,C404&lt;=750),"4 Star",AND(C404&gt;750,C404&lt;=900),"5 Star")</f>
        <v>4 Star</v>
      </c>
      <c r="S404" cm="1">
        <f t="array" ref="S404">_xlfn.IFS(E404="Male",1,E404="Female",2)</f>
        <v>2</v>
      </c>
      <c r="T404" cm="1">
        <f t="array" ref="T404">_xlfn.IFS(D404="France",1,D404="Germany",2,D404="Spain",3)</f>
        <v>1</v>
      </c>
    </row>
    <row r="405" spans="1:20" x14ac:dyDescent="0.3">
      <c r="A405">
        <v>405</v>
      </c>
      <c r="B405" t="s">
        <v>14</v>
      </c>
      <c r="C405" s="5">
        <v>508</v>
      </c>
      <c r="D405" t="s">
        <v>22</v>
      </c>
      <c r="E405" t="s">
        <v>25</v>
      </c>
      <c r="F405">
        <v>49</v>
      </c>
      <c r="G405" s="5">
        <v>5</v>
      </c>
      <c r="H405" s="4">
        <v>220856.36</v>
      </c>
      <c r="I405" s="5">
        <v>1</v>
      </c>
      <c r="J405">
        <v>0</v>
      </c>
      <c r="K405">
        <v>1</v>
      </c>
      <c r="L405" s="4">
        <v>84471.69</v>
      </c>
      <c r="M405">
        <v>1</v>
      </c>
      <c r="N405" s="4">
        <f t="shared" si="12"/>
        <v>1.2847614580732305</v>
      </c>
      <c r="O405" s="4">
        <f t="shared" si="13"/>
        <v>5.5015526285180909E-2</v>
      </c>
      <c r="P405" t="str" cm="1">
        <f t="array" ref="P405">_xlfn.IFS(AND(F405&gt;15,F405&lt;=30), "Youngsters", AND(F405&gt;30,F405&lt;=50), "Adults", AND(F405&gt;50,F405&lt;=70),"Old person", AND(F405&gt;70, F405&lt;92), "Senior Citizens")</f>
        <v>Adults</v>
      </c>
      <c r="Q405" t="str" cm="1">
        <f t="array" ref="Q405">_xlfn.IFS(G405=0,"No Tenure Period",AND(G405&gt;0,G405&lt;=3),"Less Tenure Period",AND(G405&gt;3,G405&lt;=7),"More Tenure Period",AND(G405&gt;7,G405&lt;=10),"Large Tenure Period")</f>
        <v>More Tenure Period</v>
      </c>
      <c r="R405" t="str" cm="1">
        <f t="array" ref="R405">_xlfn.IFS(AND(C405&gt;300,C405&lt;=525),"1 Star",AND(C405&gt;525,C405&lt;=600),"2 Star",AND(C405&gt;600,C405&lt;=700),"3 Star",AND(C405&gt;700,C405&lt;=750),"4 Star",AND(C405&gt;750,C405&lt;=900),"5 Star")</f>
        <v>1 Star</v>
      </c>
      <c r="S405" cm="1">
        <f t="array" ref="S405">_xlfn.IFS(E405="Male",1,E405="Female",2)</f>
        <v>1</v>
      </c>
      <c r="T405" cm="1">
        <f t="array" ref="T405">_xlfn.IFS(D405="France",1,D405="Germany",2,D405="Spain",3)</f>
        <v>2</v>
      </c>
    </row>
    <row r="406" spans="1:20" x14ac:dyDescent="0.3">
      <c r="A406">
        <v>406</v>
      </c>
      <c r="B406" t="s">
        <v>14</v>
      </c>
      <c r="C406" s="5">
        <v>596</v>
      </c>
      <c r="D406" t="s">
        <v>23</v>
      </c>
      <c r="E406" t="s">
        <v>26</v>
      </c>
      <c r="F406">
        <v>88</v>
      </c>
      <c r="G406" s="5">
        <v>4</v>
      </c>
      <c r="H406" s="4">
        <v>225228.97</v>
      </c>
      <c r="I406" s="5">
        <v>3</v>
      </c>
      <c r="J406">
        <v>0</v>
      </c>
      <c r="K406">
        <v>1</v>
      </c>
      <c r="L406" s="4">
        <v>55636.3</v>
      </c>
      <c r="M406">
        <v>1</v>
      </c>
      <c r="N406" s="4">
        <f t="shared" si="12"/>
        <v>1.3455153571536858</v>
      </c>
      <c r="O406" s="4">
        <f t="shared" si="13"/>
        <v>-0.6496159049010205</v>
      </c>
      <c r="P406" t="str" cm="1">
        <f t="array" ref="P406">_xlfn.IFS(AND(F406&gt;15,F406&lt;=30), "Youngsters", AND(F406&gt;30,F406&lt;=50), "Adults", AND(F406&gt;50,F406&lt;=70),"Old person", AND(F406&gt;70, F406&lt;92), "Senior Citizens")</f>
        <v>Senior Citizens</v>
      </c>
      <c r="Q406" t="str" cm="1">
        <f t="array" ref="Q406">_xlfn.IFS(G406=0,"No Tenure Period",AND(G406&gt;0,G406&lt;=3),"Less Tenure Period",AND(G406&gt;3,G406&lt;=7),"More Tenure Period",AND(G406&gt;7,G406&lt;=10),"Large Tenure Period")</f>
        <v>More Tenure Period</v>
      </c>
      <c r="R406" t="str" cm="1">
        <f t="array" ref="R406">_xlfn.IFS(AND(C406&gt;300,C406&lt;=525),"1 Star",AND(C406&gt;525,C406&lt;=600),"2 Star",AND(C406&gt;600,C406&lt;=700),"3 Star",AND(C406&gt;700,C406&lt;=750),"4 Star",AND(C406&gt;750,C406&lt;=900),"5 Star")</f>
        <v>2 Star</v>
      </c>
      <c r="S406" cm="1">
        <f t="array" ref="S406">_xlfn.IFS(E406="Male",1,E406="Female",2)</f>
        <v>2</v>
      </c>
      <c r="T406" cm="1">
        <f t="array" ref="T406">_xlfn.IFS(D406="France",1,D406="Germany",2,D406="Spain",3)</f>
        <v>3</v>
      </c>
    </row>
    <row r="407" spans="1:20" x14ac:dyDescent="0.3">
      <c r="A407">
        <v>407</v>
      </c>
      <c r="B407" t="s">
        <v>17</v>
      </c>
      <c r="C407" s="5">
        <v>430</v>
      </c>
      <c r="D407" t="s">
        <v>22</v>
      </c>
      <c r="E407" t="s">
        <v>26</v>
      </c>
      <c r="F407">
        <v>35</v>
      </c>
      <c r="G407" s="5">
        <v>2</v>
      </c>
      <c r="H407" s="4">
        <v>245176.21</v>
      </c>
      <c r="I407" s="5">
        <v>1</v>
      </c>
      <c r="J407">
        <v>0</v>
      </c>
      <c r="K407">
        <v>1</v>
      </c>
      <c r="L407" s="4">
        <v>35708.43</v>
      </c>
      <c r="M407">
        <v>1</v>
      </c>
      <c r="N407" s="4">
        <f t="shared" si="12"/>
        <v>1.6226662134828842</v>
      </c>
      <c r="O407" s="4">
        <f t="shared" si="13"/>
        <v>-1.1365801373456854</v>
      </c>
      <c r="P407" t="str" cm="1">
        <f t="array" ref="P407">_xlfn.IFS(AND(F407&gt;15,F407&lt;=30), "Youngsters", AND(F407&gt;30,F407&lt;=50), "Adults", AND(F407&gt;50,F407&lt;=70),"Old person", AND(F407&gt;70, F407&lt;92), "Senior Citizens")</f>
        <v>Adults</v>
      </c>
      <c r="Q407" t="str" cm="1">
        <f t="array" ref="Q407">_xlfn.IFS(G407=0,"No Tenure Period",AND(G407&gt;0,G407&lt;=3),"Less Tenure Period",AND(G407&gt;3,G407&lt;=7),"More Tenure Period",AND(G407&gt;7,G407&lt;=10),"Large Tenure Period")</f>
        <v>Less Tenure Period</v>
      </c>
      <c r="R407" t="str" cm="1">
        <f t="array" ref="R407">_xlfn.IFS(AND(C407&gt;300,C407&lt;=525),"1 Star",AND(C407&gt;525,C407&lt;=600),"2 Star",AND(C407&gt;600,C407&lt;=700),"3 Star",AND(C407&gt;700,C407&lt;=750),"4 Star",AND(C407&gt;750,C407&lt;=900),"5 Star")</f>
        <v>1 Star</v>
      </c>
      <c r="S407" cm="1">
        <f t="array" ref="S407">_xlfn.IFS(E407="Male",1,E407="Female",2)</f>
        <v>2</v>
      </c>
      <c r="T407" cm="1">
        <f t="array" ref="T407">_xlfn.IFS(D407="France",1,D407="Germany",2,D407="Spain",3)</f>
        <v>2</v>
      </c>
    </row>
    <row r="408" spans="1:20" x14ac:dyDescent="0.3">
      <c r="A408">
        <v>408</v>
      </c>
      <c r="B408" t="s">
        <v>21</v>
      </c>
      <c r="C408" s="5">
        <v>505</v>
      </c>
      <c r="D408" t="s">
        <v>24</v>
      </c>
      <c r="E408" t="s">
        <v>25</v>
      </c>
      <c r="F408">
        <v>49</v>
      </c>
      <c r="G408" s="5">
        <v>7</v>
      </c>
      <c r="H408" s="4">
        <v>83107.39</v>
      </c>
      <c r="I408" s="5">
        <v>3</v>
      </c>
      <c r="J408">
        <v>0</v>
      </c>
      <c r="K408">
        <v>1</v>
      </c>
      <c r="L408" s="4">
        <v>41989.11</v>
      </c>
      <c r="M408">
        <v>0</v>
      </c>
      <c r="N408" s="4">
        <f t="shared" si="12"/>
        <v>-0.62914968923161296</v>
      </c>
      <c r="O408" s="4">
        <f t="shared" si="13"/>
        <v>-0.98310329735071567</v>
      </c>
      <c r="P408" t="str" cm="1">
        <f t="array" ref="P408">_xlfn.IFS(AND(F408&gt;15,F408&lt;=30), "Youngsters", AND(F408&gt;30,F408&lt;=50), "Adults", AND(F408&gt;50,F408&lt;=70),"Old person", AND(F408&gt;70, F408&lt;92), "Senior Citizens")</f>
        <v>Adults</v>
      </c>
      <c r="Q408" t="str" cm="1">
        <f t="array" ref="Q408">_xlfn.IFS(G408=0,"No Tenure Period",AND(G408&gt;0,G408&lt;=3),"Less Tenure Period",AND(G408&gt;3,G408&lt;=7),"More Tenure Period",AND(G408&gt;7,G408&lt;=10),"Large Tenure Period")</f>
        <v>More Tenure Period</v>
      </c>
      <c r="R408" t="str" cm="1">
        <f t="array" ref="R408">_xlfn.IFS(AND(C408&gt;300,C408&lt;=525),"1 Star",AND(C408&gt;525,C408&lt;=600),"2 Star",AND(C408&gt;600,C408&lt;=700),"3 Star",AND(C408&gt;700,C408&lt;=750),"4 Star",AND(C408&gt;750,C408&lt;=900),"5 Star")</f>
        <v>1 Star</v>
      </c>
      <c r="S408" cm="1">
        <f t="array" ref="S408">_xlfn.IFS(E408="Male",1,E408="Female",2)</f>
        <v>1</v>
      </c>
      <c r="T408" cm="1">
        <f t="array" ref="T408">_xlfn.IFS(D408="France",1,D408="Germany",2,D408="Spain",3)</f>
        <v>1</v>
      </c>
    </row>
    <row r="409" spans="1:20" x14ac:dyDescent="0.3">
      <c r="A409">
        <v>409</v>
      </c>
      <c r="B409" t="s">
        <v>17</v>
      </c>
      <c r="C409" s="5">
        <v>397</v>
      </c>
      <c r="D409" t="s">
        <v>24</v>
      </c>
      <c r="E409" t="s">
        <v>25</v>
      </c>
      <c r="F409">
        <v>49</v>
      </c>
      <c r="G409" s="5">
        <v>10</v>
      </c>
      <c r="H409" s="4">
        <v>232252.83</v>
      </c>
      <c r="I409" s="5">
        <v>2</v>
      </c>
      <c r="J409">
        <v>0</v>
      </c>
      <c r="K409">
        <v>1</v>
      </c>
      <c r="L409" s="4">
        <v>44531.43</v>
      </c>
      <c r="M409">
        <v>0</v>
      </c>
      <c r="N409" s="4">
        <f t="shared" si="12"/>
        <v>1.4431062425963035</v>
      </c>
      <c r="O409" s="4">
        <f t="shared" si="13"/>
        <v>-0.92097829816973342</v>
      </c>
      <c r="P409" t="str" cm="1">
        <f t="array" ref="P409">_xlfn.IFS(AND(F409&gt;15,F409&lt;=30), "Youngsters", AND(F409&gt;30,F409&lt;=50), "Adults", AND(F409&gt;50,F409&lt;=70),"Old person", AND(F409&gt;70, F409&lt;92), "Senior Citizens")</f>
        <v>Adults</v>
      </c>
      <c r="Q409" t="str" cm="1">
        <f t="array" ref="Q409">_xlfn.IFS(G409=0,"No Tenure Period",AND(G409&gt;0,G409&lt;=3),"Less Tenure Period",AND(G409&gt;3,G409&lt;=7),"More Tenure Period",AND(G409&gt;7,G409&lt;=10),"Large Tenure Period")</f>
        <v>Large Tenure Period</v>
      </c>
      <c r="R409" t="str" cm="1">
        <f t="array" ref="R409">_xlfn.IFS(AND(C409&gt;300,C409&lt;=525),"1 Star",AND(C409&gt;525,C409&lt;=600),"2 Star",AND(C409&gt;600,C409&lt;=700),"3 Star",AND(C409&gt;700,C409&lt;=750),"4 Star",AND(C409&gt;750,C409&lt;=900),"5 Star")</f>
        <v>1 Star</v>
      </c>
      <c r="S409" cm="1">
        <f t="array" ref="S409">_xlfn.IFS(E409="Male",1,E409="Female",2)</f>
        <v>1</v>
      </c>
      <c r="T409" cm="1">
        <f t="array" ref="T409">_xlfn.IFS(D409="France",1,D409="Germany",2,D409="Spain",3)</f>
        <v>1</v>
      </c>
    </row>
    <row r="410" spans="1:20" x14ac:dyDescent="0.3">
      <c r="A410">
        <v>410</v>
      </c>
      <c r="B410" t="s">
        <v>21</v>
      </c>
      <c r="C410" s="5">
        <v>845</v>
      </c>
      <c r="D410" t="s">
        <v>22</v>
      </c>
      <c r="E410" t="s">
        <v>26</v>
      </c>
      <c r="F410">
        <v>57</v>
      </c>
      <c r="G410" s="5">
        <v>3</v>
      </c>
      <c r="H410" s="4">
        <v>236890.08</v>
      </c>
      <c r="I410" s="5">
        <v>4</v>
      </c>
      <c r="J410">
        <v>0</v>
      </c>
      <c r="K410">
        <v>0</v>
      </c>
      <c r="L410" s="4">
        <v>67984.02</v>
      </c>
      <c r="M410">
        <v>1</v>
      </c>
      <c r="N410" s="4">
        <f t="shared" si="12"/>
        <v>1.5075371016280579</v>
      </c>
      <c r="O410" s="4">
        <f t="shared" si="13"/>
        <v>-0.34788280486365375</v>
      </c>
      <c r="P410" t="str" cm="1">
        <f t="array" ref="P410">_xlfn.IFS(AND(F410&gt;15,F410&lt;=30), "Youngsters", AND(F410&gt;30,F410&lt;=50), "Adults", AND(F410&gt;50,F410&lt;=70),"Old person", AND(F410&gt;70, F410&lt;92), "Senior Citizens")</f>
        <v>Old person</v>
      </c>
      <c r="Q410" t="str" cm="1">
        <f t="array" ref="Q410">_xlfn.IFS(G410=0,"No Tenure Period",AND(G410&gt;0,G410&lt;=3),"Less Tenure Period",AND(G410&gt;3,G410&lt;=7),"More Tenure Period",AND(G410&gt;7,G410&lt;=10),"Large Tenure Period")</f>
        <v>Less Tenure Period</v>
      </c>
      <c r="R410" t="str" cm="1">
        <f t="array" ref="R410">_xlfn.IFS(AND(C410&gt;300,C410&lt;=525),"1 Star",AND(C410&gt;525,C410&lt;=600),"2 Star",AND(C410&gt;600,C410&lt;=700),"3 Star",AND(C410&gt;700,C410&lt;=750),"4 Star",AND(C410&gt;750,C410&lt;=900),"5 Star")</f>
        <v>5 Star</v>
      </c>
      <c r="S410" cm="1">
        <f t="array" ref="S410">_xlfn.IFS(E410="Male",1,E410="Female",2)</f>
        <v>2</v>
      </c>
      <c r="T410" cm="1">
        <f t="array" ref="T410">_xlfn.IFS(D410="France",1,D410="Germany",2,D410="Spain",3)</f>
        <v>2</v>
      </c>
    </row>
    <row r="411" spans="1:20" x14ac:dyDescent="0.3">
      <c r="A411">
        <v>411</v>
      </c>
      <c r="B411" t="s">
        <v>14</v>
      </c>
      <c r="C411" s="5">
        <v>464</v>
      </c>
      <c r="D411" t="s">
        <v>23</v>
      </c>
      <c r="E411" t="s">
        <v>26</v>
      </c>
      <c r="F411">
        <v>68</v>
      </c>
      <c r="G411" s="5">
        <v>7</v>
      </c>
      <c r="H411" s="4">
        <v>162045.57</v>
      </c>
      <c r="I411" s="5">
        <v>1</v>
      </c>
      <c r="J411">
        <v>0</v>
      </c>
      <c r="K411">
        <v>0</v>
      </c>
      <c r="L411" s="4">
        <v>87532.67</v>
      </c>
      <c r="M411">
        <v>1</v>
      </c>
      <c r="N411" s="4">
        <f t="shared" si="12"/>
        <v>0.46763283226351171</v>
      </c>
      <c r="O411" s="4">
        <f t="shared" si="13"/>
        <v>0.12981467823812262</v>
      </c>
      <c r="P411" t="str" cm="1">
        <f t="array" ref="P411">_xlfn.IFS(AND(F411&gt;15,F411&lt;=30), "Youngsters", AND(F411&gt;30,F411&lt;=50), "Adults", AND(F411&gt;50,F411&lt;=70),"Old person", AND(F411&gt;70, F411&lt;92), "Senior Citizens")</f>
        <v>Old person</v>
      </c>
      <c r="Q411" t="str" cm="1">
        <f t="array" ref="Q411">_xlfn.IFS(G411=0,"No Tenure Period",AND(G411&gt;0,G411&lt;=3),"Less Tenure Period",AND(G411&gt;3,G411&lt;=7),"More Tenure Period",AND(G411&gt;7,G411&lt;=10),"Large Tenure Period")</f>
        <v>More Tenure Period</v>
      </c>
      <c r="R411" t="str" cm="1">
        <f t="array" ref="R411">_xlfn.IFS(AND(C411&gt;300,C411&lt;=525),"1 Star",AND(C411&gt;525,C411&lt;=600),"2 Star",AND(C411&gt;600,C411&lt;=700),"3 Star",AND(C411&gt;700,C411&lt;=750),"4 Star",AND(C411&gt;750,C411&lt;=900),"5 Star")</f>
        <v>1 Star</v>
      </c>
      <c r="S411" cm="1">
        <f t="array" ref="S411">_xlfn.IFS(E411="Male",1,E411="Female",2)</f>
        <v>2</v>
      </c>
      <c r="T411" cm="1">
        <f t="array" ref="T411">_xlfn.IFS(D411="France",1,D411="Germany",2,D411="Spain",3)</f>
        <v>3</v>
      </c>
    </row>
    <row r="412" spans="1:20" x14ac:dyDescent="0.3">
      <c r="A412">
        <v>412</v>
      </c>
      <c r="B412" t="s">
        <v>18</v>
      </c>
      <c r="C412" s="5">
        <v>361</v>
      </c>
      <c r="D412" t="s">
        <v>24</v>
      </c>
      <c r="E412" t="s">
        <v>26</v>
      </c>
      <c r="F412">
        <v>56</v>
      </c>
      <c r="G412" s="5">
        <v>3</v>
      </c>
      <c r="H412" s="4">
        <v>166147.69</v>
      </c>
      <c r="I412" s="5">
        <v>2</v>
      </c>
      <c r="J412">
        <v>1</v>
      </c>
      <c r="K412">
        <v>0</v>
      </c>
      <c r="L412" s="4">
        <v>56454.41</v>
      </c>
      <c r="M412">
        <v>1</v>
      </c>
      <c r="N412" s="4">
        <f t="shared" si="12"/>
        <v>0.52462849034779457</v>
      </c>
      <c r="O412" s="4">
        <f t="shared" si="13"/>
        <v>-0.62962428973064322</v>
      </c>
      <c r="P412" t="str" cm="1">
        <f t="array" ref="P412">_xlfn.IFS(AND(F412&gt;15,F412&lt;=30), "Youngsters", AND(F412&gt;30,F412&lt;=50), "Adults", AND(F412&gt;50,F412&lt;=70),"Old person", AND(F412&gt;70, F412&lt;92), "Senior Citizens")</f>
        <v>Old person</v>
      </c>
      <c r="Q412" t="str" cm="1">
        <f t="array" ref="Q412">_xlfn.IFS(G412=0,"No Tenure Period",AND(G412&gt;0,G412&lt;=3),"Less Tenure Period",AND(G412&gt;3,G412&lt;=7),"More Tenure Period",AND(G412&gt;7,G412&lt;=10),"Large Tenure Period")</f>
        <v>Less Tenure Period</v>
      </c>
      <c r="R412" t="str" cm="1">
        <f t="array" ref="R412">_xlfn.IFS(AND(C412&gt;300,C412&lt;=525),"1 Star",AND(C412&gt;525,C412&lt;=600),"2 Star",AND(C412&gt;600,C412&lt;=700),"3 Star",AND(C412&gt;700,C412&lt;=750),"4 Star",AND(C412&gt;750,C412&lt;=900),"5 Star")</f>
        <v>1 Star</v>
      </c>
      <c r="S412" cm="1">
        <f t="array" ref="S412">_xlfn.IFS(E412="Male",1,E412="Female",2)</f>
        <v>2</v>
      </c>
      <c r="T412" cm="1">
        <f t="array" ref="T412">_xlfn.IFS(D412="France",1,D412="Germany",2,D412="Spain",3)</f>
        <v>1</v>
      </c>
    </row>
    <row r="413" spans="1:20" x14ac:dyDescent="0.3">
      <c r="A413">
        <v>413</v>
      </c>
      <c r="B413" t="s">
        <v>21</v>
      </c>
      <c r="C413" s="5">
        <v>821</v>
      </c>
      <c r="D413" t="s">
        <v>23</v>
      </c>
      <c r="E413" t="s">
        <v>26</v>
      </c>
      <c r="F413">
        <v>86</v>
      </c>
      <c r="G413" s="5">
        <v>1</v>
      </c>
      <c r="H413" s="4">
        <v>89639.64</v>
      </c>
      <c r="I413" s="5">
        <v>3</v>
      </c>
      <c r="J413">
        <v>1</v>
      </c>
      <c r="K413">
        <v>0</v>
      </c>
      <c r="L413" s="4">
        <v>125590.02</v>
      </c>
      <c r="M413">
        <v>1</v>
      </c>
      <c r="N413" s="4">
        <f t="shared" si="12"/>
        <v>-0.53838932933939698</v>
      </c>
      <c r="O413" s="4">
        <f t="shared" si="13"/>
        <v>1.0597970713201716</v>
      </c>
      <c r="P413" t="str" cm="1">
        <f t="array" ref="P413">_xlfn.IFS(AND(F413&gt;15,F413&lt;=30), "Youngsters", AND(F413&gt;30,F413&lt;=50), "Adults", AND(F413&gt;50,F413&lt;=70),"Old person", AND(F413&gt;70, F413&lt;92), "Senior Citizens")</f>
        <v>Senior Citizens</v>
      </c>
      <c r="Q413" t="str" cm="1">
        <f t="array" ref="Q413">_xlfn.IFS(G413=0,"No Tenure Period",AND(G413&gt;0,G413&lt;=3),"Less Tenure Period",AND(G413&gt;3,G413&lt;=7),"More Tenure Period",AND(G413&gt;7,G413&lt;=10),"Large Tenure Period")</f>
        <v>Less Tenure Period</v>
      </c>
      <c r="R413" t="str" cm="1">
        <f t="array" ref="R413">_xlfn.IFS(AND(C413&gt;300,C413&lt;=525),"1 Star",AND(C413&gt;525,C413&lt;=600),"2 Star",AND(C413&gt;600,C413&lt;=700),"3 Star",AND(C413&gt;700,C413&lt;=750),"4 Star",AND(C413&gt;750,C413&lt;=900),"5 Star")</f>
        <v>5 Star</v>
      </c>
      <c r="S413" cm="1">
        <f t="array" ref="S413">_xlfn.IFS(E413="Male",1,E413="Female",2)</f>
        <v>2</v>
      </c>
      <c r="T413" cm="1">
        <f t="array" ref="T413">_xlfn.IFS(D413="France",1,D413="Germany",2,D413="Spain",3)</f>
        <v>3</v>
      </c>
    </row>
    <row r="414" spans="1:20" x14ac:dyDescent="0.3">
      <c r="A414">
        <v>414</v>
      </c>
      <c r="B414" t="s">
        <v>21</v>
      </c>
      <c r="C414" s="5">
        <v>684</v>
      </c>
      <c r="D414" t="s">
        <v>22</v>
      </c>
      <c r="E414" t="s">
        <v>26</v>
      </c>
      <c r="F414">
        <v>57</v>
      </c>
      <c r="G414" s="5">
        <v>4</v>
      </c>
      <c r="H414" s="4">
        <v>186325.98</v>
      </c>
      <c r="I414" s="5">
        <v>4</v>
      </c>
      <c r="J414">
        <v>0</v>
      </c>
      <c r="K414">
        <v>0</v>
      </c>
      <c r="L414" s="4">
        <v>76620.289999999994</v>
      </c>
      <c r="M414">
        <v>0</v>
      </c>
      <c r="N414" s="4">
        <f t="shared" si="12"/>
        <v>0.8049896005945707</v>
      </c>
      <c r="O414" s="4">
        <f t="shared" si="13"/>
        <v>-0.13684396369623941</v>
      </c>
      <c r="P414" t="str" cm="1">
        <f t="array" ref="P414">_xlfn.IFS(AND(F414&gt;15,F414&lt;=30), "Youngsters", AND(F414&gt;30,F414&lt;=50), "Adults", AND(F414&gt;50,F414&lt;=70),"Old person", AND(F414&gt;70, F414&lt;92), "Senior Citizens")</f>
        <v>Old person</v>
      </c>
      <c r="Q414" t="str" cm="1">
        <f t="array" ref="Q414">_xlfn.IFS(G414=0,"No Tenure Period",AND(G414&gt;0,G414&lt;=3),"Less Tenure Period",AND(G414&gt;3,G414&lt;=7),"More Tenure Period",AND(G414&gt;7,G414&lt;=10),"Large Tenure Period")</f>
        <v>More Tenure Period</v>
      </c>
      <c r="R414" t="str" cm="1">
        <f t="array" ref="R414">_xlfn.IFS(AND(C414&gt;300,C414&lt;=525),"1 Star",AND(C414&gt;525,C414&lt;=600),"2 Star",AND(C414&gt;600,C414&lt;=700),"3 Star",AND(C414&gt;700,C414&lt;=750),"4 Star",AND(C414&gt;750,C414&lt;=900),"5 Star")</f>
        <v>3 Star</v>
      </c>
      <c r="S414" cm="1">
        <f t="array" ref="S414">_xlfn.IFS(E414="Male",1,E414="Female",2)</f>
        <v>2</v>
      </c>
      <c r="T414" cm="1">
        <f t="array" ref="T414">_xlfn.IFS(D414="France",1,D414="Germany",2,D414="Spain",3)</f>
        <v>2</v>
      </c>
    </row>
    <row r="415" spans="1:20" x14ac:dyDescent="0.3">
      <c r="A415">
        <v>415</v>
      </c>
      <c r="B415" t="s">
        <v>13</v>
      </c>
      <c r="C415" s="5">
        <v>837</v>
      </c>
      <c r="D415" t="s">
        <v>24</v>
      </c>
      <c r="E415" t="s">
        <v>25</v>
      </c>
      <c r="F415">
        <v>31</v>
      </c>
      <c r="G415" s="5">
        <v>5</v>
      </c>
      <c r="H415" s="4">
        <v>150640.24</v>
      </c>
      <c r="I415" s="5">
        <v>4</v>
      </c>
      <c r="J415">
        <v>0</v>
      </c>
      <c r="K415">
        <v>0</v>
      </c>
      <c r="L415" s="4">
        <v>52816.7</v>
      </c>
      <c r="M415">
        <v>1</v>
      </c>
      <c r="N415" s="4">
        <f t="shared" si="12"/>
        <v>0.30916494516649468</v>
      </c>
      <c r="O415" s="4">
        <f t="shared" si="13"/>
        <v>-0.71851661279408585</v>
      </c>
      <c r="P415" t="str" cm="1">
        <f t="array" ref="P415">_xlfn.IFS(AND(F415&gt;15,F415&lt;=30), "Youngsters", AND(F415&gt;30,F415&lt;=50), "Adults", AND(F415&gt;50,F415&lt;=70),"Old person", AND(F415&gt;70, F415&lt;92), "Senior Citizens")</f>
        <v>Adults</v>
      </c>
      <c r="Q415" t="str" cm="1">
        <f t="array" ref="Q415">_xlfn.IFS(G415=0,"No Tenure Period",AND(G415&gt;0,G415&lt;=3),"Less Tenure Period",AND(G415&gt;3,G415&lt;=7),"More Tenure Period",AND(G415&gt;7,G415&lt;=10),"Large Tenure Period")</f>
        <v>More Tenure Period</v>
      </c>
      <c r="R415" t="str" cm="1">
        <f t="array" ref="R415">_xlfn.IFS(AND(C415&gt;300,C415&lt;=525),"1 Star",AND(C415&gt;525,C415&lt;=600),"2 Star",AND(C415&gt;600,C415&lt;=700),"3 Star",AND(C415&gt;700,C415&lt;=750),"4 Star",AND(C415&gt;750,C415&lt;=900),"5 Star")</f>
        <v>5 Star</v>
      </c>
      <c r="S415" cm="1">
        <f t="array" ref="S415">_xlfn.IFS(E415="Male",1,E415="Female",2)</f>
        <v>1</v>
      </c>
      <c r="T415" cm="1">
        <f t="array" ref="T415">_xlfn.IFS(D415="France",1,D415="Germany",2,D415="Spain",3)</f>
        <v>1</v>
      </c>
    </row>
    <row r="416" spans="1:20" x14ac:dyDescent="0.3">
      <c r="A416">
        <v>416</v>
      </c>
      <c r="B416" t="s">
        <v>15</v>
      </c>
      <c r="C416" s="5">
        <v>636</v>
      </c>
      <c r="D416" t="s">
        <v>24</v>
      </c>
      <c r="E416" t="s">
        <v>26</v>
      </c>
      <c r="F416">
        <v>53</v>
      </c>
      <c r="G416" s="5">
        <v>3</v>
      </c>
      <c r="H416" s="4">
        <v>196579.74</v>
      </c>
      <c r="I416" s="5">
        <v>2</v>
      </c>
      <c r="J416">
        <v>1</v>
      </c>
      <c r="K416">
        <v>0</v>
      </c>
      <c r="L416" s="4">
        <v>58389.15</v>
      </c>
      <c r="M416">
        <v>1</v>
      </c>
      <c r="N416" s="4">
        <f t="shared" si="12"/>
        <v>0.94745734874389254</v>
      </c>
      <c r="O416" s="4">
        <f t="shared" si="13"/>
        <v>-0.58234632278886822</v>
      </c>
      <c r="P416" t="str" cm="1">
        <f t="array" ref="P416">_xlfn.IFS(AND(F416&gt;15,F416&lt;=30), "Youngsters", AND(F416&gt;30,F416&lt;=50), "Adults", AND(F416&gt;50,F416&lt;=70),"Old person", AND(F416&gt;70, F416&lt;92), "Senior Citizens")</f>
        <v>Old person</v>
      </c>
      <c r="Q416" t="str" cm="1">
        <f t="array" ref="Q416">_xlfn.IFS(G416=0,"No Tenure Period",AND(G416&gt;0,G416&lt;=3),"Less Tenure Period",AND(G416&gt;3,G416&lt;=7),"More Tenure Period",AND(G416&gt;7,G416&lt;=10),"Large Tenure Period")</f>
        <v>Less Tenure Period</v>
      </c>
      <c r="R416" t="str" cm="1">
        <f t="array" ref="R416">_xlfn.IFS(AND(C416&gt;300,C416&lt;=525),"1 Star",AND(C416&gt;525,C416&lt;=600),"2 Star",AND(C416&gt;600,C416&lt;=700),"3 Star",AND(C416&gt;700,C416&lt;=750),"4 Star",AND(C416&gt;750,C416&lt;=900),"5 Star")</f>
        <v>3 Star</v>
      </c>
      <c r="S416" cm="1">
        <f t="array" ref="S416">_xlfn.IFS(E416="Male",1,E416="Female",2)</f>
        <v>2</v>
      </c>
      <c r="T416" cm="1">
        <f t="array" ref="T416">_xlfn.IFS(D416="France",1,D416="Germany",2,D416="Spain",3)</f>
        <v>1</v>
      </c>
    </row>
    <row r="417" spans="1:20" x14ac:dyDescent="0.3">
      <c r="A417">
        <v>417</v>
      </c>
      <c r="B417" t="s">
        <v>20</v>
      </c>
      <c r="C417" s="5">
        <v>440</v>
      </c>
      <c r="D417" t="s">
        <v>24</v>
      </c>
      <c r="E417" t="s">
        <v>25</v>
      </c>
      <c r="F417">
        <v>29</v>
      </c>
      <c r="G417" s="5">
        <v>2</v>
      </c>
      <c r="H417" s="4">
        <v>38378.400000000001</v>
      </c>
      <c r="I417" s="5">
        <v>2</v>
      </c>
      <c r="J417">
        <v>0</v>
      </c>
      <c r="K417">
        <v>0</v>
      </c>
      <c r="L417" s="4">
        <v>148498.85</v>
      </c>
      <c r="M417">
        <v>1</v>
      </c>
      <c r="N417" s="4">
        <f t="shared" si="12"/>
        <v>-1.2506230299664793</v>
      </c>
      <c r="O417" s="4">
        <f t="shared" si="13"/>
        <v>1.6196050596879858</v>
      </c>
      <c r="P417" t="str" cm="1">
        <f t="array" ref="P417">_xlfn.IFS(AND(F417&gt;15,F417&lt;=30), "Youngsters", AND(F417&gt;30,F417&lt;=50), "Adults", AND(F417&gt;50,F417&lt;=70),"Old person", AND(F417&gt;70, F417&lt;92), "Senior Citizens")</f>
        <v>Youngsters</v>
      </c>
      <c r="Q417" t="str" cm="1">
        <f t="array" ref="Q417">_xlfn.IFS(G417=0,"No Tenure Period",AND(G417&gt;0,G417&lt;=3),"Less Tenure Period",AND(G417&gt;3,G417&lt;=7),"More Tenure Period",AND(G417&gt;7,G417&lt;=10),"Large Tenure Period")</f>
        <v>Less Tenure Period</v>
      </c>
      <c r="R417" t="str" cm="1">
        <f t="array" ref="R417">_xlfn.IFS(AND(C417&gt;300,C417&lt;=525),"1 Star",AND(C417&gt;525,C417&lt;=600),"2 Star",AND(C417&gt;600,C417&lt;=700),"3 Star",AND(C417&gt;700,C417&lt;=750),"4 Star",AND(C417&gt;750,C417&lt;=900),"5 Star")</f>
        <v>1 Star</v>
      </c>
      <c r="S417" cm="1">
        <f t="array" ref="S417">_xlfn.IFS(E417="Male",1,E417="Female",2)</f>
        <v>1</v>
      </c>
      <c r="T417" cm="1">
        <f t="array" ref="T417">_xlfn.IFS(D417="France",1,D417="Germany",2,D417="Spain",3)</f>
        <v>1</v>
      </c>
    </row>
    <row r="418" spans="1:20" x14ac:dyDescent="0.3">
      <c r="A418">
        <v>418</v>
      </c>
      <c r="B418" t="s">
        <v>18</v>
      </c>
      <c r="C418" s="5">
        <v>640</v>
      </c>
      <c r="D418" t="s">
        <v>24</v>
      </c>
      <c r="E418" t="s">
        <v>26</v>
      </c>
      <c r="F418">
        <v>72</v>
      </c>
      <c r="G418" s="5">
        <v>1</v>
      </c>
      <c r="H418" s="4">
        <v>203648.16</v>
      </c>
      <c r="I418" s="5">
        <v>2</v>
      </c>
      <c r="J418">
        <v>0</v>
      </c>
      <c r="K418">
        <v>0</v>
      </c>
      <c r="L418" s="4">
        <v>102614.36</v>
      </c>
      <c r="M418">
        <v>1</v>
      </c>
      <c r="N418" s="4">
        <f t="shared" si="12"/>
        <v>1.0456673595471133</v>
      </c>
      <c r="O418" s="4">
        <f t="shared" si="13"/>
        <v>0.49835600226414145</v>
      </c>
      <c r="P418" t="str" cm="1">
        <f t="array" ref="P418">_xlfn.IFS(AND(F418&gt;15,F418&lt;=30), "Youngsters", AND(F418&gt;30,F418&lt;=50), "Adults", AND(F418&gt;50,F418&lt;=70),"Old person", AND(F418&gt;70, F418&lt;92), "Senior Citizens")</f>
        <v>Senior Citizens</v>
      </c>
      <c r="Q418" t="str" cm="1">
        <f t="array" ref="Q418">_xlfn.IFS(G418=0,"No Tenure Period",AND(G418&gt;0,G418&lt;=3),"Less Tenure Period",AND(G418&gt;3,G418&lt;=7),"More Tenure Period",AND(G418&gt;7,G418&lt;=10),"Large Tenure Period")</f>
        <v>Less Tenure Period</v>
      </c>
      <c r="R418" t="str" cm="1">
        <f t="array" ref="R418">_xlfn.IFS(AND(C418&gt;300,C418&lt;=525),"1 Star",AND(C418&gt;525,C418&lt;=600),"2 Star",AND(C418&gt;600,C418&lt;=700),"3 Star",AND(C418&gt;700,C418&lt;=750),"4 Star",AND(C418&gt;750,C418&lt;=900),"5 Star")</f>
        <v>3 Star</v>
      </c>
      <c r="S418" cm="1">
        <f t="array" ref="S418">_xlfn.IFS(E418="Male",1,E418="Female",2)</f>
        <v>2</v>
      </c>
      <c r="T418" cm="1">
        <f t="array" ref="T418">_xlfn.IFS(D418="France",1,D418="Germany",2,D418="Spain",3)</f>
        <v>1</v>
      </c>
    </row>
    <row r="419" spans="1:20" x14ac:dyDescent="0.3">
      <c r="A419">
        <v>419</v>
      </c>
      <c r="B419" t="s">
        <v>14</v>
      </c>
      <c r="C419" s="5">
        <v>404</v>
      </c>
      <c r="D419" t="s">
        <v>24</v>
      </c>
      <c r="E419" t="s">
        <v>26</v>
      </c>
      <c r="F419">
        <v>54</v>
      </c>
      <c r="G419" s="5">
        <v>10</v>
      </c>
      <c r="H419" s="4">
        <v>180845.4</v>
      </c>
      <c r="I419" s="5">
        <v>1</v>
      </c>
      <c r="J419">
        <v>0</v>
      </c>
      <c r="K419">
        <v>1</v>
      </c>
      <c r="L419" s="4">
        <v>67354.759999999995</v>
      </c>
      <c r="M419">
        <v>1</v>
      </c>
      <c r="N419" s="4">
        <f t="shared" si="12"/>
        <v>0.72884134949914692</v>
      </c>
      <c r="O419" s="4">
        <f t="shared" si="13"/>
        <v>-0.36325961698196518</v>
      </c>
      <c r="P419" t="str" cm="1">
        <f t="array" ref="P419">_xlfn.IFS(AND(F419&gt;15,F419&lt;=30), "Youngsters", AND(F419&gt;30,F419&lt;=50), "Adults", AND(F419&gt;50,F419&lt;=70),"Old person", AND(F419&gt;70, F419&lt;92), "Senior Citizens")</f>
        <v>Old person</v>
      </c>
      <c r="Q419" t="str" cm="1">
        <f t="array" ref="Q419">_xlfn.IFS(G419=0,"No Tenure Period",AND(G419&gt;0,G419&lt;=3),"Less Tenure Period",AND(G419&gt;3,G419&lt;=7),"More Tenure Period",AND(G419&gt;7,G419&lt;=10),"Large Tenure Period")</f>
        <v>Large Tenure Period</v>
      </c>
      <c r="R419" t="str" cm="1">
        <f t="array" ref="R419">_xlfn.IFS(AND(C419&gt;300,C419&lt;=525),"1 Star",AND(C419&gt;525,C419&lt;=600),"2 Star",AND(C419&gt;600,C419&lt;=700),"3 Star",AND(C419&gt;700,C419&lt;=750),"4 Star",AND(C419&gt;750,C419&lt;=900),"5 Star")</f>
        <v>1 Star</v>
      </c>
      <c r="S419" cm="1">
        <f t="array" ref="S419">_xlfn.IFS(E419="Male",1,E419="Female",2)</f>
        <v>2</v>
      </c>
      <c r="T419" cm="1">
        <f t="array" ref="T419">_xlfn.IFS(D419="France",1,D419="Germany",2,D419="Spain",3)</f>
        <v>1</v>
      </c>
    </row>
    <row r="420" spans="1:20" x14ac:dyDescent="0.3">
      <c r="A420">
        <v>420</v>
      </c>
      <c r="B420" t="s">
        <v>12</v>
      </c>
      <c r="C420" s="5">
        <v>687</v>
      </c>
      <c r="D420" t="s">
        <v>24</v>
      </c>
      <c r="E420" t="s">
        <v>26</v>
      </c>
      <c r="F420">
        <v>69</v>
      </c>
      <c r="G420" s="5">
        <v>3</v>
      </c>
      <c r="H420" s="4">
        <v>136486.32999999999</v>
      </c>
      <c r="I420" s="5">
        <v>4</v>
      </c>
      <c r="J420">
        <v>0</v>
      </c>
      <c r="K420">
        <v>0</v>
      </c>
      <c r="L420" s="4">
        <v>135558.76</v>
      </c>
      <c r="M420">
        <v>0</v>
      </c>
      <c r="N420" s="4">
        <f t="shared" si="12"/>
        <v>0.11250774963937381</v>
      </c>
      <c r="O420" s="4">
        <f t="shared" si="13"/>
        <v>1.3033966041623888</v>
      </c>
      <c r="P420" t="str" cm="1">
        <f t="array" ref="P420">_xlfn.IFS(AND(F420&gt;15,F420&lt;=30), "Youngsters", AND(F420&gt;30,F420&lt;=50), "Adults", AND(F420&gt;50,F420&lt;=70),"Old person", AND(F420&gt;70, F420&lt;92), "Senior Citizens")</f>
        <v>Old person</v>
      </c>
      <c r="Q420" t="str" cm="1">
        <f t="array" ref="Q420">_xlfn.IFS(G420=0,"No Tenure Period",AND(G420&gt;0,G420&lt;=3),"Less Tenure Period",AND(G420&gt;3,G420&lt;=7),"More Tenure Period",AND(G420&gt;7,G420&lt;=10),"Large Tenure Period")</f>
        <v>Less Tenure Period</v>
      </c>
      <c r="R420" t="str" cm="1">
        <f t="array" ref="R420">_xlfn.IFS(AND(C420&gt;300,C420&lt;=525),"1 Star",AND(C420&gt;525,C420&lt;=600),"2 Star",AND(C420&gt;600,C420&lt;=700),"3 Star",AND(C420&gt;700,C420&lt;=750),"4 Star",AND(C420&gt;750,C420&lt;=900),"5 Star")</f>
        <v>3 Star</v>
      </c>
      <c r="S420" cm="1">
        <f t="array" ref="S420">_xlfn.IFS(E420="Male",1,E420="Female",2)</f>
        <v>2</v>
      </c>
      <c r="T420" cm="1">
        <f t="array" ref="T420">_xlfn.IFS(D420="France",1,D420="Germany",2,D420="Spain",3)</f>
        <v>1</v>
      </c>
    </row>
    <row r="421" spans="1:20" x14ac:dyDescent="0.3">
      <c r="A421">
        <v>421</v>
      </c>
      <c r="B421" t="s">
        <v>19</v>
      </c>
      <c r="C421" s="5">
        <v>513</v>
      </c>
      <c r="D421" t="s">
        <v>22</v>
      </c>
      <c r="E421" t="s">
        <v>25</v>
      </c>
      <c r="F421">
        <v>52</v>
      </c>
      <c r="G421" s="5">
        <v>4</v>
      </c>
      <c r="H421" s="4">
        <v>64929.13</v>
      </c>
      <c r="I421" s="5">
        <v>2</v>
      </c>
      <c r="J421">
        <v>1</v>
      </c>
      <c r="K421">
        <v>1</v>
      </c>
      <c r="L421" s="4">
        <v>117045.7</v>
      </c>
      <c r="M421">
        <v>0</v>
      </c>
      <c r="N421" s="4">
        <f t="shared" si="12"/>
        <v>-0.88172199124305994</v>
      </c>
      <c r="O421" s="4">
        <f t="shared" si="13"/>
        <v>0.85100515173410429</v>
      </c>
      <c r="P421" t="str" cm="1">
        <f t="array" ref="P421">_xlfn.IFS(AND(F421&gt;15,F421&lt;=30), "Youngsters", AND(F421&gt;30,F421&lt;=50), "Adults", AND(F421&gt;50,F421&lt;=70),"Old person", AND(F421&gt;70, F421&lt;92), "Senior Citizens")</f>
        <v>Old person</v>
      </c>
      <c r="Q421" t="str" cm="1">
        <f t="array" ref="Q421">_xlfn.IFS(G421=0,"No Tenure Period",AND(G421&gt;0,G421&lt;=3),"Less Tenure Period",AND(G421&gt;3,G421&lt;=7),"More Tenure Period",AND(G421&gt;7,G421&lt;=10),"Large Tenure Period")</f>
        <v>More Tenure Period</v>
      </c>
      <c r="R421" t="str" cm="1">
        <f t="array" ref="R421">_xlfn.IFS(AND(C421&gt;300,C421&lt;=525),"1 Star",AND(C421&gt;525,C421&lt;=600),"2 Star",AND(C421&gt;600,C421&lt;=700),"3 Star",AND(C421&gt;700,C421&lt;=750),"4 Star",AND(C421&gt;750,C421&lt;=900),"5 Star")</f>
        <v>1 Star</v>
      </c>
      <c r="S421" cm="1">
        <f t="array" ref="S421">_xlfn.IFS(E421="Male",1,E421="Female",2)</f>
        <v>1</v>
      </c>
      <c r="T421" cm="1">
        <f t="array" ref="T421">_xlfn.IFS(D421="France",1,D421="Germany",2,D421="Spain",3)</f>
        <v>2</v>
      </c>
    </row>
    <row r="422" spans="1:20" x14ac:dyDescent="0.3">
      <c r="A422">
        <v>422</v>
      </c>
      <c r="B422" t="s">
        <v>14</v>
      </c>
      <c r="C422" s="5">
        <v>421</v>
      </c>
      <c r="D422" t="s">
        <v>24</v>
      </c>
      <c r="E422" t="s">
        <v>26</v>
      </c>
      <c r="F422">
        <v>76</v>
      </c>
      <c r="G422" s="5">
        <v>4</v>
      </c>
      <c r="H422" s="4">
        <v>24418.55</v>
      </c>
      <c r="I422" s="5">
        <v>3</v>
      </c>
      <c r="J422">
        <v>0</v>
      </c>
      <c r="K422">
        <v>1</v>
      </c>
      <c r="L422" s="4">
        <v>131045.9</v>
      </c>
      <c r="M422">
        <v>0</v>
      </c>
      <c r="N422" s="4">
        <f t="shared" si="12"/>
        <v>-1.4445839178751403</v>
      </c>
      <c r="O422" s="4">
        <f t="shared" si="13"/>
        <v>1.1931188170215534</v>
      </c>
      <c r="P422" t="str" cm="1">
        <f t="array" ref="P422">_xlfn.IFS(AND(F422&gt;15,F422&lt;=30), "Youngsters", AND(F422&gt;30,F422&lt;=50), "Adults", AND(F422&gt;50,F422&lt;=70),"Old person", AND(F422&gt;70, F422&lt;92), "Senior Citizens")</f>
        <v>Senior Citizens</v>
      </c>
      <c r="Q422" t="str" cm="1">
        <f t="array" ref="Q422">_xlfn.IFS(G422=0,"No Tenure Period",AND(G422&gt;0,G422&lt;=3),"Less Tenure Period",AND(G422&gt;3,G422&lt;=7),"More Tenure Period",AND(G422&gt;7,G422&lt;=10),"Large Tenure Period")</f>
        <v>More Tenure Period</v>
      </c>
      <c r="R422" t="str" cm="1">
        <f t="array" ref="R422">_xlfn.IFS(AND(C422&gt;300,C422&lt;=525),"1 Star",AND(C422&gt;525,C422&lt;=600),"2 Star",AND(C422&gt;600,C422&lt;=700),"3 Star",AND(C422&gt;700,C422&lt;=750),"4 Star",AND(C422&gt;750,C422&lt;=900),"5 Star")</f>
        <v>1 Star</v>
      </c>
      <c r="S422" cm="1">
        <f t="array" ref="S422">_xlfn.IFS(E422="Male",1,E422="Female",2)</f>
        <v>2</v>
      </c>
      <c r="T422" cm="1">
        <f t="array" ref="T422">_xlfn.IFS(D422="France",1,D422="Germany",2,D422="Spain",3)</f>
        <v>1</v>
      </c>
    </row>
    <row r="423" spans="1:20" x14ac:dyDescent="0.3">
      <c r="A423">
        <v>423</v>
      </c>
      <c r="B423" t="s">
        <v>17</v>
      </c>
      <c r="C423" s="5">
        <v>715</v>
      </c>
      <c r="D423" t="s">
        <v>24</v>
      </c>
      <c r="E423" t="s">
        <v>26</v>
      </c>
      <c r="F423">
        <v>46</v>
      </c>
      <c r="G423" s="5">
        <v>6</v>
      </c>
      <c r="H423" s="4">
        <v>121208.33</v>
      </c>
      <c r="I423" s="5">
        <v>1</v>
      </c>
      <c r="J423">
        <v>1</v>
      </c>
      <c r="K423">
        <v>0</v>
      </c>
      <c r="L423" s="4">
        <v>32556.34</v>
      </c>
      <c r="M423">
        <v>1</v>
      </c>
      <c r="N423" s="4">
        <f t="shared" si="12"/>
        <v>-9.9767772337475635E-2</v>
      </c>
      <c r="O423" s="4">
        <f t="shared" si="13"/>
        <v>-1.2136056843532936</v>
      </c>
      <c r="P423" t="str" cm="1">
        <f t="array" ref="P423">_xlfn.IFS(AND(F423&gt;15,F423&lt;=30), "Youngsters", AND(F423&gt;30,F423&lt;=50), "Adults", AND(F423&gt;50,F423&lt;=70),"Old person", AND(F423&gt;70, F423&lt;92), "Senior Citizens")</f>
        <v>Adults</v>
      </c>
      <c r="Q423" t="str" cm="1">
        <f t="array" ref="Q423">_xlfn.IFS(G423=0,"No Tenure Period",AND(G423&gt;0,G423&lt;=3),"Less Tenure Period",AND(G423&gt;3,G423&lt;=7),"More Tenure Period",AND(G423&gt;7,G423&lt;=10),"Large Tenure Period")</f>
        <v>More Tenure Period</v>
      </c>
      <c r="R423" t="str" cm="1">
        <f t="array" ref="R423">_xlfn.IFS(AND(C423&gt;300,C423&lt;=525),"1 Star",AND(C423&gt;525,C423&lt;=600),"2 Star",AND(C423&gt;600,C423&lt;=700),"3 Star",AND(C423&gt;700,C423&lt;=750),"4 Star",AND(C423&gt;750,C423&lt;=900),"5 Star")</f>
        <v>4 Star</v>
      </c>
      <c r="S423" cm="1">
        <f t="array" ref="S423">_xlfn.IFS(E423="Male",1,E423="Female",2)</f>
        <v>2</v>
      </c>
      <c r="T423" cm="1">
        <f t="array" ref="T423">_xlfn.IFS(D423="France",1,D423="Germany",2,D423="Spain",3)</f>
        <v>1</v>
      </c>
    </row>
    <row r="424" spans="1:20" x14ac:dyDescent="0.3">
      <c r="A424">
        <v>424</v>
      </c>
      <c r="B424" t="s">
        <v>16</v>
      </c>
      <c r="C424" s="5">
        <v>665</v>
      </c>
      <c r="D424" t="s">
        <v>22</v>
      </c>
      <c r="E424" t="s">
        <v>25</v>
      </c>
      <c r="F424">
        <v>27</v>
      </c>
      <c r="G424" s="5">
        <v>9</v>
      </c>
      <c r="H424" s="4">
        <v>36155.39</v>
      </c>
      <c r="I424" s="5">
        <v>3</v>
      </c>
      <c r="J424">
        <v>0</v>
      </c>
      <c r="K424">
        <v>0</v>
      </c>
      <c r="L424" s="4">
        <v>122338.51</v>
      </c>
      <c r="M424">
        <v>1</v>
      </c>
      <c r="N424" s="4">
        <f t="shared" si="12"/>
        <v>-1.2815099659600488</v>
      </c>
      <c r="O424" s="4">
        <f t="shared" si="13"/>
        <v>0.98034206326180129</v>
      </c>
      <c r="P424" t="str" cm="1">
        <f t="array" ref="P424">_xlfn.IFS(AND(F424&gt;15,F424&lt;=30), "Youngsters", AND(F424&gt;30,F424&lt;=50), "Adults", AND(F424&gt;50,F424&lt;=70),"Old person", AND(F424&gt;70, F424&lt;92), "Senior Citizens")</f>
        <v>Youngsters</v>
      </c>
      <c r="Q424" t="str" cm="1">
        <f t="array" ref="Q424">_xlfn.IFS(G424=0,"No Tenure Period",AND(G424&gt;0,G424&lt;=3),"Less Tenure Period",AND(G424&gt;3,G424&lt;=7),"More Tenure Period",AND(G424&gt;7,G424&lt;=10),"Large Tenure Period")</f>
        <v>Large Tenure Period</v>
      </c>
      <c r="R424" t="str" cm="1">
        <f t="array" ref="R424">_xlfn.IFS(AND(C424&gt;300,C424&lt;=525),"1 Star",AND(C424&gt;525,C424&lt;=600),"2 Star",AND(C424&gt;600,C424&lt;=700),"3 Star",AND(C424&gt;700,C424&lt;=750),"4 Star",AND(C424&gt;750,C424&lt;=900),"5 Star")</f>
        <v>3 Star</v>
      </c>
      <c r="S424" cm="1">
        <f t="array" ref="S424">_xlfn.IFS(E424="Male",1,E424="Female",2)</f>
        <v>1</v>
      </c>
      <c r="T424" cm="1">
        <f t="array" ref="T424">_xlfn.IFS(D424="France",1,D424="Germany",2,D424="Spain",3)</f>
        <v>2</v>
      </c>
    </row>
    <row r="425" spans="1:20" x14ac:dyDescent="0.3">
      <c r="A425">
        <v>425</v>
      </c>
      <c r="B425" t="s">
        <v>20</v>
      </c>
      <c r="C425" s="5">
        <v>462</v>
      </c>
      <c r="D425" t="s">
        <v>24</v>
      </c>
      <c r="E425" t="s">
        <v>25</v>
      </c>
      <c r="F425">
        <v>26</v>
      </c>
      <c r="G425" s="5">
        <v>9</v>
      </c>
      <c r="H425" s="4">
        <v>190443.29</v>
      </c>
      <c r="I425" s="5">
        <v>4</v>
      </c>
      <c r="J425">
        <v>1</v>
      </c>
      <c r="K425">
        <v>0</v>
      </c>
      <c r="L425" s="4">
        <v>77215.990000000005</v>
      </c>
      <c r="M425">
        <v>1</v>
      </c>
      <c r="N425" s="4">
        <f t="shared" si="12"/>
        <v>0.86219631151160847</v>
      </c>
      <c r="O425" s="4">
        <f t="shared" si="13"/>
        <v>-0.12228723519152251</v>
      </c>
      <c r="P425" t="str" cm="1">
        <f t="array" ref="P425">_xlfn.IFS(AND(F425&gt;15,F425&lt;=30), "Youngsters", AND(F425&gt;30,F425&lt;=50), "Adults", AND(F425&gt;50,F425&lt;=70),"Old person", AND(F425&gt;70, F425&lt;92), "Senior Citizens")</f>
        <v>Youngsters</v>
      </c>
      <c r="Q425" t="str" cm="1">
        <f t="array" ref="Q425">_xlfn.IFS(G425=0,"No Tenure Period",AND(G425&gt;0,G425&lt;=3),"Less Tenure Period",AND(G425&gt;3,G425&lt;=7),"More Tenure Period",AND(G425&gt;7,G425&lt;=10),"Large Tenure Period")</f>
        <v>Large Tenure Period</v>
      </c>
      <c r="R425" t="str" cm="1">
        <f t="array" ref="R425">_xlfn.IFS(AND(C425&gt;300,C425&lt;=525),"1 Star",AND(C425&gt;525,C425&lt;=600),"2 Star",AND(C425&gt;600,C425&lt;=700),"3 Star",AND(C425&gt;700,C425&lt;=750),"4 Star",AND(C425&gt;750,C425&lt;=900),"5 Star")</f>
        <v>1 Star</v>
      </c>
      <c r="S425" cm="1">
        <f t="array" ref="S425">_xlfn.IFS(E425="Male",1,E425="Female",2)</f>
        <v>1</v>
      </c>
      <c r="T425" cm="1">
        <f t="array" ref="T425">_xlfn.IFS(D425="France",1,D425="Germany",2,D425="Spain",3)</f>
        <v>1</v>
      </c>
    </row>
    <row r="426" spans="1:20" x14ac:dyDescent="0.3">
      <c r="A426">
        <v>426</v>
      </c>
      <c r="B426" t="s">
        <v>21</v>
      </c>
      <c r="C426" s="5">
        <v>771</v>
      </c>
      <c r="D426" t="s">
        <v>24</v>
      </c>
      <c r="E426" t="s">
        <v>26</v>
      </c>
      <c r="F426">
        <v>35</v>
      </c>
      <c r="G426" s="5">
        <v>3</v>
      </c>
      <c r="H426" s="4">
        <v>231139.73</v>
      </c>
      <c r="I426" s="5">
        <v>4</v>
      </c>
      <c r="J426">
        <v>1</v>
      </c>
      <c r="K426">
        <v>0</v>
      </c>
      <c r="L426" s="4">
        <v>19540.71</v>
      </c>
      <c r="M426">
        <v>1</v>
      </c>
      <c r="N426" s="4">
        <f t="shared" si="12"/>
        <v>1.4276406133573698</v>
      </c>
      <c r="O426" s="4">
        <f t="shared" si="13"/>
        <v>-1.5316600610997173</v>
      </c>
      <c r="P426" t="str" cm="1">
        <f t="array" ref="P426">_xlfn.IFS(AND(F426&gt;15,F426&lt;=30), "Youngsters", AND(F426&gt;30,F426&lt;=50), "Adults", AND(F426&gt;50,F426&lt;=70),"Old person", AND(F426&gt;70, F426&lt;92), "Senior Citizens")</f>
        <v>Adults</v>
      </c>
      <c r="Q426" t="str" cm="1">
        <f t="array" ref="Q426">_xlfn.IFS(G426=0,"No Tenure Period",AND(G426&gt;0,G426&lt;=3),"Less Tenure Period",AND(G426&gt;3,G426&lt;=7),"More Tenure Period",AND(G426&gt;7,G426&lt;=10),"Large Tenure Period")</f>
        <v>Less Tenure Period</v>
      </c>
      <c r="R426" t="str" cm="1">
        <f t="array" ref="R426">_xlfn.IFS(AND(C426&gt;300,C426&lt;=525),"1 Star",AND(C426&gt;525,C426&lt;=600),"2 Star",AND(C426&gt;600,C426&lt;=700),"3 Star",AND(C426&gt;700,C426&lt;=750),"4 Star",AND(C426&gt;750,C426&lt;=900),"5 Star")</f>
        <v>5 Star</v>
      </c>
      <c r="S426" cm="1">
        <f t="array" ref="S426">_xlfn.IFS(E426="Male",1,E426="Female",2)</f>
        <v>2</v>
      </c>
      <c r="T426" cm="1">
        <f t="array" ref="T426">_xlfn.IFS(D426="France",1,D426="Germany",2,D426="Spain",3)</f>
        <v>1</v>
      </c>
    </row>
    <row r="427" spans="1:20" x14ac:dyDescent="0.3">
      <c r="A427">
        <v>427</v>
      </c>
      <c r="B427" t="s">
        <v>18</v>
      </c>
      <c r="C427" s="5">
        <v>418</v>
      </c>
      <c r="D427" t="s">
        <v>22</v>
      </c>
      <c r="E427" t="s">
        <v>26</v>
      </c>
      <c r="F427">
        <v>43</v>
      </c>
      <c r="G427" s="5">
        <v>7</v>
      </c>
      <c r="H427" s="4">
        <v>205080.33</v>
      </c>
      <c r="I427" s="5">
        <v>3</v>
      </c>
      <c r="J427">
        <v>0</v>
      </c>
      <c r="K427">
        <v>1</v>
      </c>
      <c r="L427" s="4">
        <v>22885.14</v>
      </c>
      <c r="M427">
        <v>1</v>
      </c>
      <c r="N427" s="4">
        <f t="shared" si="12"/>
        <v>1.0655662098095546</v>
      </c>
      <c r="O427" s="4">
        <f t="shared" si="13"/>
        <v>-1.4499344282089512</v>
      </c>
      <c r="P427" t="str" cm="1">
        <f t="array" ref="P427">_xlfn.IFS(AND(F427&gt;15,F427&lt;=30), "Youngsters", AND(F427&gt;30,F427&lt;=50), "Adults", AND(F427&gt;50,F427&lt;=70),"Old person", AND(F427&gt;70, F427&lt;92), "Senior Citizens")</f>
        <v>Adults</v>
      </c>
      <c r="Q427" t="str" cm="1">
        <f t="array" ref="Q427">_xlfn.IFS(G427=0,"No Tenure Period",AND(G427&gt;0,G427&lt;=3),"Less Tenure Period",AND(G427&gt;3,G427&lt;=7),"More Tenure Period",AND(G427&gt;7,G427&lt;=10),"Large Tenure Period")</f>
        <v>More Tenure Period</v>
      </c>
      <c r="R427" t="str" cm="1">
        <f t="array" ref="R427">_xlfn.IFS(AND(C427&gt;300,C427&lt;=525),"1 Star",AND(C427&gt;525,C427&lt;=600),"2 Star",AND(C427&gt;600,C427&lt;=700),"3 Star",AND(C427&gt;700,C427&lt;=750),"4 Star",AND(C427&gt;750,C427&lt;=900),"5 Star")</f>
        <v>1 Star</v>
      </c>
      <c r="S427" cm="1">
        <f t="array" ref="S427">_xlfn.IFS(E427="Male",1,E427="Female",2)</f>
        <v>2</v>
      </c>
      <c r="T427" cm="1">
        <f t="array" ref="T427">_xlfn.IFS(D427="France",1,D427="Germany",2,D427="Spain",3)</f>
        <v>2</v>
      </c>
    </row>
    <row r="428" spans="1:20" x14ac:dyDescent="0.3">
      <c r="A428">
        <v>428</v>
      </c>
      <c r="B428" t="s">
        <v>13</v>
      </c>
      <c r="C428" s="5">
        <v>787</v>
      </c>
      <c r="D428" t="s">
        <v>24</v>
      </c>
      <c r="E428" t="s">
        <v>26</v>
      </c>
      <c r="F428">
        <v>77</v>
      </c>
      <c r="G428" s="5">
        <v>4</v>
      </c>
      <c r="H428" s="4">
        <v>82614.73</v>
      </c>
      <c r="I428" s="5">
        <v>1</v>
      </c>
      <c r="J428">
        <v>1</v>
      </c>
      <c r="K428">
        <v>0</v>
      </c>
      <c r="L428" s="4">
        <v>90275.78</v>
      </c>
      <c r="M428">
        <v>0</v>
      </c>
      <c r="N428" s="4">
        <f t="shared" si="12"/>
        <v>-0.63599480368750483</v>
      </c>
      <c r="O428" s="4">
        <f t="shared" si="13"/>
        <v>0.1968462503861387</v>
      </c>
      <c r="P428" t="str" cm="1">
        <f t="array" ref="P428">_xlfn.IFS(AND(F428&gt;15,F428&lt;=30), "Youngsters", AND(F428&gt;30,F428&lt;=50), "Adults", AND(F428&gt;50,F428&lt;=70),"Old person", AND(F428&gt;70, F428&lt;92), "Senior Citizens")</f>
        <v>Senior Citizens</v>
      </c>
      <c r="Q428" t="str" cm="1">
        <f t="array" ref="Q428">_xlfn.IFS(G428=0,"No Tenure Period",AND(G428&gt;0,G428&lt;=3),"Less Tenure Period",AND(G428&gt;3,G428&lt;=7),"More Tenure Period",AND(G428&gt;7,G428&lt;=10),"Large Tenure Period")</f>
        <v>More Tenure Period</v>
      </c>
      <c r="R428" t="str" cm="1">
        <f t="array" ref="R428">_xlfn.IFS(AND(C428&gt;300,C428&lt;=525),"1 Star",AND(C428&gt;525,C428&lt;=600),"2 Star",AND(C428&gt;600,C428&lt;=700),"3 Star",AND(C428&gt;700,C428&lt;=750),"4 Star",AND(C428&gt;750,C428&lt;=900),"5 Star")</f>
        <v>5 Star</v>
      </c>
      <c r="S428" cm="1">
        <f t="array" ref="S428">_xlfn.IFS(E428="Male",1,E428="Female",2)</f>
        <v>2</v>
      </c>
      <c r="T428" cm="1">
        <f t="array" ref="T428">_xlfn.IFS(D428="France",1,D428="Germany",2,D428="Spain",3)</f>
        <v>1</v>
      </c>
    </row>
    <row r="429" spans="1:20" x14ac:dyDescent="0.3">
      <c r="A429">
        <v>429</v>
      </c>
      <c r="B429" t="s">
        <v>20</v>
      </c>
      <c r="C429" s="5">
        <v>363</v>
      </c>
      <c r="D429" t="s">
        <v>24</v>
      </c>
      <c r="E429" t="s">
        <v>26</v>
      </c>
      <c r="F429">
        <v>77</v>
      </c>
      <c r="G429" s="5">
        <v>0</v>
      </c>
      <c r="H429" s="4">
        <v>36501.089999999997</v>
      </c>
      <c r="I429" s="5">
        <v>2</v>
      </c>
      <c r="J429">
        <v>1</v>
      </c>
      <c r="K429">
        <v>1</v>
      </c>
      <c r="L429" s="4">
        <v>64420.160000000003</v>
      </c>
      <c r="M429">
        <v>1</v>
      </c>
      <c r="N429" s="4">
        <f t="shared" si="12"/>
        <v>-1.2767067425049241</v>
      </c>
      <c r="O429" s="4">
        <f t="shared" si="13"/>
        <v>-0.43497050412304494</v>
      </c>
      <c r="P429" t="str" cm="1">
        <f t="array" ref="P429">_xlfn.IFS(AND(F429&gt;15,F429&lt;=30), "Youngsters", AND(F429&gt;30,F429&lt;=50), "Adults", AND(F429&gt;50,F429&lt;=70),"Old person", AND(F429&gt;70, F429&lt;92), "Senior Citizens")</f>
        <v>Senior Citizens</v>
      </c>
      <c r="Q429" t="str" cm="1">
        <f t="array" ref="Q429">_xlfn.IFS(G429=0,"No Tenure Period",AND(G429&gt;0,G429&lt;=3),"Less Tenure Period",AND(G429&gt;3,G429&lt;=7),"More Tenure Period",AND(G429&gt;7,G429&lt;=10),"Large Tenure Period")</f>
        <v>No Tenure Period</v>
      </c>
      <c r="R429" t="str" cm="1">
        <f t="array" ref="R429">_xlfn.IFS(AND(C429&gt;300,C429&lt;=525),"1 Star",AND(C429&gt;525,C429&lt;=600),"2 Star",AND(C429&gt;600,C429&lt;=700),"3 Star",AND(C429&gt;700,C429&lt;=750),"4 Star",AND(C429&gt;750,C429&lt;=900),"5 Star")</f>
        <v>1 Star</v>
      </c>
      <c r="S429" cm="1">
        <f t="array" ref="S429">_xlfn.IFS(E429="Male",1,E429="Female",2)</f>
        <v>2</v>
      </c>
      <c r="T429" cm="1">
        <f t="array" ref="T429">_xlfn.IFS(D429="France",1,D429="Germany",2,D429="Spain",3)</f>
        <v>1</v>
      </c>
    </row>
    <row r="430" spans="1:20" x14ac:dyDescent="0.3">
      <c r="A430">
        <v>430</v>
      </c>
      <c r="B430" t="s">
        <v>14</v>
      </c>
      <c r="C430" s="5">
        <v>451</v>
      </c>
      <c r="D430" t="s">
        <v>22</v>
      </c>
      <c r="E430" t="s">
        <v>25</v>
      </c>
      <c r="F430">
        <v>76</v>
      </c>
      <c r="G430" s="5">
        <v>10</v>
      </c>
      <c r="H430" s="4">
        <v>1978.31</v>
      </c>
      <c r="I430" s="5">
        <v>2</v>
      </c>
      <c r="J430">
        <v>1</v>
      </c>
      <c r="K430">
        <v>0</v>
      </c>
      <c r="L430" s="4">
        <v>19915.18</v>
      </c>
      <c r="M430">
        <v>1</v>
      </c>
      <c r="N430" s="4">
        <f t="shared" si="12"/>
        <v>-1.7563730040962282</v>
      </c>
      <c r="O430" s="4">
        <f t="shared" si="13"/>
        <v>-1.5225093843779425</v>
      </c>
      <c r="P430" t="str" cm="1">
        <f t="array" ref="P430">_xlfn.IFS(AND(F430&gt;15,F430&lt;=30), "Youngsters", AND(F430&gt;30,F430&lt;=50), "Adults", AND(F430&gt;50,F430&lt;=70),"Old person", AND(F430&gt;70, F430&lt;92), "Senior Citizens")</f>
        <v>Senior Citizens</v>
      </c>
      <c r="Q430" t="str" cm="1">
        <f t="array" ref="Q430">_xlfn.IFS(G430=0,"No Tenure Period",AND(G430&gt;0,G430&lt;=3),"Less Tenure Period",AND(G430&gt;3,G430&lt;=7),"More Tenure Period",AND(G430&gt;7,G430&lt;=10),"Large Tenure Period")</f>
        <v>Large Tenure Period</v>
      </c>
      <c r="R430" t="str" cm="1">
        <f t="array" ref="R430">_xlfn.IFS(AND(C430&gt;300,C430&lt;=525),"1 Star",AND(C430&gt;525,C430&lt;=600),"2 Star",AND(C430&gt;600,C430&lt;=700),"3 Star",AND(C430&gt;700,C430&lt;=750),"4 Star",AND(C430&gt;750,C430&lt;=900),"5 Star")</f>
        <v>1 Star</v>
      </c>
      <c r="S430" cm="1">
        <f t="array" ref="S430">_xlfn.IFS(E430="Male",1,E430="Female",2)</f>
        <v>1</v>
      </c>
      <c r="T430" cm="1">
        <f t="array" ref="T430">_xlfn.IFS(D430="France",1,D430="Germany",2,D430="Spain",3)</f>
        <v>2</v>
      </c>
    </row>
    <row r="431" spans="1:20" x14ac:dyDescent="0.3">
      <c r="A431">
        <v>431</v>
      </c>
      <c r="B431" t="s">
        <v>16</v>
      </c>
      <c r="C431" s="5">
        <v>625</v>
      </c>
      <c r="D431" t="s">
        <v>24</v>
      </c>
      <c r="E431" t="s">
        <v>25</v>
      </c>
      <c r="F431">
        <v>36</v>
      </c>
      <c r="G431" s="5">
        <v>0</v>
      </c>
      <c r="H431" s="4">
        <v>165914.53</v>
      </c>
      <c r="I431" s="5">
        <v>2</v>
      </c>
      <c r="J431">
        <v>1</v>
      </c>
      <c r="K431">
        <v>0</v>
      </c>
      <c r="L431" s="4">
        <v>71091.44</v>
      </c>
      <c r="M431">
        <v>0</v>
      </c>
      <c r="N431" s="4">
        <f t="shared" si="12"/>
        <v>0.52138891967727985</v>
      </c>
      <c r="O431" s="4">
        <f t="shared" si="13"/>
        <v>-0.27194882922133978</v>
      </c>
      <c r="P431" t="str" cm="1">
        <f t="array" ref="P431">_xlfn.IFS(AND(F431&gt;15,F431&lt;=30), "Youngsters", AND(F431&gt;30,F431&lt;=50), "Adults", AND(F431&gt;50,F431&lt;=70),"Old person", AND(F431&gt;70, F431&lt;92), "Senior Citizens")</f>
        <v>Adults</v>
      </c>
      <c r="Q431" t="str" cm="1">
        <f t="array" ref="Q431">_xlfn.IFS(G431=0,"No Tenure Period",AND(G431&gt;0,G431&lt;=3),"Less Tenure Period",AND(G431&gt;3,G431&lt;=7),"More Tenure Period",AND(G431&gt;7,G431&lt;=10),"Large Tenure Period")</f>
        <v>No Tenure Period</v>
      </c>
      <c r="R431" t="str" cm="1">
        <f t="array" ref="R431">_xlfn.IFS(AND(C431&gt;300,C431&lt;=525),"1 Star",AND(C431&gt;525,C431&lt;=600),"2 Star",AND(C431&gt;600,C431&lt;=700),"3 Star",AND(C431&gt;700,C431&lt;=750),"4 Star",AND(C431&gt;750,C431&lt;=900),"5 Star")</f>
        <v>3 Star</v>
      </c>
      <c r="S431" cm="1">
        <f t="array" ref="S431">_xlfn.IFS(E431="Male",1,E431="Female",2)</f>
        <v>1</v>
      </c>
      <c r="T431" cm="1">
        <f t="array" ref="T431">_xlfn.IFS(D431="France",1,D431="Germany",2,D431="Spain",3)</f>
        <v>1</v>
      </c>
    </row>
    <row r="432" spans="1:20" x14ac:dyDescent="0.3">
      <c r="A432">
        <v>432</v>
      </c>
      <c r="B432" t="s">
        <v>12</v>
      </c>
      <c r="C432" s="5">
        <v>713</v>
      </c>
      <c r="D432" t="s">
        <v>22</v>
      </c>
      <c r="E432" t="s">
        <v>26</v>
      </c>
      <c r="F432">
        <v>30</v>
      </c>
      <c r="G432" s="5">
        <v>0</v>
      </c>
      <c r="H432" s="4">
        <v>46903.02</v>
      </c>
      <c r="I432" s="5">
        <v>2</v>
      </c>
      <c r="J432">
        <v>1</v>
      </c>
      <c r="K432">
        <v>1</v>
      </c>
      <c r="L432" s="4">
        <v>120900.9</v>
      </c>
      <c r="M432">
        <v>0</v>
      </c>
      <c r="N432" s="4">
        <f t="shared" si="12"/>
        <v>-1.1321802913780326</v>
      </c>
      <c r="O432" s="4">
        <f t="shared" si="13"/>
        <v>0.94521213466407483</v>
      </c>
      <c r="P432" t="str" cm="1">
        <f t="array" ref="P432">_xlfn.IFS(AND(F432&gt;15,F432&lt;=30), "Youngsters", AND(F432&gt;30,F432&lt;=50), "Adults", AND(F432&gt;50,F432&lt;=70),"Old person", AND(F432&gt;70, F432&lt;92), "Senior Citizens")</f>
        <v>Youngsters</v>
      </c>
      <c r="Q432" t="str" cm="1">
        <f t="array" ref="Q432">_xlfn.IFS(G432=0,"No Tenure Period",AND(G432&gt;0,G432&lt;=3),"Less Tenure Period",AND(G432&gt;3,G432&lt;=7),"More Tenure Period",AND(G432&gt;7,G432&lt;=10),"Large Tenure Period")</f>
        <v>No Tenure Period</v>
      </c>
      <c r="R432" t="str" cm="1">
        <f t="array" ref="R432">_xlfn.IFS(AND(C432&gt;300,C432&lt;=525),"1 Star",AND(C432&gt;525,C432&lt;=600),"2 Star",AND(C432&gt;600,C432&lt;=700),"3 Star",AND(C432&gt;700,C432&lt;=750),"4 Star",AND(C432&gt;750,C432&lt;=900),"5 Star")</f>
        <v>4 Star</v>
      </c>
      <c r="S432" cm="1">
        <f t="array" ref="S432">_xlfn.IFS(E432="Male",1,E432="Female",2)</f>
        <v>2</v>
      </c>
      <c r="T432" cm="1">
        <f t="array" ref="T432">_xlfn.IFS(D432="France",1,D432="Germany",2,D432="Spain",3)</f>
        <v>2</v>
      </c>
    </row>
    <row r="433" spans="1:20" x14ac:dyDescent="0.3">
      <c r="A433">
        <v>433</v>
      </c>
      <c r="B433" t="s">
        <v>12</v>
      </c>
      <c r="C433" s="5">
        <v>614</v>
      </c>
      <c r="D433" t="s">
        <v>24</v>
      </c>
      <c r="E433" t="s">
        <v>25</v>
      </c>
      <c r="F433">
        <v>19</v>
      </c>
      <c r="G433" s="5">
        <v>0</v>
      </c>
      <c r="H433" s="4">
        <v>179138.58</v>
      </c>
      <c r="I433" s="5">
        <v>2</v>
      </c>
      <c r="J433">
        <v>0</v>
      </c>
      <c r="K433">
        <v>0</v>
      </c>
      <c r="L433" s="4">
        <v>40101.64</v>
      </c>
      <c r="M433">
        <v>1</v>
      </c>
      <c r="N433" s="4">
        <f t="shared" si="12"/>
        <v>0.7051264583864012</v>
      </c>
      <c r="O433" s="4">
        <f t="shared" si="13"/>
        <v>-1.0292261584398503</v>
      </c>
      <c r="P433" t="str" cm="1">
        <f t="array" ref="P433">_xlfn.IFS(AND(F433&gt;15,F433&lt;=30), "Youngsters", AND(F433&gt;30,F433&lt;=50), "Adults", AND(F433&gt;50,F433&lt;=70),"Old person", AND(F433&gt;70, F433&lt;92), "Senior Citizens")</f>
        <v>Youngsters</v>
      </c>
      <c r="Q433" t="str" cm="1">
        <f t="array" ref="Q433">_xlfn.IFS(G433=0,"No Tenure Period",AND(G433&gt;0,G433&lt;=3),"Less Tenure Period",AND(G433&gt;3,G433&lt;=7),"More Tenure Period",AND(G433&gt;7,G433&lt;=10),"Large Tenure Period")</f>
        <v>No Tenure Period</v>
      </c>
      <c r="R433" t="str" cm="1">
        <f t="array" ref="R433">_xlfn.IFS(AND(C433&gt;300,C433&lt;=525),"1 Star",AND(C433&gt;525,C433&lt;=600),"2 Star",AND(C433&gt;600,C433&lt;=700),"3 Star",AND(C433&gt;700,C433&lt;=750),"4 Star",AND(C433&gt;750,C433&lt;=900),"5 Star")</f>
        <v>3 Star</v>
      </c>
      <c r="S433" cm="1">
        <f t="array" ref="S433">_xlfn.IFS(E433="Male",1,E433="Female",2)</f>
        <v>1</v>
      </c>
      <c r="T433" cm="1">
        <f t="array" ref="T433">_xlfn.IFS(D433="France",1,D433="Germany",2,D433="Spain",3)</f>
        <v>1</v>
      </c>
    </row>
    <row r="434" spans="1:20" x14ac:dyDescent="0.3">
      <c r="A434">
        <v>434</v>
      </c>
      <c r="B434" t="s">
        <v>21</v>
      </c>
      <c r="C434" s="5">
        <v>702</v>
      </c>
      <c r="D434" t="s">
        <v>24</v>
      </c>
      <c r="E434" t="s">
        <v>25</v>
      </c>
      <c r="F434">
        <v>45</v>
      </c>
      <c r="G434" s="5">
        <v>4</v>
      </c>
      <c r="H434" s="4">
        <v>143858.20000000001</v>
      </c>
      <c r="I434" s="5">
        <v>3</v>
      </c>
      <c r="J434">
        <v>0</v>
      </c>
      <c r="K434">
        <v>1</v>
      </c>
      <c r="L434" s="4">
        <v>111156.24</v>
      </c>
      <c r="M434">
        <v>1</v>
      </c>
      <c r="N434" s="4">
        <f t="shared" si="12"/>
        <v>0.21493395412919469</v>
      </c>
      <c r="O434" s="4">
        <f t="shared" si="13"/>
        <v>0.70708829717746824</v>
      </c>
      <c r="P434" t="str" cm="1">
        <f t="array" ref="P434">_xlfn.IFS(AND(F434&gt;15,F434&lt;=30), "Youngsters", AND(F434&gt;30,F434&lt;=50), "Adults", AND(F434&gt;50,F434&lt;=70),"Old person", AND(F434&gt;70, F434&lt;92), "Senior Citizens")</f>
        <v>Adults</v>
      </c>
      <c r="Q434" t="str" cm="1">
        <f t="array" ref="Q434">_xlfn.IFS(G434=0,"No Tenure Period",AND(G434&gt;0,G434&lt;=3),"Less Tenure Period",AND(G434&gt;3,G434&lt;=7),"More Tenure Period",AND(G434&gt;7,G434&lt;=10),"Large Tenure Period")</f>
        <v>More Tenure Period</v>
      </c>
      <c r="R434" t="str" cm="1">
        <f t="array" ref="R434">_xlfn.IFS(AND(C434&gt;300,C434&lt;=525),"1 Star",AND(C434&gt;525,C434&lt;=600),"2 Star",AND(C434&gt;600,C434&lt;=700),"3 Star",AND(C434&gt;700,C434&lt;=750),"4 Star",AND(C434&gt;750,C434&lt;=900),"5 Star")</f>
        <v>4 Star</v>
      </c>
      <c r="S434" cm="1">
        <f t="array" ref="S434">_xlfn.IFS(E434="Male",1,E434="Female",2)</f>
        <v>1</v>
      </c>
      <c r="T434" cm="1">
        <f t="array" ref="T434">_xlfn.IFS(D434="France",1,D434="Germany",2,D434="Spain",3)</f>
        <v>1</v>
      </c>
    </row>
    <row r="435" spans="1:20" x14ac:dyDescent="0.3">
      <c r="A435">
        <v>435</v>
      </c>
      <c r="B435" t="s">
        <v>15</v>
      </c>
      <c r="C435" s="5">
        <v>559</v>
      </c>
      <c r="D435" t="s">
        <v>22</v>
      </c>
      <c r="E435" t="s">
        <v>25</v>
      </c>
      <c r="F435">
        <v>28</v>
      </c>
      <c r="G435" s="5">
        <v>5</v>
      </c>
      <c r="H435" s="4">
        <v>117504.37</v>
      </c>
      <c r="I435" s="5">
        <v>3</v>
      </c>
      <c r="J435">
        <v>1</v>
      </c>
      <c r="K435">
        <v>1</v>
      </c>
      <c r="L435" s="4">
        <v>69683.199999999997</v>
      </c>
      <c r="M435">
        <v>1</v>
      </c>
      <c r="N435" s="4">
        <f t="shared" si="12"/>
        <v>-0.15123131745996374</v>
      </c>
      <c r="O435" s="4">
        <f t="shared" si="13"/>
        <v>-0.30636106247546463</v>
      </c>
      <c r="P435" t="str" cm="1">
        <f t="array" ref="P435">_xlfn.IFS(AND(F435&gt;15,F435&lt;=30), "Youngsters", AND(F435&gt;30,F435&lt;=50), "Adults", AND(F435&gt;50,F435&lt;=70),"Old person", AND(F435&gt;70, F435&lt;92), "Senior Citizens")</f>
        <v>Youngsters</v>
      </c>
      <c r="Q435" t="str" cm="1">
        <f t="array" ref="Q435">_xlfn.IFS(G435=0,"No Tenure Period",AND(G435&gt;0,G435&lt;=3),"Less Tenure Period",AND(G435&gt;3,G435&lt;=7),"More Tenure Period",AND(G435&gt;7,G435&lt;=10),"Large Tenure Period")</f>
        <v>More Tenure Period</v>
      </c>
      <c r="R435" t="str" cm="1">
        <f t="array" ref="R435">_xlfn.IFS(AND(C435&gt;300,C435&lt;=525),"1 Star",AND(C435&gt;525,C435&lt;=600),"2 Star",AND(C435&gt;600,C435&lt;=700),"3 Star",AND(C435&gt;700,C435&lt;=750),"4 Star",AND(C435&gt;750,C435&lt;=900),"5 Star")</f>
        <v>2 Star</v>
      </c>
      <c r="S435" cm="1">
        <f t="array" ref="S435">_xlfn.IFS(E435="Male",1,E435="Female",2)</f>
        <v>1</v>
      </c>
      <c r="T435" cm="1">
        <f t="array" ref="T435">_xlfn.IFS(D435="France",1,D435="Germany",2,D435="Spain",3)</f>
        <v>2</v>
      </c>
    </row>
    <row r="436" spans="1:20" x14ac:dyDescent="0.3">
      <c r="A436">
        <v>436</v>
      </c>
      <c r="B436" t="s">
        <v>20</v>
      </c>
      <c r="C436" s="5">
        <v>547</v>
      </c>
      <c r="D436" t="s">
        <v>23</v>
      </c>
      <c r="E436" t="s">
        <v>25</v>
      </c>
      <c r="F436">
        <v>85</v>
      </c>
      <c r="G436" s="5">
        <v>5</v>
      </c>
      <c r="H436" s="4">
        <v>191884.81</v>
      </c>
      <c r="I436" s="5">
        <v>1</v>
      </c>
      <c r="J436">
        <v>1</v>
      </c>
      <c r="K436">
        <v>1</v>
      </c>
      <c r="L436" s="4">
        <v>56017.64</v>
      </c>
      <c r="M436">
        <v>1</v>
      </c>
      <c r="N436" s="4">
        <f t="shared" si="12"/>
        <v>0.88222507250388926</v>
      </c>
      <c r="O436" s="4">
        <f t="shared" si="13"/>
        <v>-0.64029735051460346</v>
      </c>
      <c r="P436" t="str" cm="1">
        <f t="array" ref="P436">_xlfn.IFS(AND(F436&gt;15,F436&lt;=30), "Youngsters", AND(F436&gt;30,F436&lt;=50), "Adults", AND(F436&gt;50,F436&lt;=70),"Old person", AND(F436&gt;70, F436&lt;92), "Senior Citizens")</f>
        <v>Senior Citizens</v>
      </c>
      <c r="Q436" t="str" cm="1">
        <f t="array" ref="Q436">_xlfn.IFS(G436=0,"No Tenure Period",AND(G436&gt;0,G436&lt;=3),"Less Tenure Period",AND(G436&gt;3,G436&lt;=7),"More Tenure Period",AND(G436&gt;7,G436&lt;=10),"Large Tenure Period")</f>
        <v>More Tenure Period</v>
      </c>
      <c r="R436" t="str" cm="1">
        <f t="array" ref="R436">_xlfn.IFS(AND(C436&gt;300,C436&lt;=525),"1 Star",AND(C436&gt;525,C436&lt;=600),"2 Star",AND(C436&gt;600,C436&lt;=700),"3 Star",AND(C436&gt;700,C436&lt;=750),"4 Star",AND(C436&gt;750,C436&lt;=900),"5 Star")</f>
        <v>2 Star</v>
      </c>
      <c r="S436" cm="1">
        <f t="array" ref="S436">_xlfn.IFS(E436="Male",1,E436="Female",2)</f>
        <v>1</v>
      </c>
      <c r="T436" cm="1">
        <f t="array" ref="T436">_xlfn.IFS(D436="France",1,D436="Germany",2,D436="Spain",3)</f>
        <v>3</v>
      </c>
    </row>
    <row r="437" spans="1:20" x14ac:dyDescent="0.3">
      <c r="A437">
        <v>437</v>
      </c>
      <c r="B437" t="s">
        <v>19</v>
      </c>
      <c r="C437" s="5">
        <v>730</v>
      </c>
      <c r="D437" t="s">
        <v>22</v>
      </c>
      <c r="E437" t="s">
        <v>25</v>
      </c>
      <c r="F437">
        <v>79</v>
      </c>
      <c r="G437" s="5">
        <v>9</v>
      </c>
      <c r="H437" s="4">
        <v>245266.56</v>
      </c>
      <c r="I437" s="5">
        <v>4</v>
      </c>
      <c r="J437">
        <v>1</v>
      </c>
      <c r="K437">
        <v>1</v>
      </c>
      <c r="L437" s="4">
        <v>68485.740000000005</v>
      </c>
      <c r="M437">
        <v>1</v>
      </c>
      <c r="N437" s="4">
        <f t="shared" si="12"/>
        <v>1.6239215540648064</v>
      </c>
      <c r="O437" s="4">
        <f t="shared" si="13"/>
        <v>-0.33562260371309738</v>
      </c>
      <c r="P437" t="str" cm="1">
        <f t="array" ref="P437">_xlfn.IFS(AND(F437&gt;15,F437&lt;=30), "Youngsters", AND(F437&gt;30,F437&lt;=50), "Adults", AND(F437&gt;50,F437&lt;=70),"Old person", AND(F437&gt;70, F437&lt;92), "Senior Citizens")</f>
        <v>Senior Citizens</v>
      </c>
      <c r="Q437" t="str" cm="1">
        <f t="array" ref="Q437">_xlfn.IFS(G437=0,"No Tenure Period",AND(G437&gt;0,G437&lt;=3),"Less Tenure Period",AND(G437&gt;3,G437&lt;=7),"More Tenure Period",AND(G437&gt;7,G437&lt;=10),"Large Tenure Period")</f>
        <v>Large Tenure Period</v>
      </c>
      <c r="R437" t="str" cm="1">
        <f t="array" ref="R437">_xlfn.IFS(AND(C437&gt;300,C437&lt;=525),"1 Star",AND(C437&gt;525,C437&lt;=600),"2 Star",AND(C437&gt;600,C437&lt;=700),"3 Star",AND(C437&gt;700,C437&lt;=750),"4 Star",AND(C437&gt;750,C437&lt;=900),"5 Star")</f>
        <v>4 Star</v>
      </c>
      <c r="S437" cm="1">
        <f t="array" ref="S437">_xlfn.IFS(E437="Male",1,E437="Female",2)</f>
        <v>1</v>
      </c>
      <c r="T437" cm="1">
        <f t="array" ref="T437">_xlfn.IFS(D437="France",1,D437="Germany",2,D437="Spain",3)</f>
        <v>2</v>
      </c>
    </row>
    <row r="438" spans="1:20" x14ac:dyDescent="0.3">
      <c r="A438">
        <v>438</v>
      </c>
      <c r="B438" t="s">
        <v>18</v>
      </c>
      <c r="C438" s="5">
        <v>450</v>
      </c>
      <c r="D438" t="s">
        <v>23</v>
      </c>
      <c r="E438" t="s">
        <v>26</v>
      </c>
      <c r="F438">
        <v>34</v>
      </c>
      <c r="G438" s="5">
        <v>2</v>
      </c>
      <c r="H438" s="4">
        <v>32148.54</v>
      </c>
      <c r="I438" s="5">
        <v>2</v>
      </c>
      <c r="J438">
        <v>0</v>
      </c>
      <c r="K438">
        <v>1</v>
      </c>
      <c r="L438" s="4">
        <v>99026.41</v>
      </c>
      <c r="M438">
        <v>0</v>
      </c>
      <c r="N438" s="4">
        <f t="shared" si="12"/>
        <v>-1.3371819240195422</v>
      </c>
      <c r="O438" s="4">
        <f t="shared" si="13"/>
        <v>0.41067963154314446</v>
      </c>
      <c r="P438" t="str" cm="1">
        <f t="array" ref="P438">_xlfn.IFS(AND(F438&gt;15,F438&lt;=30), "Youngsters", AND(F438&gt;30,F438&lt;=50), "Adults", AND(F438&gt;50,F438&lt;=70),"Old person", AND(F438&gt;70, F438&lt;92), "Senior Citizens")</f>
        <v>Adults</v>
      </c>
      <c r="Q438" t="str" cm="1">
        <f t="array" ref="Q438">_xlfn.IFS(G438=0,"No Tenure Period",AND(G438&gt;0,G438&lt;=3),"Less Tenure Period",AND(G438&gt;3,G438&lt;=7),"More Tenure Period",AND(G438&gt;7,G438&lt;=10),"Large Tenure Period")</f>
        <v>Less Tenure Period</v>
      </c>
      <c r="R438" t="str" cm="1">
        <f t="array" ref="R438">_xlfn.IFS(AND(C438&gt;300,C438&lt;=525),"1 Star",AND(C438&gt;525,C438&lt;=600),"2 Star",AND(C438&gt;600,C438&lt;=700),"3 Star",AND(C438&gt;700,C438&lt;=750),"4 Star",AND(C438&gt;750,C438&lt;=900),"5 Star")</f>
        <v>1 Star</v>
      </c>
      <c r="S438" cm="1">
        <f t="array" ref="S438">_xlfn.IFS(E438="Male",1,E438="Female",2)</f>
        <v>2</v>
      </c>
      <c r="T438" cm="1">
        <f t="array" ref="T438">_xlfn.IFS(D438="France",1,D438="Germany",2,D438="Spain",3)</f>
        <v>3</v>
      </c>
    </row>
    <row r="439" spans="1:20" x14ac:dyDescent="0.3">
      <c r="A439">
        <v>439</v>
      </c>
      <c r="B439" t="s">
        <v>15</v>
      </c>
      <c r="C439" s="5">
        <v>735</v>
      </c>
      <c r="D439" t="s">
        <v>23</v>
      </c>
      <c r="E439" t="s">
        <v>26</v>
      </c>
      <c r="F439">
        <v>45</v>
      </c>
      <c r="G439" s="5">
        <v>10</v>
      </c>
      <c r="H439" s="4">
        <v>137629.67000000001</v>
      </c>
      <c r="I439" s="5">
        <v>4</v>
      </c>
      <c r="J439">
        <v>0</v>
      </c>
      <c r="K439">
        <v>1</v>
      </c>
      <c r="L439" s="4">
        <v>63609.91</v>
      </c>
      <c r="M439">
        <v>0</v>
      </c>
      <c r="N439" s="4">
        <f t="shared" si="12"/>
        <v>0.12839353935641901</v>
      </c>
      <c r="O439" s="4">
        <f t="shared" si="13"/>
        <v>-0.45477004965090567</v>
      </c>
      <c r="P439" t="str" cm="1">
        <f t="array" ref="P439">_xlfn.IFS(AND(F439&gt;15,F439&lt;=30), "Youngsters", AND(F439&gt;30,F439&lt;=50), "Adults", AND(F439&gt;50,F439&lt;=70),"Old person", AND(F439&gt;70, F439&lt;92), "Senior Citizens")</f>
        <v>Adults</v>
      </c>
      <c r="Q439" t="str" cm="1">
        <f t="array" ref="Q439">_xlfn.IFS(G439=0,"No Tenure Period",AND(G439&gt;0,G439&lt;=3),"Less Tenure Period",AND(G439&gt;3,G439&lt;=7),"More Tenure Period",AND(G439&gt;7,G439&lt;=10),"Large Tenure Period")</f>
        <v>Large Tenure Period</v>
      </c>
      <c r="R439" t="str" cm="1">
        <f t="array" ref="R439">_xlfn.IFS(AND(C439&gt;300,C439&lt;=525),"1 Star",AND(C439&gt;525,C439&lt;=600),"2 Star",AND(C439&gt;600,C439&lt;=700),"3 Star",AND(C439&gt;700,C439&lt;=750),"4 Star",AND(C439&gt;750,C439&lt;=900),"5 Star")</f>
        <v>4 Star</v>
      </c>
      <c r="S439" cm="1">
        <f t="array" ref="S439">_xlfn.IFS(E439="Male",1,E439="Female",2)</f>
        <v>2</v>
      </c>
      <c r="T439" cm="1">
        <f t="array" ref="T439">_xlfn.IFS(D439="France",1,D439="Germany",2,D439="Spain",3)</f>
        <v>3</v>
      </c>
    </row>
    <row r="440" spans="1:20" x14ac:dyDescent="0.3">
      <c r="A440">
        <v>440</v>
      </c>
      <c r="B440" t="s">
        <v>14</v>
      </c>
      <c r="C440" s="5">
        <v>603</v>
      </c>
      <c r="D440" t="s">
        <v>24</v>
      </c>
      <c r="E440" t="s">
        <v>25</v>
      </c>
      <c r="F440">
        <v>24</v>
      </c>
      <c r="G440" s="5">
        <v>0</v>
      </c>
      <c r="H440" s="4">
        <v>78305.72</v>
      </c>
      <c r="I440" s="5">
        <v>2</v>
      </c>
      <c r="J440">
        <v>0</v>
      </c>
      <c r="K440">
        <v>1</v>
      </c>
      <c r="L440" s="4">
        <v>84684</v>
      </c>
      <c r="M440">
        <v>0</v>
      </c>
      <c r="N440" s="4">
        <f t="shared" si="12"/>
        <v>-0.69586503192113902</v>
      </c>
      <c r="O440" s="4">
        <f t="shared" si="13"/>
        <v>6.0203605903841897E-2</v>
      </c>
      <c r="P440" t="str" cm="1">
        <f t="array" ref="P440">_xlfn.IFS(AND(F440&gt;15,F440&lt;=30), "Youngsters", AND(F440&gt;30,F440&lt;=50), "Adults", AND(F440&gt;50,F440&lt;=70),"Old person", AND(F440&gt;70, F440&lt;92), "Senior Citizens")</f>
        <v>Youngsters</v>
      </c>
      <c r="Q440" t="str" cm="1">
        <f t="array" ref="Q440">_xlfn.IFS(G440=0,"No Tenure Period",AND(G440&gt;0,G440&lt;=3),"Less Tenure Period",AND(G440&gt;3,G440&lt;=7),"More Tenure Period",AND(G440&gt;7,G440&lt;=10),"Large Tenure Period")</f>
        <v>No Tenure Period</v>
      </c>
      <c r="R440" t="str" cm="1">
        <f t="array" ref="R440">_xlfn.IFS(AND(C440&gt;300,C440&lt;=525),"1 Star",AND(C440&gt;525,C440&lt;=600),"2 Star",AND(C440&gt;600,C440&lt;=700),"3 Star",AND(C440&gt;700,C440&lt;=750),"4 Star",AND(C440&gt;750,C440&lt;=900),"5 Star")</f>
        <v>3 Star</v>
      </c>
      <c r="S440" cm="1">
        <f t="array" ref="S440">_xlfn.IFS(E440="Male",1,E440="Female",2)</f>
        <v>1</v>
      </c>
      <c r="T440" cm="1">
        <f t="array" ref="T440">_xlfn.IFS(D440="France",1,D440="Germany",2,D440="Spain",3)</f>
        <v>1</v>
      </c>
    </row>
    <row r="441" spans="1:20" x14ac:dyDescent="0.3">
      <c r="A441">
        <v>441</v>
      </c>
      <c r="B441" t="s">
        <v>12</v>
      </c>
      <c r="C441" s="5">
        <v>507</v>
      </c>
      <c r="D441" t="s">
        <v>22</v>
      </c>
      <c r="E441" t="s">
        <v>26</v>
      </c>
      <c r="F441">
        <v>18</v>
      </c>
      <c r="G441" s="5">
        <v>7</v>
      </c>
      <c r="H441" s="4">
        <v>6988.85</v>
      </c>
      <c r="I441" s="5">
        <v>2</v>
      </c>
      <c r="J441">
        <v>1</v>
      </c>
      <c r="K441">
        <v>1</v>
      </c>
      <c r="L441" s="4">
        <v>20477.41</v>
      </c>
      <c r="M441">
        <v>1</v>
      </c>
      <c r="N441" s="4">
        <f t="shared" si="12"/>
        <v>-1.6867555807498553</v>
      </c>
      <c r="O441" s="4">
        <f t="shared" si="13"/>
        <v>-1.5087705402161047</v>
      </c>
      <c r="P441" t="str" cm="1">
        <f t="array" ref="P441">_xlfn.IFS(AND(F441&gt;15,F441&lt;=30), "Youngsters", AND(F441&gt;30,F441&lt;=50), "Adults", AND(F441&gt;50,F441&lt;=70),"Old person", AND(F441&gt;70, F441&lt;92), "Senior Citizens")</f>
        <v>Youngsters</v>
      </c>
      <c r="Q441" t="str" cm="1">
        <f t="array" ref="Q441">_xlfn.IFS(G441=0,"No Tenure Period",AND(G441&gt;0,G441&lt;=3),"Less Tenure Period",AND(G441&gt;3,G441&lt;=7),"More Tenure Period",AND(G441&gt;7,G441&lt;=10),"Large Tenure Period")</f>
        <v>More Tenure Period</v>
      </c>
      <c r="R441" t="str" cm="1">
        <f t="array" ref="R441">_xlfn.IFS(AND(C441&gt;300,C441&lt;=525),"1 Star",AND(C441&gt;525,C441&lt;=600),"2 Star",AND(C441&gt;600,C441&lt;=700),"3 Star",AND(C441&gt;700,C441&lt;=750),"4 Star",AND(C441&gt;750,C441&lt;=900),"5 Star")</f>
        <v>1 Star</v>
      </c>
      <c r="S441" cm="1">
        <f t="array" ref="S441">_xlfn.IFS(E441="Male",1,E441="Female",2)</f>
        <v>2</v>
      </c>
      <c r="T441" cm="1">
        <f t="array" ref="T441">_xlfn.IFS(D441="France",1,D441="Germany",2,D441="Spain",3)</f>
        <v>2</v>
      </c>
    </row>
    <row r="442" spans="1:20" x14ac:dyDescent="0.3">
      <c r="A442">
        <v>442</v>
      </c>
      <c r="B442" t="s">
        <v>14</v>
      </c>
      <c r="C442" s="5">
        <v>739</v>
      </c>
      <c r="D442" t="s">
        <v>23</v>
      </c>
      <c r="E442" t="s">
        <v>25</v>
      </c>
      <c r="F442">
        <v>25</v>
      </c>
      <c r="G442" s="5">
        <v>1</v>
      </c>
      <c r="H442" s="4">
        <v>7336.57</v>
      </c>
      <c r="I442" s="5">
        <v>3</v>
      </c>
      <c r="J442">
        <v>1</v>
      </c>
      <c r="K442">
        <v>0</v>
      </c>
      <c r="L442" s="4">
        <v>102957.36</v>
      </c>
      <c r="M442">
        <v>1</v>
      </c>
      <c r="N442" s="4">
        <f t="shared" si="12"/>
        <v>-1.681924291019407</v>
      </c>
      <c r="O442" s="4">
        <f t="shared" si="13"/>
        <v>0.50673766732561165</v>
      </c>
      <c r="P442" t="str" cm="1">
        <f t="array" ref="P442">_xlfn.IFS(AND(F442&gt;15,F442&lt;=30), "Youngsters", AND(F442&gt;30,F442&lt;=50), "Adults", AND(F442&gt;50,F442&lt;=70),"Old person", AND(F442&gt;70, F442&lt;92), "Senior Citizens")</f>
        <v>Youngsters</v>
      </c>
      <c r="Q442" t="str" cm="1">
        <f t="array" ref="Q442">_xlfn.IFS(G442=0,"No Tenure Period",AND(G442&gt;0,G442&lt;=3),"Less Tenure Period",AND(G442&gt;3,G442&lt;=7),"More Tenure Period",AND(G442&gt;7,G442&lt;=10),"Large Tenure Period")</f>
        <v>Less Tenure Period</v>
      </c>
      <c r="R442" t="str" cm="1">
        <f t="array" ref="R442">_xlfn.IFS(AND(C442&gt;300,C442&lt;=525),"1 Star",AND(C442&gt;525,C442&lt;=600),"2 Star",AND(C442&gt;600,C442&lt;=700),"3 Star",AND(C442&gt;700,C442&lt;=750),"4 Star",AND(C442&gt;750,C442&lt;=900),"5 Star")</f>
        <v>4 Star</v>
      </c>
      <c r="S442" cm="1">
        <f t="array" ref="S442">_xlfn.IFS(E442="Male",1,E442="Female",2)</f>
        <v>1</v>
      </c>
      <c r="T442" cm="1">
        <f t="array" ref="T442">_xlfn.IFS(D442="France",1,D442="Germany",2,D442="Spain",3)</f>
        <v>3</v>
      </c>
    </row>
    <row r="443" spans="1:20" x14ac:dyDescent="0.3">
      <c r="A443">
        <v>443</v>
      </c>
      <c r="B443" t="s">
        <v>19</v>
      </c>
      <c r="C443" s="5">
        <v>814</v>
      </c>
      <c r="D443" t="s">
        <v>23</v>
      </c>
      <c r="E443" t="s">
        <v>25</v>
      </c>
      <c r="F443">
        <v>43</v>
      </c>
      <c r="G443" s="5">
        <v>9</v>
      </c>
      <c r="H443" s="4">
        <v>144405.5</v>
      </c>
      <c r="I443" s="5">
        <v>1</v>
      </c>
      <c r="J443">
        <v>0</v>
      </c>
      <c r="K443">
        <v>1</v>
      </c>
      <c r="L443" s="4">
        <v>30241.09</v>
      </c>
      <c r="M443">
        <v>1</v>
      </c>
      <c r="N443" s="4">
        <f t="shared" si="12"/>
        <v>0.22253824743839273</v>
      </c>
      <c r="O443" s="4">
        <f t="shared" si="13"/>
        <v>-1.2701819235182175</v>
      </c>
      <c r="P443" t="str" cm="1">
        <f t="array" ref="P443">_xlfn.IFS(AND(F443&gt;15,F443&lt;=30), "Youngsters", AND(F443&gt;30,F443&lt;=50), "Adults", AND(F443&gt;50,F443&lt;=70),"Old person", AND(F443&gt;70, F443&lt;92), "Senior Citizens")</f>
        <v>Adults</v>
      </c>
      <c r="Q443" t="str" cm="1">
        <f t="array" ref="Q443">_xlfn.IFS(G443=0,"No Tenure Period",AND(G443&gt;0,G443&lt;=3),"Less Tenure Period",AND(G443&gt;3,G443&lt;=7),"More Tenure Period",AND(G443&gt;7,G443&lt;=10),"Large Tenure Period")</f>
        <v>Large Tenure Period</v>
      </c>
      <c r="R443" t="str" cm="1">
        <f t="array" ref="R443">_xlfn.IFS(AND(C443&gt;300,C443&lt;=525),"1 Star",AND(C443&gt;525,C443&lt;=600),"2 Star",AND(C443&gt;600,C443&lt;=700),"3 Star",AND(C443&gt;700,C443&lt;=750),"4 Star",AND(C443&gt;750,C443&lt;=900),"5 Star")</f>
        <v>5 Star</v>
      </c>
      <c r="S443" cm="1">
        <f t="array" ref="S443">_xlfn.IFS(E443="Male",1,E443="Female",2)</f>
        <v>1</v>
      </c>
      <c r="T443" cm="1">
        <f t="array" ref="T443">_xlfn.IFS(D443="France",1,D443="Germany",2,D443="Spain",3)</f>
        <v>3</v>
      </c>
    </row>
    <row r="444" spans="1:20" x14ac:dyDescent="0.3">
      <c r="A444">
        <v>444</v>
      </c>
      <c r="B444" t="s">
        <v>18</v>
      </c>
      <c r="C444" s="5">
        <v>580</v>
      </c>
      <c r="D444" t="s">
        <v>23</v>
      </c>
      <c r="E444" t="s">
        <v>25</v>
      </c>
      <c r="F444">
        <v>85</v>
      </c>
      <c r="G444" s="5">
        <v>9</v>
      </c>
      <c r="H444" s="4">
        <v>20728.86</v>
      </c>
      <c r="I444" s="5">
        <v>2</v>
      </c>
      <c r="J444">
        <v>0</v>
      </c>
      <c r="K444">
        <v>1</v>
      </c>
      <c r="L444" s="4">
        <v>33648.46</v>
      </c>
      <c r="M444">
        <v>1</v>
      </c>
      <c r="N444" s="4">
        <f t="shared" si="12"/>
        <v>-1.4958491928249218</v>
      </c>
      <c r="O444" s="4">
        <f t="shared" si="13"/>
        <v>-1.1869182673068421</v>
      </c>
      <c r="P444" t="str" cm="1">
        <f t="array" ref="P444">_xlfn.IFS(AND(F444&gt;15,F444&lt;=30), "Youngsters", AND(F444&gt;30,F444&lt;=50), "Adults", AND(F444&gt;50,F444&lt;=70),"Old person", AND(F444&gt;70, F444&lt;92), "Senior Citizens")</f>
        <v>Senior Citizens</v>
      </c>
      <c r="Q444" t="str" cm="1">
        <f t="array" ref="Q444">_xlfn.IFS(G444=0,"No Tenure Period",AND(G444&gt;0,G444&lt;=3),"Less Tenure Period",AND(G444&gt;3,G444&lt;=7),"More Tenure Period",AND(G444&gt;7,G444&lt;=10),"Large Tenure Period")</f>
        <v>Large Tenure Period</v>
      </c>
      <c r="R444" t="str" cm="1">
        <f t="array" ref="R444">_xlfn.IFS(AND(C444&gt;300,C444&lt;=525),"1 Star",AND(C444&gt;525,C444&lt;=600),"2 Star",AND(C444&gt;600,C444&lt;=700),"3 Star",AND(C444&gt;700,C444&lt;=750),"4 Star",AND(C444&gt;750,C444&lt;=900),"5 Star")</f>
        <v>2 Star</v>
      </c>
      <c r="S444" cm="1">
        <f t="array" ref="S444">_xlfn.IFS(E444="Male",1,E444="Female",2)</f>
        <v>1</v>
      </c>
      <c r="T444" cm="1">
        <f t="array" ref="T444">_xlfn.IFS(D444="France",1,D444="Germany",2,D444="Spain",3)</f>
        <v>3</v>
      </c>
    </row>
    <row r="445" spans="1:20" x14ac:dyDescent="0.3">
      <c r="A445">
        <v>445</v>
      </c>
      <c r="B445" t="s">
        <v>15</v>
      </c>
      <c r="C445" s="5">
        <v>774</v>
      </c>
      <c r="D445" t="s">
        <v>23</v>
      </c>
      <c r="E445" t="s">
        <v>25</v>
      </c>
      <c r="F445">
        <v>77</v>
      </c>
      <c r="G445" s="5">
        <v>10</v>
      </c>
      <c r="H445" s="4">
        <v>10982.07</v>
      </c>
      <c r="I445" s="5">
        <v>4</v>
      </c>
      <c r="J445">
        <v>1</v>
      </c>
      <c r="K445">
        <v>0</v>
      </c>
      <c r="L445" s="4">
        <v>107521.29</v>
      </c>
      <c r="M445">
        <v>0</v>
      </c>
      <c r="N445" s="4">
        <f t="shared" si="12"/>
        <v>-1.6312730005778173</v>
      </c>
      <c r="O445" s="4">
        <f t="shared" si="13"/>
        <v>0.61826341841597787</v>
      </c>
      <c r="P445" t="str" cm="1">
        <f t="array" ref="P445">_xlfn.IFS(AND(F445&gt;15,F445&lt;=30), "Youngsters", AND(F445&gt;30,F445&lt;=50), "Adults", AND(F445&gt;50,F445&lt;=70),"Old person", AND(F445&gt;70, F445&lt;92), "Senior Citizens")</f>
        <v>Senior Citizens</v>
      </c>
      <c r="Q445" t="str" cm="1">
        <f t="array" ref="Q445">_xlfn.IFS(G445=0,"No Tenure Period",AND(G445&gt;0,G445&lt;=3),"Less Tenure Period",AND(G445&gt;3,G445&lt;=7),"More Tenure Period",AND(G445&gt;7,G445&lt;=10),"Large Tenure Period")</f>
        <v>Large Tenure Period</v>
      </c>
      <c r="R445" t="str" cm="1">
        <f t="array" ref="R445">_xlfn.IFS(AND(C445&gt;300,C445&lt;=525),"1 Star",AND(C445&gt;525,C445&lt;=600),"2 Star",AND(C445&gt;600,C445&lt;=700),"3 Star",AND(C445&gt;700,C445&lt;=750),"4 Star",AND(C445&gt;750,C445&lt;=900),"5 Star")</f>
        <v>5 Star</v>
      </c>
      <c r="S445" cm="1">
        <f t="array" ref="S445">_xlfn.IFS(E445="Male",1,E445="Female",2)</f>
        <v>1</v>
      </c>
      <c r="T445" cm="1">
        <f t="array" ref="T445">_xlfn.IFS(D445="France",1,D445="Germany",2,D445="Spain",3)</f>
        <v>3</v>
      </c>
    </row>
    <row r="446" spans="1:20" x14ac:dyDescent="0.3">
      <c r="A446">
        <v>446</v>
      </c>
      <c r="B446" t="s">
        <v>14</v>
      </c>
      <c r="C446" s="5">
        <v>500</v>
      </c>
      <c r="D446" t="s">
        <v>22</v>
      </c>
      <c r="E446" t="s">
        <v>25</v>
      </c>
      <c r="F446">
        <v>54</v>
      </c>
      <c r="G446" s="5">
        <v>0</v>
      </c>
      <c r="H446" s="4">
        <v>43219.63</v>
      </c>
      <c r="I446" s="5">
        <v>1</v>
      </c>
      <c r="J446">
        <v>0</v>
      </c>
      <c r="K446">
        <v>1</v>
      </c>
      <c r="L446" s="4">
        <v>148736.87</v>
      </c>
      <c r="M446">
        <v>1</v>
      </c>
      <c r="N446" s="4">
        <f t="shared" si="12"/>
        <v>-1.1833580328948741</v>
      </c>
      <c r="O446" s="4">
        <f t="shared" si="13"/>
        <v>1.6254213976411376</v>
      </c>
      <c r="P446" t="str" cm="1">
        <f t="array" ref="P446">_xlfn.IFS(AND(F446&gt;15,F446&lt;=30), "Youngsters", AND(F446&gt;30,F446&lt;=50), "Adults", AND(F446&gt;50,F446&lt;=70),"Old person", AND(F446&gt;70, F446&lt;92), "Senior Citizens")</f>
        <v>Old person</v>
      </c>
      <c r="Q446" t="str" cm="1">
        <f t="array" ref="Q446">_xlfn.IFS(G446=0,"No Tenure Period",AND(G446&gt;0,G446&lt;=3),"Less Tenure Period",AND(G446&gt;3,G446&lt;=7),"More Tenure Period",AND(G446&gt;7,G446&lt;=10),"Large Tenure Period")</f>
        <v>No Tenure Period</v>
      </c>
      <c r="R446" t="str" cm="1">
        <f t="array" ref="R446">_xlfn.IFS(AND(C446&gt;300,C446&lt;=525),"1 Star",AND(C446&gt;525,C446&lt;=600),"2 Star",AND(C446&gt;600,C446&lt;=700),"3 Star",AND(C446&gt;700,C446&lt;=750),"4 Star",AND(C446&gt;750,C446&lt;=900),"5 Star")</f>
        <v>1 Star</v>
      </c>
      <c r="S446" cm="1">
        <f t="array" ref="S446">_xlfn.IFS(E446="Male",1,E446="Female",2)</f>
        <v>1</v>
      </c>
      <c r="T446" cm="1">
        <f t="array" ref="T446">_xlfn.IFS(D446="France",1,D446="Germany",2,D446="Spain",3)</f>
        <v>2</v>
      </c>
    </row>
    <row r="447" spans="1:20" x14ac:dyDescent="0.3">
      <c r="A447">
        <v>447</v>
      </c>
      <c r="B447" t="s">
        <v>13</v>
      </c>
      <c r="C447" s="5">
        <v>380</v>
      </c>
      <c r="D447" t="s">
        <v>24</v>
      </c>
      <c r="E447" t="s">
        <v>26</v>
      </c>
      <c r="F447">
        <v>62</v>
      </c>
      <c r="G447" s="5">
        <v>7</v>
      </c>
      <c r="H447" s="4">
        <v>114966.17</v>
      </c>
      <c r="I447" s="5">
        <v>3</v>
      </c>
      <c r="J447">
        <v>0</v>
      </c>
      <c r="K447">
        <v>1</v>
      </c>
      <c r="L447" s="4">
        <v>136504.93</v>
      </c>
      <c r="M447">
        <v>1</v>
      </c>
      <c r="N447" s="4">
        <f t="shared" si="12"/>
        <v>-0.18649756499770684</v>
      </c>
      <c r="O447" s="4">
        <f t="shared" si="13"/>
        <v>1.3265175371979896</v>
      </c>
      <c r="P447" t="str" cm="1">
        <f t="array" ref="P447">_xlfn.IFS(AND(F447&gt;15,F447&lt;=30), "Youngsters", AND(F447&gt;30,F447&lt;=50), "Adults", AND(F447&gt;50,F447&lt;=70),"Old person", AND(F447&gt;70, F447&lt;92), "Senior Citizens")</f>
        <v>Old person</v>
      </c>
      <c r="Q447" t="str" cm="1">
        <f t="array" ref="Q447">_xlfn.IFS(G447=0,"No Tenure Period",AND(G447&gt;0,G447&lt;=3),"Less Tenure Period",AND(G447&gt;3,G447&lt;=7),"More Tenure Period",AND(G447&gt;7,G447&lt;=10),"Large Tenure Period")</f>
        <v>More Tenure Period</v>
      </c>
      <c r="R447" t="str" cm="1">
        <f t="array" ref="R447">_xlfn.IFS(AND(C447&gt;300,C447&lt;=525),"1 Star",AND(C447&gt;525,C447&lt;=600),"2 Star",AND(C447&gt;600,C447&lt;=700),"3 Star",AND(C447&gt;700,C447&lt;=750),"4 Star",AND(C447&gt;750,C447&lt;=900),"5 Star")</f>
        <v>1 Star</v>
      </c>
      <c r="S447" cm="1">
        <f t="array" ref="S447">_xlfn.IFS(E447="Male",1,E447="Female",2)</f>
        <v>2</v>
      </c>
      <c r="T447" cm="1">
        <f t="array" ref="T447">_xlfn.IFS(D447="France",1,D447="Germany",2,D447="Spain",3)</f>
        <v>1</v>
      </c>
    </row>
    <row r="448" spans="1:20" x14ac:dyDescent="0.3">
      <c r="A448">
        <v>448</v>
      </c>
      <c r="B448" t="s">
        <v>12</v>
      </c>
      <c r="C448" s="5">
        <v>605</v>
      </c>
      <c r="D448" t="s">
        <v>24</v>
      </c>
      <c r="E448" t="s">
        <v>26</v>
      </c>
      <c r="F448">
        <v>90</v>
      </c>
      <c r="G448" s="5">
        <v>6</v>
      </c>
      <c r="H448" s="4">
        <v>125191.91</v>
      </c>
      <c r="I448" s="5">
        <v>2</v>
      </c>
      <c r="J448">
        <v>0</v>
      </c>
      <c r="K448">
        <v>1</v>
      </c>
      <c r="L448" s="4">
        <v>74035.929999999993</v>
      </c>
      <c r="M448">
        <v>1</v>
      </c>
      <c r="N448" s="4">
        <f t="shared" si="12"/>
        <v>-4.4419132212031261E-2</v>
      </c>
      <c r="O448" s="4">
        <f t="shared" si="13"/>
        <v>-0.19999626666493073</v>
      </c>
      <c r="P448" t="str" cm="1">
        <f t="array" ref="P448">_xlfn.IFS(AND(F448&gt;15,F448&lt;=30), "Youngsters", AND(F448&gt;30,F448&lt;=50), "Adults", AND(F448&gt;50,F448&lt;=70),"Old person", AND(F448&gt;70, F448&lt;92), "Senior Citizens")</f>
        <v>Senior Citizens</v>
      </c>
      <c r="Q448" t="str" cm="1">
        <f t="array" ref="Q448">_xlfn.IFS(G448=0,"No Tenure Period",AND(G448&gt;0,G448&lt;=3),"Less Tenure Period",AND(G448&gt;3,G448&lt;=7),"More Tenure Period",AND(G448&gt;7,G448&lt;=10),"Large Tenure Period")</f>
        <v>More Tenure Period</v>
      </c>
      <c r="R448" t="str" cm="1">
        <f t="array" ref="R448">_xlfn.IFS(AND(C448&gt;300,C448&lt;=525),"1 Star",AND(C448&gt;525,C448&lt;=600),"2 Star",AND(C448&gt;600,C448&lt;=700),"3 Star",AND(C448&gt;700,C448&lt;=750),"4 Star",AND(C448&gt;750,C448&lt;=900),"5 Star")</f>
        <v>3 Star</v>
      </c>
      <c r="S448" cm="1">
        <f t="array" ref="S448">_xlfn.IFS(E448="Male",1,E448="Female",2)</f>
        <v>2</v>
      </c>
      <c r="T448" cm="1">
        <f t="array" ref="T448">_xlfn.IFS(D448="France",1,D448="Germany",2,D448="Spain",3)</f>
        <v>1</v>
      </c>
    </row>
    <row r="449" spans="1:20" x14ac:dyDescent="0.3">
      <c r="A449">
        <v>449</v>
      </c>
      <c r="B449" t="s">
        <v>16</v>
      </c>
      <c r="C449" s="5">
        <v>369</v>
      </c>
      <c r="D449" t="s">
        <v>23</v>
      </c>
      <c r="E449" t="s">
        <v>26</v>
      </c>
      <c r="F449">
        <v>56</v>
      </c>
      <c r="G449" s="5">
        <v>7</v>
      </c>
      <c r="H449" s="4">
        <v>228816.63</v>
      </c>
      <c r="I449" s="5">
        <v>3</v>
      </c>
      <c r="J449">
        <v>1</v>
      </c>
      <c r="K449">
        <v>1</v>
      </c>
      <c r="L449" s="4">
        <v>52394</v>
      </c>
      <c r="M449">
        <v>0</v>
      </c>
      <c r="N449" s="4">
        <f t="shared" si="12"/>
        <v>1.3953630073157139</v>
      </c>
      <c r="O449" s="4">
        <f t="shared" si="13"/>
        <v>-0.72884585425613657</v>
      </c>
      <c r="P449" t="str" cm="1">
        <f t="array" ref="P449">_xlfn.IFS(AND(F449&gt;15,F449&lt;=30), "Youngsters", AND(F449&gt;30,F449&lt;=50), "Adults", AND(F449&gt;50,F449&lt;=70),"Old person", AND(F449&gt;70, F449&lt;92), "Senior Citizens")</f>
        <v>Old person</v>
      </c>
      <c r="Q449" t="str" cm="1">
        <f t="array" ref="Q449">_xlfn.IFS(G449=0,"No Tenure Period",AND(G449&gt;0,G449&lt;=3),"Less Tenure Period",AND(G449&gt;3,G449&lt;=7),"More Tenure Period",AND(G449&gt;7,G449&lt;=10),"Large Tenure Period")</f>
        <v>More Tenure Period</v>
      </c>
      <c r="R449" t="str" cm="1">
        <f t="array" ref="R449">_xlfn.IFS(AND(C449&gt;300,C449&lt;=525),"1 Star",AND(C449&gt;525,C449&lt;=600),"2 Star",AND(C449&gt;600,C449&lt;=700),"3 Star",AND(C449&gt;700,C449&lt;=750),"4 Star",AND(C449&gt;750,C449&lt;=900),"5 Star")</f>
        <v>1 Star</v>
      </c>
      <c r="S449" cm="1">
        <f t="array" ref="S449">_xlfn.IFS(E449="Male",1,E449="Female",2)</f>
        <v>2</v>
      </c>
      <c r="T449" cm="1">
        <f t="array" ref="T449">_xlfn.IFS(D449="France",1,D449="Germany",2,D449="Spain",3)</f>
        <v>3</v>
      </c>
    </row>
    <row r="450" spans="1:20" x14ac:dyDescent="0.3">
      <c r="A450">
        <v>450</v>
      </c>
      <c r="B450" t="s">
        <v>14</v>
      </c>
      <c r="C450" s="5">
        <v>610</v>
      </c>
      <c r="D450" t="s">
        <v>24</v>
      </c>
      <c r="E450" t="s">
        <v>26</v>
      </c>
      <c r="F450">
        <v>60</v>
      </c>
      <c r="G450" s="5">
        <v>10</v>
      </c>
      <c r="H450" s="4">
        <v>104917.3</v>
      </c>
      <c r="I450" s="5">
        <v>2</v>
      </c>
      <c r="J450">
        <v>0</v>
      </c>
      <c r="K450">
        <v>1</v>
      </c>
      <c r="L450" s="4">
        <v>72303.199999999997</v>
      </c>
      <c r="M450">
        <v>1</v>
      </c>
      <c r="N450" s="4">
        <f t="shared" ref="N450:N500" si="14">(H450-$X$4)/$X$7</f>
        <v>-0.32611853138908686</v>
      </c>
      <c r="O450" s="4">
        <f t="shared" ref="O450:O500" si="15">(L450-$Y$5)/$Y$8</f>
        <v>-0.24233784830330163</v>
      </c>
      <c r="P450" t="str" cm="1">
        <f t="array" ref="P450">_xlfn.IFS(AND(F450&gt;15,F450&lt;=30), "Youngsters", AND(F450&gt;30,F450&lt;=50), "Adults", AND(F450&gt;50,F450&lt;=70),"Old person", AND(F450&gt;70, F450&lt;92), "Senior Citizens")</f>
        <v>Old person</v>
      </c>
      <c r="Q450" t="str" cm="1">
        <f t="array" ref="Q450">_xlfn.IFS(G450=0,"No Tenure Period",AND(G450&gt;0,G450&lt;=3),"Less Tenure Period",AND(G450&gt;3,G450&lt;=7),"More Tenure Period",AND(G450&gt;7,G450&lt;=10),"Large Tenure Period")</f>
        <v>Large Tenure Period</v>
      </c>
      <c r="R450" t="str" cm="1">
        <f t="array" ref="R450">_xlfn.IFS(AND(C450&gt;300,C450&lt;=525),"1 Star",AND(C450&gt;525,C450&lt;=600),"2 Star",AND(C450&gt;600,C450&lt;=700),"3 Star",AND(C450&gt;700,C450&lt;=750),"4 Star",AND(C450&gt;750,C450&lt;=900),"5 Star")</f>
        <v>3 Star</v>
      </c>
      <c r="S450" cm="1">
        <f t="array" ref="S450">_xlfn.IFS(E450="Male",1,E450="Female",2)</f>
        <v>2</v>
      </c>
      <c r="T450" cm="1">
        <f t="array" ref="T450">_xlfn.IFS(D450="France",1,D450="Germany",2,D450="Spain",3)</f>
        <v>1</v>
      </c>
    </row>
    <row r="451" spans="1:20" x14ac:dyDescent="0.3">
      <c r="A451">
        <v>451</v>
      </c>
      <c r="B451" t="s">
        <v>15</v>
      </c>
      <c r="C451" s="5">
        <v>498</v>
      </c>
      <c r="D451" t="s">
        <v>23</v>
      </c>
      <c r="E451" t="s">
        <v>26</v>
      </c>
      <c r="F451">
        <v>54</v>
      </c>
      <c r="G451" s="5">
        <v>9</v>
      </c>
      <c r="H451" s="4">
        <v>26944.7</v>
      </c>
      <c r="I451" s="5">
        <v>4</v>
      </c>
      <c r="J451">
        <v>0</v>
      </c>
      <c r="K451">
        <v>0</v>
      </c>
      <c r="L451" s="4">
        <v>88360.27</v>
      </c>
      <c r="M451">
        <v>0</v>
      </c>
      <c r="N451" s="4">
        <f t="shared" si="14"/>
        <v>-1.4094850953956393</v>
      </c>
      <c r="O451" s="4">
        <f t="shared" si="15"/>
        <v>0.15003819428731441</v>
      </c>
      <c r="P451" t="str" cm="1">
        <f t="array" ref="P451">_xlfn.IFS(AND(F451&gt;15,F451&lt;=30), "Youngsters", AND(F451&gt;30,F451&lt;=50), "Adults", AND(F451&gt;50,F451&lt;=70),"Old person", AND(F451&gt;70, F451&lt;92), "Senior Citizens")</f>
        <v>Old person</v>
      </c>
      <c r="Q451" t="str" cm="1">
        <f t="array" ref="Q451">_xlfn.IFS(G451=0,"No Tenure Period",AND(G451&gt;0,G451&lt;=3),"Less Tenure Period",AND(G451&gt;3,G451&lt;=7),"More Tenure Period",AND(G451&gt;7,G451&lt;=10),"Large Tenure Period")</f>
        <v>Large Tenure Period</v>
      </c>
      <c r="R451" t="str" cm="1">
        <f t="array" ref="R451">_xlfn.IFS(AND(C451&gt;300,C451&lt;=525),"1 Star",AND(C451&gt;525,C451&lt;=600),"2 Star",AND(C451&gt;600,C451&lt;=700),"3 Star",AND(C451&gt;700,C451&lt;=750),"4 Star",AND(C451&gt;750,C451&lt;=900),"5 Star")</f>
        <v>1 Star</v>
      </c>
      <c r="S451" cm="1">
        <f t="array" ref="S451">_xlfn.IFS(E451="Male",1,E451="Female",2)</f>
        <v>2</v>
      </c>
      <c r="T451" cm="1">
        <f t="array" ref="T451">_xlfn.IFS(D451="France",1,D451="Germany",2,D451="Spain",3)</f>
        <v>3</v>
      </c>
    </row>
    <row r="452" spans="1:20" x14ac:dyDescent="0.3">
      <c r="A452">
        <v>452</v>
      </c>
      <c r="B452" t="s">
        <v>12</v>
      </c>
      <c r="C452" s="5">
        <v>712</v>
      </c>
      <c r="D452" t="s">
        <v>24</v>
      </c>
      <c r="E452" t="s">
        <v>26</v>
      </c>
      <c r="F452">
        <v>86</v>
      </c>
      <c r="G452" s="5">
        <v>0</v>
      </c>
      <c r="H452" s="4">
        <v>57728.98</v>
      </c>
      <c r="I452" s="5">
        <v>1</v>
      </c>
      <c r="J452">
        <v>1</v>
      </c>
      <c r="K452">
        <v>1</v>
      </c>
      <c r="L452" s="4">
        <v>46958.37</v>
      </c>
      <c r="M452">
        <v>0</v>
      </c>
      <c r="N452" s="4">
        <f t="shared" si="14"/>
        <v>-0.9817622844464643</v>
      </c>
      <c r="O452" s="4">
        <f t="shared" si="15"/>
        <v>-0.86167276404645499</v>
      </c>
      <c r="P452" t="str" cm="1">
        <f t="array" ref="P452">_xlfn.IFS(AND(F452&gt;15,F452&lt;=30), "Youngsters", AND(F452&gt;30,F452&lt;=50), "Adults", AND(F452&gt;50,F452&lt;=70),"Old person", AND(F452&gt;70, F452&lt;92), "Senior Citizens")</f>
        <v>Senior Citizens</v>
      </c>
      <c r="Q452" t="str" cm="1">
        <f t="array" ref="Q452">_xlfn.IFS(G452=0,"No Tenure Period",AND(G452&gt;0,G452&lt;=3),"Less Tenure Period",AND(G452&gt;3,G452&lt;=7),"More Tenure Period",AND(G452&gt;7,G452&lt;=10),"Large Tenure Period")</f>
        <v>No Tenure Period</v>
      </c>
      <c r="R452" t="str" cm="1">
        <f t="array" ref="R452">_xlfn.IFS(AND(C452&gt;300,C452&lt;=525),"1 Star",AND(C452&gt;525,C452&lt;=600),"2 Star",AND(C452&gt;600,C452&lt;=700),"3 Star",AND(C452&gt;700,C452&lt;=750),"4 Star",AND(C452&gt;750,C452&lt;=900),"5 Star")</f>
        <v>4 Star</v>
      </c>
      <c r="S452" cm="1">
        <f t="array" ref="S452">_xlfn.IFS(E452="Male",1,E452="Female",2)</f>
        <v>2</v>
      </c>
      <c r="T452" cm="1">
        <f t="array" ref="T452">_xlfn.IFS(D452="France",1,D452="Germany",2,D452="Spain",3)</f>
        <v>1</v>
      </c>
    </row>
    <row r="453" spans="1:20" x14ac:dyDescent="0.3">
      <c r="A453">
        <v>453</v>
      </c>
      <c r="B453" t="s">
        <v>12</v>
      </c>
      <c r="C453" s="5">
        <v>424</v>
      </c>
      <c r="D453" t="s">
        <v>24</v>
      </c>
      <c r="E453" t="s">
        <v>26</v>
      </c>
      <c r="F453">
        <v>31</v>
      </c>
      <c r="G453" s="5">
        <v>9</v>
      </c>
      <c r="H453" s="4">
        <v>236352.17</v>
      </c>
      <c r="I453" s="5">
        <v>4</v>
      </c>
      <c r="J453">
        <v>0</v>
      </c>
      <c r="K453">
        <v>0</v>
      </c>
      <c r="L453" s="4">
        <v>111036.69</v>
      </c>
      <c r="M453">
        <v>1</v>
      </c>
      <c r="N453" s="4">
        <f t="shared" si="14"/>
        <v>1.5000632748165275</v>
      </c>
      <c r="O453" s="4">
        <f t="shared" si="15"/>
        <v>0.70416693257659713</v>
      </c>
      <c r="P453" t="str" cm="1">
        <f t="array" ref="P453">_xlfn.IFS(AND(F453&gt;15,F453&lt;=30), "Youngsters", AND(F453&gt;30,F453&lt;=50), "Adults", AND(F453&gt;50,F453&lt;=70),"Old person", AND(F453&gt;70, F453&lt;92), "Senior Citizens")</f>
        <v>Adults</v>
      </c>
      <c r="Q453" t="str" cm="1">
        <f t="array" ref="Q453">_xlfn.IFS(G453=0,"No Tenure Period",AND(G453&gt;0,G453&lt;=3),"Less Tenure Period",AND(G453&gt;3,G453&lt;=7),"More Tenure Period",AND(G453&gt;7,G453&lt;=10),"Large Tenure Period")</f>
        <v>Large Tenure Period</v>
      </c>
      <c r="R453" t="str" cm="1">
        <f t="array" ref="R453">_xlfn.IFS(AND(C453&gt;300,C453&lt;=525),"1 Star",AND(C453&gt;525,C453&lt;=600),"2 Star",AND(C453&gt;600,C453&lt;=700),"3 Star",AND(C453&gt;700,C453&lt;=750),"4 Star",AND(C453&gt;750,C453&lt;=900),"5 Star")</f>
        <v>1 Star</v>
      </c>
      <c r="S453" cm="1">
        <f t="array" ref="S453">_xlfn.IFS(E453="Male",1,E453="Female",2)</f>
        <v>2</v>
      </c>
      <c r="T453" cm="1">
        <f t="array" ref="T453">_xlfn.IFS(D453="France",1,D453="Germany",2,D453="Spain",3)</f>
        <v>1</v>
      </c>
    </row>
    <row r="454" spans="1:20" x14ac:dyDescent="0.3">
      <c r="A454">
        <v>454</v>
      </c>
      <c r="B454" t="s">
        <v>20</v>
      </c>
      <c r="C454" s="5">
        <v>473</v>
      </c>
      <c r="D454" t="s">
        <v>22</v>
      </c>
      <c r="E454" t="s">
        <v>25</v>
      </c>
      <c r="F454">
        <v>31</v>
      </c>
      <c r="G454" s="5">
        <v>4</v>
      </c>
      <c r="H454" s="4">
        <v>148788.01</v>
      </c>
      <c r="I454" s="5">
        <v>2</v>
      </c>
      <c r="J454">
        <v>1</v>
      </c>
      <c r="K454">
        <v>1</v>
      </c>
      <c r="L454" s="4">
        <v>13370.94</v>
      </c>
      <c r="M454">
        <v>1</v>
      </c>
      <c r="N454" s="4">
        <f t="shared" si="14"/>
        <v>0.28342969905632476</v>
      </c>
      <c r="O454" s="4">
        <f t="shared" si="15"/>
        <v>-1.6824266664825365</v>
      </c>
      <c r="P454" t="str" cm="1">
        <f t="array" ref="P454">_xlfn.IFS(AND(F454&gt;15,F454&lt;=30), "Youngsters", AND(F454&gt;30,F454&lt;=50), "Adults", AND(F454&gt;50,F454&lt;=70),"Old person", AND(F454&gt;70, F454&lt;92), "Senior Citizens")</f>
        <v>Adults</v>
      </c>
      <c r="Q454" t="str" cm="1">
        <f t="array" ref="Q454">_xlfn.IFS(G454=0,"No Tenure Period",AND(G454&gt;0,G454&lt;=3),"Less Tenure Period",AND(G454&gt;3,G454&lt;=7),"More Tenure Period",AND(G454&gt;7,G454&lt;=10),"Large Tenure Period")</f>
        <v>More Tenure Period</v>
      </c>
      <c r="R454" t="str" cm="1">
        <f t="array" ref="R454">_xlfn.IFS(AND(C454&gt;300,C454&lt;=525),"1 Star",AND(C454&gt;525,C454&lt;=600),"2 Star",AND(C454&gt;600,C454&lt;=700),"3 Star",AND(C454&gt;700,C454&lt;=750),"4 Star",AND(C454&gt;750,C454&lt;=900),"5 Star")</f>
        <v>1 Star</v>
      </c>
      <c r="S454" cm="1">
        <f t="array" ref="S454">_xlfn.IFS(E454="Male",1,E454="Female",2)</f>
        <v>1</v>
      </c>
      <c r="T454" cm="1">
        <f t="array" ref="T454">_xlfn.IFS(D454="France",1,D454="Germany",2,D454="Spain",3)</f>
        <v>2</v>
      </c>
    </row>
    <row r="455" spans="1:20" x14ac:dyDescent="0.3">
      <c r="A455">
        <v>455</v>
      </c>
      <c r="B455" t="s">
        <v>13</v>
      </c>
      <c r="C455" s="5">
        <v>801</v>
      </c>
      <c r="D455" t="s">
        <v>23</v>
      </c>
      <c r="E455" t="s">
        <v>26</v>
      </c>
      <c r="F455">
        <v>59</v>
      </c>
      <c r="G455" s="5">
        <v>8</v>
      </c>
      <c r="H455" s="4">
        <v>88835.65</v>
      </c>
      <c r="I455" s="5">
        <v>2</v>
      </c>
      <c r="J455">
        <v>1</v>
      </c>
      <c r="K455">
        <v>0</v>
      </c>
      <c r="L455" s="4">
        <v>141964.46</v>
      </c>
      <c r="M455">
        <v>0</v>
      </c>
      <c r="N455" s="4">
        <f t="shared" si="14"/>
        <v>-0.54956012374404206</v>
      </c>
      <c r="O455" s="4">
        <f t="shared" si="15"/>
        <v>1.4599284755450694</v>
      </c>
      <c r="P455" t="str" cm="1">
        <f t="array" ref="P455">_xlfn.IFS(AND(F455&gt;15,F455&lt;=30), "Youngsters", AND(F455&gt;30,F455&lt;=50), "Adults", AND(F455&gt;50,F455&lt;=70),"Old person", AND(F455&gt;70, F455&lt;92), "Senior Citizens")</f>
        <v>Old person</v>
      </c>
      <c r="Q455" t="str" cm="1">
        <f t="array" ref="Q455">_xlfn.IFS(G455=0,"No Tenure Period",AND(G455&gt;0,G455&lt;=3),"Less Tenure Period",AND(G455&gt;3,G455&lt;=7),"More Tenure Period",AND(G455&gt;7,G455&lt;=10),"Large Tenure Period")</f>
        <v>Large Tenure Period</v>
      </c>
      <c r="R455" t="str" cm="1">
        <f t="array" ref="R455">_xlfn.IFS(AND(C455&gt;300,C455&lt;=525),"1 Star",AND(C455&gt;525,C455&lt;=600),"2 Star",AND(C455&gt;600,C455&lt;=700),"3 Star",AND(C455&gt;700,C455&lt;=750),"4 Star",AND(C455&gt;750,C455&lt;=900),"5 Star")</f>
        <v>5 Star</v>
      </c>
      <c r="S455" cm="1">
        <f t="array" ref="S455">_xlfn.IFS(E455="Male",1,E455="Female",2)</f>
        <v>2</v>
      </c>
      <c r="T455" cm="1">
        <f t="array" ref="T455">_xlfn.IFS(D455="France",1,D455="Germany",2,D455="Spain",3)</f>
        <v>3</v>
      </c>
    </row>
    <row r="456" spans="1:20" x14ac:dyDescent="0.3">
      <c r="A456">
        <v>456</v>
      </c>
      <c r="B456" t="s">
        <v>20</v>
      </c>
      <c r="C456" s="5">
        <v>564</v>
      </c>
      <c r="D456" t="s">
        <v>22</v>
      </c>
      <c r="E456" t="s">
        <v>26</v>
      </c>
      <c r="F456">
        <v>90</v>
      </c>
      <c r="G456" s="5">
        <v>5</v>
      </c>
      <c r="H456" s="4">
        <v>223177.88</v>
      </c>
      <c r="I456" s="5">
        <v>3</v>
      </c>
      <c r="J456">
        <v>1</v>
      </c>
      <c r="K456">
        <v>1</v>
      </c>
      <c r="L456" s="4">
        <v>111640.94</v>
      </c>
      <c r="M456">
        <v>0</v>
      </c>
      <c r="N456" s="4">
        <f t="shared" si="14"/>
        <v>1.3170171112856732</v>
      </c>
      <c r="O456" s="4">
        <f t="shared" si="15"/>
        <v>0.71893259179931834</v>
      </c>
      <c r="P456" t="str" cm="1">
        <f t="array" ref="P456">_xlfn.IFS(AND(F456&gt;15,F456&lt;=30), "Youngsters", AND(F456&gt;30,F456&lt;=50), "Adults", AND(F456&gt;50,F456&lt;=70),"Old person", AND(F456&gt;70, F456&lt;92), "Senior Citizens")</f>
        <v>Senior Citizens</v>
      </c>
      <c r="Q456" t="str" cm="1">
        <f t="array" ref="Q456">_xlfn.IFS(G456=0,"No Tenure Period",AND(G456&gt;0,G456&lt;=3),"Less Tenure Period",AND(G456&gt;3,G456&lt;=7),"More Tenure Period",AND(G456&gt;7,G456&lt;=10),"Large Tenure Period")</f>
        <v>More Tenure Period</v>
      </c>
      <c r="R456" t="str" cm="1">
        <f t="array" ref="R456">_xlfn.IFS(AND(C456&gt;300,C456&lt;=525),"1 Star",AND(C456&gt;525,C456&lt;=600),"2 Star",AND(C456&gt;600,C456&lt;=700),"3 Star",AND(C456&gt;700,C456&lt;=750),"4 Star",AND(C456&gt;750,C456&lt;=900),"5 Star")</f>
        <v>2 Star</v>
      </c>
      <c r="S456" cm="1">
        <f t="array" ref="S456">_xlfn.IFS(E456="Male",1,E456="Female",2)</f>
        <v>2</v>
      </c>
      <c r="T456" cm="1">
        <f t="array" ref="T456">_xlfn.IFS(D456="France",1,D456="Germany",2,D456="Spain",3)</f>
        <v>2</v>
      </c>
    </row>
    <row r="457" spans="1:20" x14ac:dyDescent="0.3">
      <c r="A457">
        <v>457</v>
      </c>
      <c r="B457" t="s">
        <v>14</v>
      </c>
      <c r="C457" s="5">
        <v>666</v>
      </c>
      <c r="D457" t="s">
        <v>24</v>
      </c>
      <c r="E457" t="s">
        <v>25</v>
      </c>
      <c r="F457">
        <v>24</v>
      </c>
      <c r="G457" s="5">
        <v>2</v>
      </c>
      <c r="H457" s="4">
        <v>75143.55</v>
      </c>
      <c r="I457" s="5">
        <v>1</v>
      </c>
      <c r="J457">
        <v>1</v>
      </c>
      <c r="K457">
        <v>0</v>
      </c>
      <c r="L457" s="4">
        <v>132228.18</v>
      </c>
      <c r="M457">
        <v>0</v>
      </c>
      <c r="N457" s="4">
        <f t="shared" si="14"/>
        <v>-0.73980084075276187</v>
      </c>
      <c r="O457" s="4">
        <f t="shared" si="15"/>
        <v>1.2220094145984484</v>
      </c>
      <c r="P457" t="str" cm="1">
        <f t="array" ref="P457">_xlfn.IFS(AND(F457&gt;15,F457&lt;=30), "Youngsters", AND(F457&gt;30,F457&lt;=50), "Adults", AND(F457&gt;50,F457&lt;=70),"Old person", AND(F457&gt;70, F457&lt;92), "Senior Citizens")</f>
        <v>Youngsters</v>
      </c>
      <c r="Q457" t="str" cm="1">
        <f t="array" ref="Q457">_xlfn.IFS(G457=0,"No Tenure Period",AND(G457&gt;0,G457&lt;=3),"Less Tenure Period",AND(G457&gt;3,G457&lt;=7),"More Tenure Period",AND(G457&gt;7,G457&lt;=10),"Large Tenure Period")</f>
        <v>Less Tenure Period</v>
      </c>
      <c r="R457" t="str" cm="1">
        <f t="array" ref="R457">_xlfn.IFS(AND(C457&gt;300,C457&lt;=525),"1 Star",AND(C457&gt;525,C457&lt;=600),"2 Star",AND(C457&gt;600,C457&lt;=700),"3 Star",AND(C457&gt;700,C457&lt;=750),"4 Star",AND(C457&gt;750,C457&lt;=900),"5 Star")</f>
        <v>3 Star</v>
      </c>
      <c r="S457" cm="1">
        <f t="array" ref="S457">_xlfn.IFS(E457="Male",1,E457="Female",2)</f>
        <v>1</v>
      </c>
      <c r="T457" cm="1">
        <f t="array" ref="T457">_xlfn.IFS(D457="France",1,D457="Germany",2,D457="Spain",3)</f>
        <v>1</v>
      </c>
    </row>
    <row r="458" spans="1:20" x14ac:dyDescent="0.3">
      <c r="A458">
        <v>458</v>
      </c>
      <c r="B458" t="s">
        <v>19</v>
      </c>
      <c r="C458" s="5">
        <v>579</v>
      </c>
      <c r="D458" t="s">
        <v>23</v>
      </c>
      <c r="E458" t="s">
        <v>26</v>
      </c>
      <c r="F458">
        <v>30</v>
      </c>
      <c r="G458" s="5">
        <v>5</v>
      </c>
      <c r="H458" s="4">
        <v>220273.68</v>
      </c>
      <c r="I458" s="5">
        <v>4</v>
      </c>
      <c r="J458">
        <v>0</v>
      </c>
      <c r="K458">
        <v>0</v>
      </c>
      <c r="L458" s="4">
        <v>57395.97</v>
      </c>
      <c r="M458">
        <v>0</v>
      </c>
      <c r="N458" s="4">
        <f t="shared" si="14"/>
        <v>1.2766655881199991</v>
      </c>
      <c r="O458" s="4">
        <f t="shared" si="15"/>
        <v>-0.60661600822837547</v>
      </c>
      <c r="P458" t="str" cm="1">
        <f t="array" ref="P458">_xlfn.IFS(AND(F458&gt;15,F458&lt;=30), "Youngsters", AND(F458&gt;30,F458&lt;=50), "Adults", AND(F458&gt;50,F458&lt;=70),"Old person", AND(F458&gt;70, F458&lt;92), "Senior Citizens")</f>
        <v>Youngsters</v>
      </c>
      <c r="Q458" t="str" cm="1">
        <f t="array" ref="Q458">_xlfn.IFS(G458=0,"No Tenure Period",AND(G458&gt;0,G458&lt;=3),"Less Tenure Period",AND(G458&gt;3,G458&lt;=7),"More Tenure Period",AND(G458&gt;7,G458&lt;=10),"Large Tenure Period")</f>
        <v>More Tenure Period</v>
      </c>
      <c r="R458" t="str" cm="1">
        <f t="array" ref="R458">_xlfn.IFS(AND(C458&gt;300,C458&lt;=525),"1 Star",AND(C458&gt;525,C458&lt;=600),"2 Star",AND(C458&gt;600,C458&lt;=700),"3 Star",AND(C458&gt;700,C458&lt;=750),"4 Star",AND(C458&gt;750,C458&lt;=900),"5 Star")</f>
        <v>2 Star</v>
      </c>
      <c r="S458" cm="1">
        <f t="array" ref="S458">_xlfn.IFS(E458="Male",1,E458="Female",2)</f>
        <v>2</v>
      </c>
      <c r="T458" cm="1">
        <f t="array" ref="T458">_xlfn.IFS(D458="France",1,D458="Germany",2,D458="Spain",3)</f>
        <v>3</v>
      </c>
    </row>
    <row r="459" spans="1:20" x14ac:dyDescent="0.3">
      <c r="A459">
        <v>459</v>
      </c>
      <c r="B459" t="s">
        <v>16</v>
      </c>
      <c r="C459" s="5">
        <v>600</v>
      </c>
      <c r="D459" t="s">
        <v>23</v>
      </c>
      <c r="E459" t="s">
        <v>25</v>
      </c>
      <c r="F459">
        <v>21</v>
      </c>
      <c r="G459" s="5">
        <v>4</v>
      </c>
      <c r="H459" s="4">
        <v>30283.43</v>
      </c>
      <c r="I459" s="5">
        <v>1</v>
      </c>
      <c r="J459">
        <v>0</v>
      </c>
      <c r="K459">
        <v>0</v>
      </c>
      <c r="L459" s="4">
        <v>140478.74</v>
      </c>
      <c r="M459">
        <v>1</v>
      </c>
      <c r="N459" s="4">
        <f t="shared" si="14"/>
        <v>-1.3630961273703894</v>
      </c>
      <c r="O459" s="4">
        <f t="shared" si="15"/>
        <v>1.4236229145680213</v>
      </c>
      <c r="P459" t="str" cm="1">
        <f t="array" ref="P459">_xlfn.IFS(AND(F459&gt;15,F459&lt;=30), "Youngsters", AND(F459&gt;30,F459&lt;=50), "Adults", AND(F459&gt;50,F459&lt;=70),"Old person", AND(F459&gt;70, F459&lt;92), "Senior Citizens")</f>
        <v>Youngsters</v>
      </c>
      <c r="Q459" t="str" cm="1">
        <f t="array" ref="Q459">_xlfn.IFS(G459=0,"No Tenure Period",AND(G459&gt;0,G459&lt;=3),"Less Tenure Period",AND(G459&gt;3,G459&lt;=7),"More Tenure Period",AND(G459&gt;7,G459&lt;=10),"Large Tenure Period")</f>
        <v>More Tenure Period</v>
      </c>
      <c r="R459" t="str" cm="1">
        <f t="array" ref="R459">_xlfn.IFS(AND(C459&gt;300,C459&lt;=525),"1 Star",AND(C459&gt;525,C459&lt;=600),"2 Star",AND(C459&gt;600,C459&lt;=700),"3 Star",AND(C459&gt;700,C459&lt;=750),"4 Star",AND(C459&gt;750,C459&lt;=900),"5 Star")</f>
        <v>2 Star</v>
      </c>
      <c r="S459" cm="1">
        <f t="array" ref="S459">_xlfn.IFS(E459="Male",1,E459="Female",2)</f>
        <v>1</v>
      </c>
      <c r="T459" cm="1">
        <f t="array" ref="T459">_xlfn.IFS(D459="France",1,D459="Germany",2,D459="Spain",3)</f>
        <v>3</v>
      </c>
    </row>
    <row r="460" spans="1:20" x14ac:dyDescent="0.3">
      <c r="A460">
        <v>460</v>
      </c>
      <c r="B460" t="s">
        <v>14</v>
      </c>
      <c r="C460" s="5">
        <v>443</v>
      </c>
      <c r="D460" t="s">
        <v>23</v>
      </c>
      <c r="E460" t="s">
        <v>26</v>
      </c>
      <c r="F460">
        <v>34</v>
      </c>
      <c r="G460" s="5">
        <v>1</v>
      </c>
      <c r="H460" s="4">
        <v>234557.34</v>
      </c>
      <c r="I460" s="5">
        <v>2</v>
      </c>
      <c r="J460">
        <v>0</v>
      </c>
      <c r="K460">
        <v>1</v>
      </c>
      <c r="L460" s="4">
        <v>148617.01</v>
      </c>
      <c r="M460">
        <v>1</v>
      </c>
      <c r="N460" s="4">
        <f t="shared" si="14"/>
        <v>1.4751255555398086</v>
      </c>
      <c r="O460" s="4">
        <f t="shared" si="15"/>
        <v>1.6224924577744679</v>
      </c>
      <c r="P460" t="str" cm="1">
        <f t="array" ref="P460">_xlfn.IFS(AND(F460&gt;15,F460&lt;=30), "Youngsters", AND(F460&gt;30,F460&lt;=50), "Adults", AND(F460&gt;50,F460&lt;=70),"Old person", AND(F460&gt;70, F460&lt;92), "Senior Citizens")</f>
        <v>Adults</v>
      </c>
      <c r="Q460" t="str" cm="1">
        <f t="array" ref="Q460">_xlfn.IFS(G460=0,"No Tenure Period",AND(G460&gt;0,G460&lt;=3),"Less Tenure Period",AND(G460&gt;3,G460&lt;=7),"More Tenure Period",AND(G460&gt;7,G460&lt;=10),"Large Tenure Period")</f>
        <v>Less Tenure Period</v>
      </c>
      <c r="R460" t="str" cm="1">
        <f t="array" ref="R460">_xlfn.IFS(AND(C460&gt;300,C460&lt;=525),"1 Star",AND(C460&gt;525,C460&lt;=600),"2 Star",AND(C460&gt;600,C460&lt;=700),"3 Star",AND(C460&gt;700,C460&lt;=750),"4 Star",AND(C460&gt;750,C460&lt;=900),"5 Star")</f>
        <v>1 Star</v>
      </c>
      <c r="S460" cm="1">
        <f t="array" ref="S460">_xlfn.IFS(E460="Male",1,E460="Female",2)</f>
        <v>2</v>
      </c>
      <c r="T460" cm="1">
        <f t="array" ref="T460">_xlfn.IFS(D460="France",1,D460="Germany",2,D460="Spain",3)</f>
        <v>3</v>
      </c>
    </row>
    <row r="461" spans="1:20" x14ac:dyDescent="0.3">
      <c r="A461">
        <v>461</v>
      </c>
      <c r="B461" t="s">
        <v>17</v>
      </c>
      <c r="C461" s="5">
        <v>519</v>
      </c>
      <c r="D461" t="s">
        <v>23</v>
      </c>
      <c r="E461" t="s">
        <v>25</v>
      </c>
      <c r="F461">
        <v>23</v>
      </c>
      <c r="G461" s="5">
        <v>0</v>
      </c>
      <c r="H461" s="4">
        <v>234421.59</v>
      </c>
      <c r="I461" s="5">
        <v>4</v>
      </c>
      <c r="J461">
        <v>1</v>
      </c>
      <c r="K461">
        <v>0</v>
      </c>
      <c r="L461" s="4">
        <v>35122.36</v>
      </c>
      <c r="M461">
        <v>1</v>
      </c>
      <c r="N461" s="4">
        <f t="shared" si="14"/>
        <v>1.4732394184728916</v>
      </c>
      <c r="O461" s="4">
        <f t="shared" si="15"/>
        <v>-1.1509015438838075</v>
      </c>
      <c r="P461" t="str" cm="1">
        <f t="array" ref="P461">_xlfn.IFS(AND(F461&gt;15,F461&lt;=30), "Youngsters", AND(F461&gt;30,F461&lt;=50), "Adults", AND(F461&gt;50,F461&lt;=70),"Old person", AND(F461&gt;70, F461&lt;92), "Senior Citizens")</f>
        <v>Youngsters</v>
      </c>
      <c r="Q461" t="str" cm="1">
        <f t="array" ref="Q461">_xlfn.IFS(G461=0,"No Tenure Period",AND(G461&gt;0,G461&lt;=3),"Less Tenure Period",AND(G461&gt;3,G461&lt;=7),"More Tenure Period",AND(G461&gt;7,G461&lt;=10),"Large Tenure Period")</f>
        <v>No Tenure Period</v>
      </c>
      <c r="R461" t="str" cm="1">
        <f t="array" ref="R461">_xlfn.IFS(AND(C461&gt;300,C461&lt;=525),"1 Star",AND(C461&gt;525,C461&lt;=600),"2 Star",AND(C461&gt;600,C461&lt;=700),"3 Star",AND(C461&gt;700,C461&lt;=750),"4 Star",AND(C461&gt;750,C461&lt;=900),"5 Star")</f>
        <v>1 Star</v>
      </c>
      <c r="S461" cm="1">
        <f t="array" ref="S461">_xlfn.IFS(E461="Male",1,E461="Female",2)</f>
        <v>1</v>
      </c>
      <c r="T461" cm="1">
        <f t="array" ref="T461">_xlfn.IFS(D461="France",1,D461="Germany",2,D461="Spain",3)</f>
        <v>3</v>
      </c>
    </row>
    <row r="462" spans="1:20" x14ac:dyDescent="0.3">
      <c r="A462">
        <v>462</v>
      </c>
      <c r="B462" t="s">
        <v>15</v>
      </c>
      <c r="C462" s="5">
        <v>390</v>
      </c>
      <c r="D462" t="s">
        <v>23</v>
      </c>
      <c r="E462" t="s">
        <v>26</v>
      </c>
      <c r="F462">
        <v>58</v>
      </c>
      <c r="G462" s="5">
        <v>2</v>
      </c>
      <c r="H462" s="4">
        <v>86317.46</v>
      </c>
      <c r="I462" s="5">
        <v>3</v>
      </c>
      <c r="J462">
        <v>0</v>
      </c>
      <c r="K462">
        <v>0</v>
      </c>
      <c r="L462" s="4">
        <v>90411.33</v>
      </c>
      <c r="M462">
        <v>1</v>
      </c>
      <c r="N462" s="4">
        <f t="shared" si="14"/>
        <v>-0.58454834842573344</v>
      </c>
      <c r="O462" s="4">
        <f t="shared" si="15"/>
        <v>0.20015859644760314</v>
      </c>
      <c r="P462" t="str" cm="1">
        <f t="array" ref="P462">_xlfn.IFS(AND(F462&gt;15,F462&lt;=30), "Youngsters", AND(F462&gt;30,F462&lt;=50), "Adults", AND(F462&gt;50,F462&lt;=70),"Old person", AND(F462&gt;70, F462&lt;92), "Senior Citizens")</f>
        <v>Old person</v>
      </c>
      <c r="Q462" t="str" cm="1">
        <f t="array" ref="Q462">_xlfn.IFS(G462=0,"No Tenure Period",AND(G462&gt;0,G462&lt;=3),"Less Tenure Period",AND(G462&gt;3,G462&lt;=7),"More Tenure Period",AND(G462&gt;7,G462&lt;=10),"Large Tenure Period")</f>
        <v>Less Tenure Period</v>
      </c>
      <c r="R462" t="str" cm="1">
        <f t="array" ref="R462">_xlfn.IFS(AND(C462&gt;300,C462&lt;=525),"1 Star",AND(C462&gt;525,C462&lt;=600),"2 Star",AND(C462&gt;600,C462&lt;=700),"3 Star",AND(C462&gt;700,C462&lt;=750),"4 Star",AND(C462&gt;750,C462&lt;=900),"5 Star")</f>
        <v>1 Star</v>
      </c>
      <c r="S462" cm="1">
        <f t="array" ref="S462">_xlfn.IFS(E462="Male",1,E462="Female",2)</f>
        <v>2</v>
      </c>
      <c r="T462" cm="1">
        <f t="array" ref="T462">_xlfn.IFS(D462="France",1,D462="Germany",2,D462="Spain",3)</f>
        <v>3</v>
      </c>
    </row>
    <row r="463" spans="1:20" x14ac:dyDescent="0.3">
      <c r="A463">
        <v>463</v>
      </c>
      <c r="B463" t="s">
        <v>13</v>
      </c>
      <c r="C463" s="5">
        <v>538</v>
      </c>
      <c r="D463" t="s">
        <v>23</v>
      </c>
      <c r="E463" t="s">
        <v>25</v>
      </c>
      <c r="F463">
        <v>73</v>
      </c>
      <c r="G463" s="5">
        <v>5</v>
      </c>
      <c r="H463" s="4">
        <v>4387.1899999999996</v>
      </c>
      <c r="I463" s="5">
        <v>2</v>
      </c>
      <c r="J463">
        <v>1</v>
      </c>
      <c r="K463">
        <v>0</v>
      </c>
      <c r="L463" s="4">
        <v>131348.78</v>
      </c>
      <c r="M463">
        <v>1</v>
      </c>
      <c r="N463" s="4">
        <f t="shared" si="14"/>
        <v>-1.7229035539470205</v>
      </c>
      <c r="O463" s="4">
        <f t="shared" si="15"/>
        <v>1.2005200960705857</v>
      </c>
      <c r="P463" t="str" cm="1">
        <f t="array" ref="P463">_xlfn.IFS(AND(F463&gt;15,F463&lt;=30), "Youngsters", AND(F463&gt;30,F463&lt;=50), "Adults", AND(F463&gt;50,F463&lt;=70),"Old person", AND(F463&gt;70, F463&lt;92), "Senior Citizens")</f>
        <v>Senior Citizens</v>
      </c>
      <c r="Q463" t="str" cm="1">
        <f t="array" ref="Q463">_xlfn.IFS(G463=0,"No Tenure Period",AND(G463&gt;0,G463&lt;=3),"Less Tenure Period",AND(G463&gt;3,G463&lt;=7),"More Tenure Period",AND(G463&gt;7,G463&lt;=10),"Large Tenure Period")</f>
        <v>More Tenure Period</v>
      </c>
      <c r="R463" t="str" cm="1">
        <f t="array" ref="R463">_xlfn.IFS(AND(C463&gt;300,C463&lt;=525),"1 Star",AND(C463&gt;525,C463&lt;=600),"2 Star",AND(C463&gt;600,C463&lt;=700),"3 Star",AND(C463&gt;700,C463&lt;=750),"4 Star",AND(C463&gt;750,C463&lt;=900),"5 Star")</f>
        <v>2 Star</v>
      </c>
      <c r="S463" cm="1">
        <f t="array" ref="S463">_xlfn.IFS(E463="Male",1,E463="Female",2)</f>
        <v>1</v>
      </c>
      <c r="T463" cm="1">
        <f t="array" ref="T463">_xlfn.IFS(D463="France",1,D463="Germany",2,D463="Spain",3)</f>
        <v>3</v>
      </c>
    </row>
    <row r="464" spans="1:20" x14ac:dyDescent="0.3">
      <c r="A464">
        <v>464</v>
      </c>
      <c r="B464" t="s">
        <v>14</v>
      </c>
      <c r="C464" s="5">
        <v>559</v>
      </c>
      <c r="D464" t="s">
        <v>24</v>
      </c>
      <c r="E464" t="s">
        <v>26</v>
      </c>
      <c r="F464">
        <v>47</v>
      </c>
      <c r="G464" s="5">
        <v>4</v>
      </c>
      <c r="H464" s="4">
        <v>88260.36</v>
      </c>
      <c r="I464" s="5">
        <v>3</v>
      </c>
      <c r="J464">
        <v>0</v>
      </c>
      <c r="K464">
        <v>1</v>
      </c>
      <c r="L464" s="4">
        <v>16813.419999999998</v>
      </c>
      <c r="M464">
        <v>1</v>
      </c>
      <c r="N464" s="4">
        <f t="shared" si="14"/>
        <v>-0.55755331559101551</v>
      </c>
      <c r="O464" s="4">
        <f t="shared" si="15"/>
        <v>-1.5983050503285716</v>
      </c>
      <c r="P464" t="str" cm="1">
        <f t="array" ref="P464">_xlfn.IFS(AND(F464&gt;15,F464&lt;=30), "Youngsters", AND(F464&gt;30,F464&lt;=50), "Adults", AND(F464&gt;50,F464&lt;=70),"Old person", AND(F464&gt;70, F464&lt;92), "Senior Citizens")</f>
        <v>Adults</v>
      </c>
      <c r="Q464" t="str" cm="1">
        <f t="array" ref="Q464">_xlfn.IFS(G464=0,"No Tenure Period",AND(G464&gt;0,G464&lt;=3),"Less Tenure Period",AND(G464&gt;3,G464&lt;=7),"More Tenure Period",AND(G464&gt;7,G464&lt;=10),"Large Tenure Period")</f>
        <v>More Tenure Period</v>
      </c>
      <c r="R464" t="str" cm="1">
        <f t="array" ref="R464">_xlfn.IFS(AND(C464&gt;300,C464&lt;=525),"1 Star",AND(C464&gt;525,C464&lt;=600),"2 Star",AND(C464&gt;600,C464&lt;=700),"3 Star",AND(C464&gt;700,C464&lt;=750),"4 Star",AND(C464&gt;750,C464&lt;=900),"5 Star")</f>
        <v>2 Star</v>
      </c>
      <c r="S464" cm="1">
        <f t="array" ref="S464">_xlfn.IFS(E464="Male",1,E464="Female",2)</f>
        <v>2</v>
      </c>
      <c r="T464" cm="1">
        <f t="array" ref="T464">_xlfn.IFS(D464="France",1,D464="Germany",2,D464="Spain",3)</f>
        <v>1</v>
      </c>
    </row>
    <row r="465" spans="1:20" x14ac:dyDescent="0.3">
      <c r="A465">
        <v>465</v>
      </c>
      <c r="B465" t="s">
        <v>13</v>
      </c>
      <c r="C465" s="5">
        <v>529</v>
      </c>
      <c r="D465" t="s">
        <v>23</v>
      </c>
      <c r="E465" t="s">
        <v>25</v>
      </c>
      <c r="F465">
        <v>71</v>
      </c>
      <c r="G465" s="5">
        <v>2</v>
      </c>
      <c r="H465" s="4">
        <v>45202.75</v>
      </c>
      <c r="I465" s="5">
        <v>4</v>
      </c>
      <c r="J465">
        <v>1</v>
      </c>
      <c r="K465">
        <v>0</v>
      </c>
      <c r="L465" s="4">
        <v>118614.97</v>
      </c>
      <c r="M465">
        <v>0</v>
      </c>
      <c r="N465" s="4">
        <f t="shared" si="14"/>
        <v>-1.1558041755089119</v>
      </c>
      <c r="O465" s="4">
        <f t="shared" si="15"/>
        <v>0.88935236902568848</v>
      </c>
      <c r="P465" t="str" cm="1">
        <f t="array" ref="P465">_xlfn.IFS(AND(F465&gt;15,F465&lt;=30), "Youngsters", AND(F465&gt;30,F465&lt;=50), "Adults", AND(F465&gt;50,F465&lt;=70),"Old person", AND(F465&gt;70, F465&lt;92), "Senior Citizens")</f>
        <v>Senior Citizens</v>
      </c>
      <c r="Q465" t="str" cm="1">
        <f t="array" ref="Q465">_xlfn.IFS(G465=0,"No Tenure Period",AND(G465&gt;0,G465&lt;=3),"Less Tenure Period",AND(G465&gt;3,G465&lt;=7),"More Tenure Period",AND(G465&gt;7,G465&lt;=10),"Large Tenure Period")</f>
        <v>Less Tenure Period</v>
      </c>
      <c r="R465" t="str" cm="1">
        <f t="array" ref="R465">_xlfn.IFS(AND(C465&gt;300,C465&lt;=525),"1 Star",AND(C465&gt;525,C465&lt;=600),"2 Star",AND(C465&gt;600,C465&lt;=700),"3 Star",AND(C465&gt;700,C465&lt;=750),"4 Star",AND(C465&gt;750,C465&lt;=900),"5 Star")</f>
        <v>2 Star</v>
      </c>
      <c r="S465" cm="1">
        <f t="array" ref="S465">_xlfn.IFS(E465="Male",1,E465="Female",2)</f>
        <v>1</v>
      </c>
      <c r="T465" cm="1">
        <f t="array" ref="T465">_xlfn.IFS(D465="France",1,D465="Germany",2,D465="Spain",3)</f>
        <v>3</v>
      </c>
    </row>
    <row r="466" spans="1:20" x14ac:dyDescent="0.3">
      <c r="A466">
        <v>466</v>
      </c>
      <c r="B466" t="s">
        <v>14</v>
      </c>
      <c r="C466" s="5">
        <v>646</v>
      </c>
      <c r="D466" t="s">
        <v>24</v>
      </c>
      <c r="E466" t="s">
        <v>26</v>
      </c>
      <c r="F466">
        <v>40</v>
      </c>
      <c r="G466" s="5">
        <v>7</v>
      </c>
      <c r="H466" s="4">
        <v>66516.78</v>
      </c>
      <c r="I466" s="5">
        <v>4</v>
      </c>
      <c r="J466">
        <v>1</v>
      </c>
      <c r="K466">
        <v>0</v>
      </c>
      <c r="L466" s="4">
        <v>14893.47</v>
      </c>
      <c r="M466">
        <v>1</v>
      </c>
      <c r="N466" s="4">
        <f t="shared" si="14"/>
        <v>-0.85966287143244691</v>
      </c>
      <c r="O466" s="4">
        <f t="shared" si="15"/>
        <v>-1.6452216037827108</v>
      </c>
      <c r="P466" t="str" cm="1">
        <f t="array" ref="P466">_xlfn.IFS(AND(F466&gt;15,F466&lt;=30), "Youngsters", AND(F466&gt;30,F466&lt;=50), "Adults", AND(F466&gt;50,F466&lt;=70),"Old person", AND(F466&gt;70, F466&lt;92), "Senior Citizens")</f>
        <v>Adults</v>
      </c>
      <c r="Q466" t="str" cm="1">
        <f t="array" ref="Q466">_xlfn.IFS(G466=0,"No Tenure Period",AND(G466&gt;0,G466&lt;=3),"Less Tenure Period",AND(G466&gt;3,G466&lt;=7),"More Tenure Period",AND(G466&gt;7,G466&lt;=10),"Large Tenure Period")</f>
        <v>More Tenure Period</v>
      </c>
      <c r="R466" t="str" cm="1">
        <f t="array" ref="R466">_xlfn.IFS(AND(C466&gt;300,C466&lt;=525),"1 Star",AND(C466&gt;525,C466&lt;=600),"2 Star",AND(C466&gt;600,C466&lt;=700),"3 Star",AND(C466&gt;700,C466&lt;=750),"4 Star",AND(C466&gt;750,C466&lt;=900),"5 Star")</f>
        <v>3 Star</v>
      </c>
      <c r="S466" cm="1">
        <f t="array" ref="S466">_xlfn.IFS(E466="Male",1,E466="Female",2)</f>
        <v>2</v>
      </c>
      <c r="T466" cm="1">
        <f t="array" ref="T466">_xlfn.IFS(D466="France",1,D466="Germany",2,D466="Spain",3)</f>
        <v>1</v>
      </c>
    </row>
    <row r="467" spans="1:20" x14ac:dyDescent="0.3">
      <c r="A467">
        <v>467</v>
      </c>
      <c r="B467" t="s">
        <v>19</v>
      </c>
      <c r="C467" s="5">
        <v>409</v>
      </c>
      <c r="D467" t="s">
        <v>22</v>
      </c>
      <c r="E467" t="s">
        <v>26</v>
      </c>
      <c r="F467">
        <v>41</v>
      </c>
      <c r="G467" s="5">
        <v>3</v>
      </c>
      <c r="H467" s="4">
        <v>156420.72</v>
      </c>
      <c r="I467" s="5">
        <v>2</v>
      </c>
      <c r="J467">
        <v>1</v>
      </c>
      <c r="K467">
        <v>1</v>
      </c>
      <c r="L467" s="4">
        <v>101660.52</v>
      </c>
      <c r="M467">
        <v>0</v>
      </c>
      <c r="N467" s="4">
        <f t="shared" si="14"/>
        <v>0.38948006555376669</v>
      </c>
      <c r="O467" s="4">
        <f t="shared" si="15"/>
        <v>0.47504764249086828</v>
      </c>
      <c r="P467" t="str" cm="1">
        <f t="array" ref="P467">_xlfn.IFS(AND(F467&gt;15,F467&lt;=30), "Youngsters", AND(F467&gt;30,F467&lt;=50), "Adults", AND(F467&gt;50,F467&lt;=70),"Old person", AND(F467&gt;70, F467&lt;92), "Senior Citizens")</f>
        <v>Adults</v>
      </c>
      <c r="Q467" t="str" cm="1">
        <f t="array" ref="Q467">_xlfn.IFS(G467=0,"No Tenure Period",AND(G467&gt;0,G467&lt;=3),"Less Tenure Period",AND(G467&gt;3,G467&lt;=7),"More Tenure Period",AND(G467&gt;7,G467&lt;=10),"Large Tenure Period")</f>
        <v>Less Tenure Period</v>
      </c>
      <c r="R467" t="str" cm="1">
        <f t="array" ref="R467">_xlfn.IFS(AND(C467&gt;300,C467&lt;=525),"1 Star",AND(C467&gt;525,C467&lt;=600),"2 Star",AND(C467&gt;600,C467&lt;=700),"3 Star",AND(C467&gt;700,C467&lt;=750),"4 Star",AND(C467&gt;750,C467&lt;=900),"5 Star")</f>
        <v>1 Star</v>
      </c>
      <c r="S467" cm="1">
        <f t="array" ref="S467">_xlfn.IFS(E467="Male",1,E467="Female",2)</f>
        <v>2</v>
      </c>
      <c r="T467" cm="1">
        <f t="array" ref="T467">_xlfn.IFS(D467="France",1,D467="Germany",2,D467="Spain",3)</f>
        <v>2</v>
      </c>
    </row>
    <row r="468" spans="1:20" x14ac:dyDescent="0.3">
      <c r="A468">
        <v>468</v>
      </c>
      <c r="B468" t="s">
        <v>21</v>
      </c>
      <c r="C468" s="5">
        <v>840</v>
      </c>
      <c r="D468" t="s">
        <v>24</v>
      </c>
      <c r="E468" t="s">
        <v>25</v>
      </c>
      <c r="F468">
        <v>54</v>
      </c>
      <c r="G468" s="5">
        <v>5</v>
      </c>
      <c r="H468" s="4">
        <v>110774.55</v>
      </c>
      <c r="I468" s="5">
        <v>2</v>
      </c>
      <c r="J468">
        <v>0</v>
      </c>
      <c r="K468">
        <v>0</v>
      </c>
      <c r="L468" s="4">
        <v>23399.15</v>
      </c>
      <c r="M468">
        <v>1</v>
      </c>
      <c r="N468" s="4">
        <f t="shared" si="14"/>
        <v>-0.24473675359756294</v>
      </c>
      <c r="O468" s="4">
        <f t="shared" si="15"/>
        <v>-1.4373739044239766</v>
      </c>
      <c r="P468" t="str" cm="1">
        <f t="array" ref="P468">_xlfn.IFS(AND(F468&gt;15,F468&lt;=30), "Youngsters", AND(F468&gt;30,F468&lt;=50), "Adults", AND(F468&gt;50,F468&lt;=70),"Old person", AND(F468&gt;70, F468&lt;92), "Senior Citizens")</f>
        <v>Old person</v>
      </c>
      <c r="Q468" t="str" cm="1">
        <f t="array" ref="Q468">_xlfn.IFS(G468=0,"No Tenure Period",AND(G468&gt;0,G468&lt;=3),"Less Tenure Period",AND(G468&gt;3,G468&lt;=7),"More Tenure Period",AND(G468&gt;7,G468&lt;=10),"Large Tenure Period")</f>
        <v>More Tenure Period</v>
      </c>
      <c r="R468" t="str" cm="1">
        <f t="array" ref="R468">_xlfn.IFS(AND(C468&gt;300,C468&lt;=525),"1 Star",AND(C468&gt;525,C468&lt;=600),"2 Star",AND(C468&gt;600,C468&lt;=700),"3 Star",AND(C468&gt;700,C468&lt;=750),"4 Star",AND(C468&gt;750,C468&lt;=900),"5 Star")</f>
        <v>5 Star</v>
      </c>
      <c r="S468" cm="1">
        <f t="array" ref="S468">_xlfn.IFS(E468="Male",1,E468="Female",2)</f>
        <v>1</v>
      </c>
      <c r="T468" cm="1">
        <f t="array" ref="T468">_xlfn.IFS(D468="France",1,D468="Germany",2,D468="Spain",3)</f>
        <v>1</v>
      </c>
    </row>
    <row r="469" spans="1:20" x14ac:dyDescent="0.3">
      <c r="A469">
        <v>469</v>
      </c>
      <c r="B469" t="s">
        <v>16</v>
      </c>
      <c r="C469" s="5">
        <v>828</v>
      </c>
      <c r="D469" t="s">
        <v>22</v>
      </c>
      <c r="E469" t="s">
        <v>25</v>
      </c>
      <c r="F469">
        <v>77</v>
      </c>
      <c r="G469" s="5">
        <v>10</v>
      </c>
      <c r="H469" s="4">
        <v>184078.17</v>
      </c>
      <c r="I469" s="5">
        <v>3</v>
      </c>
      <c r="J469">
        <v>1</v>
      </c>
      <c r="K469">
        <v>1</v>
      </c>
      <c r="L469" s="4">
        <v>24061.040000000001</v>
      </c>
      <c r="M469">
        <v>1</v>
      </c>
      <c r="N469" s="4">
        <f t="shared" si="14"/>
        <v>0.77375808854752393</v>
      </c>
      <c r="O469" s="4">
        <f t="shared" si="15"/>
        <v>-1.4211997344894678</v>
      </c>
      <c r="P469" t="str" cm="1">
        <f t="array" ref="P469">_xlfn.IFS(AND(F469&gt;15,F469&lt;=30), "Youngsters", AND(F469&gt;30,F469&lt;=50), "Adults", AND(F469&gt;50,F469&lt;=70),"Old person", AND(F469&gt;70, F469&lt;92), "Senior Citizens")</f>
        <v>Senior Citizens</v>
      </c>
      <c r="Q469" t="str" cm="1">
        <f t="array" ref="Q469">_xlfn.IFS(G469=0,"No Tenure Period",AND(G469&gt;0,G469&lt;=3),"Less Tenure Period",AND(G469&gt;3,G469&lt;=7),"More Tenure Period",AND(G469&gt;7,G469&lt;=10),"Large Tenure Period")</f>
        <v>Large Tenure Period</v>
      </c>
      <c r="R469" t="str" cm="1">
        <f t="array" ref="R469">_xlfn.IFS(AND(C469&gt;300,C469&lt;=525),"1 Star",AND(C469&gt;525,C469&lt;=600),"2 Star",AND(C469&gt;600,C469&lt;=700),"3 Star",AND(C469&gt;700,C469&lt;=750),"4 Star",AND(C469&gt;750,C469&lt;=900),"5 Star")</f>
        <v>5 Star</v>
      </c>
      <c r="S469" cm="1">
        <f t="array" ref="S469">_xlfn.IFS(E469="Male",1,E469="Female",2)</f>
        <v>1</v>
      </c>
      <c r="T469" cm="1">
        <f t="array" ref="T469">_xlfn.IFS(D469="France",1,D469="Germany",2,D469="Spain",3)</f>
        <v>2</v>
      </c>
    </row>
    <row r="470" spans="1:20" x14ac:dyDescent="0.3">
      <c r="A470">
        <v>470</v>
      </c>
      <c r="B470" t="s">
        <v>17</v>
      </c>
      <c r="C470" s="5">
        <v>379</v>
      </c>
      <c r="D470" t="s">
        <v>23</v>
      </c>
      <c r="E470" t="s">
        <v>26</v>
      </c>
      <c r="F470">
        <v>52</v>
      </c>
      <c r="G470" s="5">
        <v>6</v>
      </c>
      <c r="H470" s="4">
        <v>159259.26</v>
      </c>
      <c r="I470" s="5">
        <v>2</v>
      </c>
      <c r="J470">
        <v>1</v>
      </c>
      <c r="K470">
        <v>1</v>
      </c>
      <c r="L470" s="4">
        <v>50254.16</v>
      </c>
      <c r="M470">
        <v>0</v>
      </c>
      <c r="N470" s="4">
        <f t="shared" si="14"/>
        <v>0.42891929582946825</v>
      </c>
      <c r="O470" s="4">
        <f t="shared" si="15"/>
        <v>-0.78113571479589272</v>
      </c>
      <c r="P470" t="str" cm="1">
        <f t="array" ref="P470">_xlfn.IFS(AND(F470&gt;15,F470&lt;=30), "Youngsters", AND(F470&gt;30,F470&lt;=50), "Adults", AND(F470&gt;50,F470&lt;=70),"Old person", AND(F470&gt;70, F470&lt;92), "Senior Citizens")</f>
        <v>Old person</v>
      </c>
      <c r="Q470" t="str" cm="1">
        <f t="array" ref="Q470">_xlfn.IFS(G470=0,"No Tenure Period",AND(G470&gt;0,G470&lt;=3),"Less Tenure Period",AND(G470&gt;3,G470&lt;=7),"More Tenure Period",AND(G470&gt;7,G470&lt;=10),"Large Tenure Period")</f>
        <v>More Tenure Period</v>
      </c>
      <c r="R470" t="str" cm="1">
        <f t="array" ref="R470">_xlfn.IFS(AND(C470&gt;300,C470&lt;=525),"1 Star",AND(C470&gt;525,C470&lt;=600),"2 Star",AND(C470&gt;600,C470&lt;=700),"3 Star",AND(C470&gt;700,C470&lt;=750),"4 Star",AND(C470&gt;750,C470&lt;=900),"5 Star")</f>
        <v>1 Star</v>
      </c>
      <c r="S470" cm="1">
        <f t="array" ref="S470">_xlfn.IFS(E470="Male",1,E470="Female",2)</f>
        <v>2</v>
      </c>
      <c r="T470" cm="1">
        <f t="array" ref="T470">_xlfn.IFS(D470="France",1,D470="Germany",2,D470="Spain",3)</f>
        <v>3</v>
      </c>
    </row>
    <row r="471" spans="1:20" x14ac:dyDescent="0.3">
      <c r="A471">
        <v>471</v>
      </c>
      <c r="B471" t="s">
        <v>16</v>
      </c>
      <c r="C471" s="5">
        <v>575</v>
      </c>
      <c r="D471" t="s">
        <v>24</v>
      </c>
      <c r="E471" t="s">
        <v>26</v>
      </c>
      <c r="F471">
        <v>88</v>
      </c>
      <c r="G471" s="5">
        <v>4</v>
      </c>
      <c r="H471" s="4">
        <v>75139.3</v>
      </c>
      <c r="I471" s="5">
        <v>1</v>
      </c>
      <c r="J471">
        <v>0</v>
      </c>
      <c r="K471">
        <v>1</v>
      </c>
      <c r="L471" s="4">
        <v>62313.56</v>
      </c>
      <c r="M471">
        <v>0</v>
      </c>
      <c r="N471" s="4">
        <f t="shared" si="14"/>
        <v>-0.739859891084507</v>
      </c>
      <c r="O471" s="4">
        <f t="shared" si="15"/>
        <v>-0.48644810067841859</v>
      </c>
      <c r="P471" t="str" cm="1">
        <f t="array" ref="P471">_xlfn.IFS(AND(F471&gt;15,F471&lt;=30), "Youngsters", AND(F471&gt;30,F471&lt;=50), "Adults", AND(F471&gt;50,F471&lt;=70),"Old person", AND(F471&gt;70, F471&lt;92), "Senior Citizens")</f>
        <v>Senior Citizens</v>
      </c>
      <c r="Q471" t="str" cm="1">
        <f t="array" ref="Q471">_xlfn.IFS(G471=0,"No Tenure Period",AND(G471&gt;0,G471&lt;=3),"Less Tenure Period",AND(G471&gt;3,G471&lt;=7),"More Tenure Period",AND(G471&gt;7,G471&lt;=10),"Large Tenure Period")</f>
        <v>More Tenure Period</v>
      </c>
      <c r="R471" t="str" cm="1">
        <f t="array" ref="R471">_xlfn.IFS(AND(C471&gt;300,C471&lt;=525),"1 Star",AND(C471&gt;525,C471&lt;=600),"2 Star",AND(C471&gt;600,C471&lt;=700),"3 Star",AND(C471&gt;700,C471&lt;=750),"4 Star",AND(C471&gt;750,C471&lt;=900),"5 Star")</f>
        <v>2 Star</v>
      </c>
      <c r="S471" cm="1">
        <f t="array" ref="S471">_xlfn.IFS(E471="Male",1,E471="Female",2)</f>
        <v>2</v>
      </c>
      <c r="T471" cm="1">
        <f t="array" ref="T471">_xlfn.IFS(D471="France",1,D471="Germany",2,D471="Spain",3)</f>
        <v>1</v>
      </c>
    </row>
    <row r="472" spans="1:20" x14ac:dyDescent="0.3">
      <c r="A472">
        <v>472</v>
      </c>
      <c r="B472" t="s">
        <v>18</v>
      </c>
      <c r="C472" s="5">
        <v>444</v>
      </c>
      <c r="D472" t="s">
        <v>24</v>
      </c>
      <c r="E472" t="s">
        <v>26</v>
      </c>
      <c r="F472">
        <v>24</v>
      </c>
      <c r="G472" s="5">
        <v>9</v>
      </c>
      <c r="H472" s="4">
        <v>80969.13</v>
      </c>
      <c r="I472" s="5">
        <v>1</v>
      </c>
      <c r="J472">
        <v>1</v>
      </c>
      <c r="K472">
        <v>0</v>
      </c>
      <c r="L472" s="4">
        <v>80855.009999999995</v>
      </c>
      <c r="M472">
        <v>1</v>
      </c>
      <c r="N472" s="4">
        <f t="shared" si="14"/>
        <v>-0.65885909213920668</v>
      </c>
      <c r="O472" s="4">
        <f t="shared" si="15"/>
        <v>-3.3362900520994283E-2</v>
      </c>
      <c r="P472" t="str" cm="1">
        <f t="array" ref="P472">_xlfn.IFS(AND(F472&gt;15,F472&lt;=30), "Youngsters", AND(F472&gt;30,F472&lt;=50), "Adults", AND(F472&gt;50,F472&lt;=70),"Old person", AND(F472&gt;70, F472&lt;92), "Senior Citizens")</f>
        <v>Youngsters</v>
      </c>
      <c r="Q472" t="str" cm="1">
        <f t="array" ref="Q472">_xlfn.IFS(G472=0,"No Tenure Period",AND(G472&gt;0,G472&lt;=3),"Less Tenure Period",AND(G472&gt;3,G472&lt;=7),"More Tenure Period",AND(G472&gt;7,G472&lt;=10),"Large Tenure Period")</f>
        <v>Large Tenure Period</v>
      </c>
      <c r="R472" t="str" cm="1">
        <f t="array" ref="R472">_xlfn.IFS(AND(C472&gt;300,C472&lt;=525),"1 Star",AND(C472&gt;525,C472&lt;=600),"2 Star",AND(C472&gt;600,C472&lt;=700),"3 Star",AND(C472&gt;700,C472&lt;=750),"4 Star",AND(C472&gt;750,C472&lt;=900),"5 Star")</f>
        <v>1 Star</v>
      </c>
      <c r="S472" cm="1">
        <f t="array" ref="S472">_xlfn.IFS(E472="Male",1,E472="Female",2)</f>
        <v>2</v>
      </c>
      <c r="T472" cm="1">
        <f t="array" ref="T472">_xlfn.IFS(D472="France",1,D472="Germany",2,D472="Spain",3)</f>
        <v>1</v>
      </c>
    </row>
    <row r="473" spans="1:20" x14ac:dyDescent="0.3">
      <c r="A473">
        <v>473</v>
      </c>
      <c r="B473" t="s">
        <v>16</v>
      </c>
      <c r="C473" s="5">
        <v>588</v>
      </c>
      <c r="D473" t="s">
        <v>24</v>
      </c>
      <c r="E473" t="s">
        <v>25</v>
      </c>
      <c r="F473">
        <v>35</v>
      </c>
      <c r="G473" s="5">
        <v>8</v>
      </c>
      <c r="H473" s="4">
        <v>199536.6</v>
      </c>
      <c r="I473" s="5">
        <v>3</v>
      </c>
      <c r="J473">
        <v>1</v>
      </c>
      <c r="K473">
        <v>1</v>
      </c>
      <c r="L473" s="4">
        <v>19461.59</v>
      </c>
      <c r="M473">
        <v>1</v>
      </c>
      <c r="N473" s="4">
        <f t="shared" si="14"/>
        <v>0.98854054025537774</v>
      </c>
      <c r="O473" s="4">
        <f t="shared" si="15"/>
        <v>-1.5335934644223514</v>
      </c>
      <c r="P473" t="str" cm="1">
        <f t="array" ref="P473">_xlfn.IFS(AND(F473&gt;15,F473&lt;=30), "Youngsters", AND(F473&gt;30,F473&lt;=50), "Adults", AND(F473&gt;50,F473&lt;=70),"Old person", AND(F473&gt;70, F473&lt;92), "Senior Citizens")</f>
        <v>Adults</v>
      </c>
      <c r="Q473" t="str" cm="1">
        <f t="array" ref="Q473">_xlfn.IFS(G473=0,"No Tenure Period",AND(G473&gt;0,G473&lt;=3),"Less Tenure Period",AND(G473&gt;3,G473&lt;=7),"More Tenure Period",AND(G473&gt;7,G473&lt;=10),"Large Tenure Period")</f>
        <v>Large Tenure Period</v>
      </c>
      <c r="R473" t="str" cm="1">
        <f t="array" ref="R473">_xlfn.IFS(AND(C473&gt;300,C473&lt;=525),"1 Star",AND(C473&gt;525,C473&lt;=600),"2 Star",AND(C473&gt;600,C473&lt;=700),"3 Star",AND(C473&gt;700,C473&lt;=750),"4 Star",AND(C473&gt;750,C473&lt;=900),"5 Star")</f>
        <v>2 Star</v>
      </c>
      <c r="S473" cm="1">
        <f t="array" ref="S473">_xlfn.IFS(E473="Male",1,E473="Female",2)</f>
        <v>1</v>
      </c>
      <c r="T473" cm="1">
        <f t="array" ref="T473">_xlfn.IFS(D473="France",1,D473="Germany",2,D473="Spain",3)</f>
        <v>1</v>
      </c>
    </row>
    <row r="474" spans="1:20" x14ac:dyDescent="0.3">
      <c r="A474">
        <v>474</v>
      </c>
      <c r="B474" t="s">
        <v>21</v>
      </c>
      <c r="C474" s="5">
        <v>515</v>
      </c>
      <c r="D474" t="s">
        <v>22</v>
      </c>
      <c r="E474" t="s">
        <v>25</v>
      </c>
      <c r="F474">
        <v>66</v>
      </c>
      <c r="G474" s="5">
        <v>0</v>
      </c>
      <c r="H474" s="4">
        <v>133040.76</v>
      </c>
      <c r="I474" s="5">
        <v>3</v>
      </c>
      <c r="J474">
        <v>0</v>
      </c>
      <c r="K474">
        <v>0</v>
      </c>
      <c r="L474" s="4">
        <v>64833.38</v>
      </c>
      <c r="M474">
        <v>0</v>
      </c>
      <c r="N474" s="4">
        <f t="shared" si="14"/>
        <v>6.4634325745031015E-2</v>
      </c>
      <c r="O474" s="4">
        <f t="shared" si="15"/>
        <v>-0.4248729191763958</v>
      </c>
      <c r="P474" t="str" cm="1">
        <f t="array" ref="P474">_xlfn.IFS(AND(F474&gt;15,F474&lt;=30), "Youngsters", AND(F474&gt;30,F474&lt;=50), "Adults", AND(F474&gt;50,F474&lt;=70),"Old person", AND(F474&gt;70, F474&lt;92), "Senior Citizens")</f>
        <v>Old person</v>
      </c>
      <c r="Q474" t="str" cm="1">
        <f t="array" ref="Q474">_xlfn.IFS(G474=0,"No Tenure Period",AND(G474&gt;0,G474&lt;=3),"Less Tenure Period",AND(G474&gt;3,G474&lt;=7),"More Tenure Period",AND(G474&gt;7,G474&lt;=10),"Large Tenure Period")</f>
        <v>No Tenure Period</v>
      </c>
      <c r="R474" t="str" cm="1">
        <f t="array" ref="R474">_xlfn.IFS(AND(C474&gt;300,C474&lt;=525),"1 Star",AND(C474&gt;525,C474&lt;=600),"2 Star",AND(C474&gt;600,C474&lt;=700),"3 Star",AND(C474&gt;700,C474&lt;=750),"4 Star",AND(C474&gt;750,C474&lt;=900),"5 Star")</f>
        <v>1 Star</v>
      </c>
      <c r="S474" cm="1">
        <f t="array" ref="S474">_xlfn.IFS(E474="Male",1,E474="Female",2)</f>
        <v>1</v>
      </c>
      <c r="T474" cm="1">
        <f t="array" ref="T474">_xlfn.IFS(D474="France",1,D474="Germany",2,D474="Spain",3)</f>
        <v>2</v>
      </c>
    </row>
    <row r="475" spans="1:20" x14ac:dyDescent="0.3">
      <c r="A475">
        <v>475</v>
      </c>
      <c r="B475" t="s">
        <v>14</v>
      </c>
      <c r="C475" s="5">
        <v>732</v>
      </c>
      <c r="D475" t="s">
        <v>23</v>
      </c>
      <c r="E475" t="s">
        <v>25</v>
      </c>
      <c r="F475">
        <v>55</v>
      </c>
      <c r="G475" s="5">
        <v>10</v>
      </c>
      <c r="H475" s="4">
        <v>31845.15</v>
      </c>
      <c r="I475" s="5">
        <v>2</v>
      </c>
      <c r="J475">
        <v>1</v>
      </c>
      <c r="K475">
        <v>1</v>
      </c>
      <c r="L475" s="4">
        <v>144035.23000000001</v>
      </c>
      <c r="M475">
        <v>1</v>
      </c>
      <c r="N475" s="4">
        <f t="shared" si="14"/>
        <v>-1.3413972840544002</v>
      </c>
      <c r="O475" s="4">
        <f t="shared" si="15"/>
        <v>1.5105305179921271</v>
      </c>
      <c r="P475" t="str" cm="1">
        <f t="array" ref="P475">_xlfn.IFS(AND(F475&gt;15,F475&lt;=30), "Youngsters", AND(F475&gt;30,F475&lt;=50), "Adults", AND(F475&gt;50,F475&lt;=70),"Old person", AND(F475&gt;70, F475&lt;92), "Senior Citizens")</f>
        <v>Old person</v>
      </c>
      <c r="Q475" t="str" cm="1">
        <f t="array" ref="Q475">_xlfn.IFS(G475=0,"No Tenure Period",AND(G475&gt;0,G475&lt;=3),"Less Tenure Period",AND(G475&gt;3,G475&lt;=7),"More Tenure Period",AND(G475&gt;7,G475&lt;=10),"Large Tenure Period")</f>
        <v>Large Tenure Period</v>
      </c>
      <c r="R475" t="str" cm="1">
        <f t="array" ref="R475">_xlfn.IFS(AND(C475&gt;300,C475&lt;=525),"1 Star",AND(C475&gt;525,C475&lt;=600),"2 Star",AND(C475&gt;600,C475&lt;=700),"3 Star",AND(C475&gt;700,C475&lt;=750),"4 Star",AND(C475&gt;750,C475&lt;=900),"5 Star")</f>
        <v>4 Star</v>
      </c>
      <c r="S475" cm="1">
        <f t="array" ref="S475">_xlfn.IFS(E475="Male",1,E475="Female",2)</f>
        <v>1</v>
      </c>
      <c r="T475" cm="1">
        <f t="array" ref="T475">_xlfn.IFS(D475="France",1,D475="Germany",2,D475="Spain",3)</f>
        <v>3</v>
      </c>
    </row>
    <row r="476" spans="1:20" x14ac:dyDescent="0.3">
      <c r="A476">
        <v>476</v>
      </c>
      <c r="B476" t="s">
        <v>17</v>
      </c>
      <c r="C476" s="5">
        <v>566</v>
      </c>
      <c r="D476" t="s">
        <v>24</v>
      </c>
      <c r="E476" t="s">
        <v>25</v>
      </c>
      <c r="F476">
        <v>18</v>
      </c>
      <c r="G476" s="5">
        <v>10</v>
      </c>
      <c r="H476" s="4">
        <v>146680.78</v>
      </c>
      <c r="I476" s="5">
        <v>2</v>
      </c>
      <c r="J476">
        <v>0</v>
      </c>
      <c r="K476">
        <v>0</v>
      </c>
      <c r="L476" s="4">
        <v>76895.64</v>
      </c>
      <c r="M476">
        <v>0</v>
      </c>
      <c r="N476" s="4">
        <f t="shared" si="14"/>
        <v>0.25415143304144849</v>
      </c>
      <c r="O476" s="4">
        <f t="shared" si="15"/>
        <v>-0.13011541712284039</v>
      </c>
      <c r="P476" t="str" cm="1">
        <f t="array" ref="P476">_xlfn.IFS(AND(F476&gt;15,F476&lt;=30), "Youngsters", AND(F476&gt;30,F476&lt;=50), "Adults", AND(F476&gt;50,F476&lt;=70),"Old person", AND(F476&gt;70, F476&lt;92), "Senior Citizens")</f>
        <v>Youngsters</v>
      </c>
      <c r="Q476" t="str" cm="1">
        <f t="array" ref="Q476">_xlfn.IFS(G476=0,"No Tenure Period",AND(G476&gt;0,G476&lt;=3),"Less Tenure Period",AND(G476&gt;3,G476&lt;=7),"More Tenure Period",AND(G476&gt;7,G476&lt;=10),"Large Tenure Period")</f>
        <v>Large Tenure Period</v>
      </c>
      <c r="R476" t="str" cm="1">
        <f t="array" ref="R476">_xlfn.IFS(AND(C476&gt;300,C476&lt;=525),"1 Star",AND(C476&gt;525,C476&lt;=600),"2 Star",AND(C476&gt;600,C476&lt;=700),"3 Star",AND(C476&gt;700,C476&lt;=750),"4 Star",AND(C476&gt;750,C476&lt;=900),"5 Star")</f>
        <v>2 Star</v>
      </c>
      <c r="S476" cm="1">
        <f t="array" ref="S476">_xlfn.IFS(E476="Male",1,E476="Female",2)</f>
        <v>1</v>
      </c>
      <c r="T476" cm="1">
        <f t="array" ref="T476">_xlfn.IFS(D476="France",1,D476="Germany",2,D476="Spain",3)</f>
        <v>1</v>
      </c>
    </row>
    <row r="477" spans="1:20" x14ac:dyDescent="0.3">
      <c r="A477">
        <v>477</v>
      </c>
      <c r="B477" t="s">
        <v>18</v>
      </c>
      <c r="C477" s="5">
        <v>622</v>
      </c>
      <c r="D477" t="s">
        <v>22</v>
      </c>
      <c r="E477" t="s">
        <v>25</v>
      </c>
      <c r="F477">
        <v>22</v>
      </c>
      <c r="G477" s="5">
        <v>0</v>
      </c>
      <c r="H477" s="4">
        <v>34494.730000000003</v>
      </c>
      <c r="I477" s="5">
        <v>1</v>
      </c>
      <c r="J477">
        <v>1</v>
      </c>
      <c r="K477">
        <v>1</v>
      </c>
      <c r="L477" s="4">
        <v>146557.31</v>
      </c>
      <c r="M477">
        <v>0</v>
      </c>
      <c r="N477" s="4">
        <f t="shared" si="14"/>
        <v>-1.3045835009990641</v>
      </c>
      <c r="O477" s="4">
        <f t="shared" si="15"/>
        <v>1.5721609256254585</v>
      </c>
      <c r="P477" t="str" cm="1">
        <f t="array" ref="P477">_xlfn.IFS(AND(F477&gt;15,F477&lt;=30), "Youngsters", AND(F477&gt;30,F477&lt;=50), "Adults", AND(F477&gt;50,F477&lt;=70),"Old person", AND(F477&gt;70, F477&lt;92), "Senior Citizens")</f>
        <v>Youngsters</v>
      </c>
      <c r="Q477" t="str" cm="1">
        <f t="array" ref="Q477">_xlfn.IFS(G477=0,"No Tenure Period",AND(G477&gt;0,G477&lt;=3),"Less Tenure Period",AND(G477&gt;3,G477&lt;=7),"More Tenure Period",AND(G477&gt;7,G477&lt;=10),"Large Tenure Period")</f>
        <v>No Tenure Period</v>
      </c>
      <c r="R477" t="str" cm="1">
        <f t="array" ref="R477">_xlfn.IFS(AND(C477&gt;300,C477&lt;=525),"1 Star",AND(C477&gt;525,C477&lt;=600),"2 Star",AND(C477&gt;600,C477&lt;=700),"3 Star",AND(C477&gt;700,C477&lt;=750),"4 Star",AND(C477&gt;750,C477&lt;=900),"5 Star")</f>
        <v>3 Star</v>
      </c>
      <c r="S477" cm="1">
        <f t="array" ref="S477">_xlfn.IFS(E477="Male",1,E477="Female",2)</f>
        <v>1</v>
      </c>
      <c r="T477" cm="1">
        <f t="array" ref="T477">_xlfn.IFS(D477="France",1,D477="Germany",2,D477="Spain",3)</f>
        <v>2</v>
      </c>
    </row>
    <row r="478" spans="1:20" x14ac:dyDescent="0.3">
      <c r="A478">
        <v>478</v>
      </c>
      <c r="B478" t="s">
        <v>16</v>
      </c>
      <c r="C478" s="5">
        <v>705</v>
      </c>
      <c r="D478" t="s">
        <v>24</v>
      </c>
      <c r="E478" t="s">
        <v>25</v>
      </c>
      <c r="F478">
        <v>78</v>
      </c>
      <c r="G478" s="5">
        <v>2</v>
      </c>
      <c r="H478" s="4">
        <v>217177.04</v>
      </c>
      <c r="I478" s="5">
        <v>3</v>
      </c>
      <c r="J478">
        <v>0</v>
      </c>
      <c r="K478">
        <v>0</v>
      </c>
      <c r="L478" s="4">
        <v>142428.82999999999</v>
      </c>
      <c r="M478">
        <v>1</v>
      </c>
      <c r="N478" s="4">
        <f t="shared" si="14"/>
        <v>1.2336402659329073</v>
      </c>
      <c r="O478" s="4">
        <f t="shared" si="15"/>
        <v>1.471275979348553</v>
      </c>
      <c r="P478" t="str" cm="1">
        <f t="array" ref="P478">_xlfn.IFS(AND(F478&gt;15,F478&lt;=30), "Youngsters", AND(F478&gt;30,F478&lt;=50), "Adults", AND(F478&gt;50,F478&lt;=70),"Old person", AND(F478&gt;70, F478&lt;92), "Senior Citizens")</f>
        <v>Senior Citizens</v>
      </c>
      <c r="Q478" t="str" cm="1">
        <f t="array" ref="Q478">_xlfn.IFS(G478=0,"No Tenure Period",AND(G478&gt;0,G478&lt;=3),"Less Tenure Period",AND(G478&gt;3,G478&lt;=7),"More Tenure Period",AND(G478&gt;7,G478&lt;=10),"Large Tenure Period")</f>
        <v>Less Tenure Period</v>
      </c>
      <c r="R478" t="str" cm="1">
        <f t="array" ref="R478">_xlfn.IFS(AND(C478&gt;300,C478&lt;=525),"1 Star",AND(C478&gt;525,C478&lt;=600),"2 Star",AND(C478&gt;600,C478&lt;=700),"3 Star",AND(C478&gt;700,C478&lt;=750),"4 Star",AND(C478&gt;750,C478&lt;=900),"5 Star")</f>
        <v>4 Star</v>
      </c>
      <c r="S478" cm="1">
        <f t="array" ref="S478">_xlfn.IFS(E478="Male",1,E478="Female",2)</f>
        <v>1</v>
      </c>
      <c r="T478" cm="1">
        <f t="array" ref="T478">_xlfn.IFS(D478="France",1,D478="Germany",2,D478="Spain",3)</f>
        <v>1</v>
      </c>
    </row>
    <row r="479" spans="1:20" x14ac:dyDescent="0.3">
      <c r="A479">
        <v>479</v>
      </c>
      <c r="B479" t="s">
        <v>15</v>
      </c>
      <c r="C479" s="5">
        <v>517</v>
      </c>
      <c r="D479" t="s">
        <v>24</v>
      </c>
      <c r="E479" t="s">
        <v>26</v>
      </c>
      <c r="F479">
        <v>28</v>
      </c>
      <c r="G479" s="5">
        <v>6</v>
      </c>
      <c r="H479" s="4">
        <v>32317.55</v>
      </c>
      <c r="I479" s="5">
        <v>3</v>
      </c>
      <c r="J479">
        <v>1</v>
      </c>
      <c r="K479">
        <v>0</v>
      </c>
      <c r="L479" s="4">
        <v>48172.94</v>
      </c>
      <c r="M479">
        <v>1</v>
      </c>
      <c r="N479" s="4">
        <f t="shared" si="14"/>
        <v>-1.3348336660034861</v>
      </c>
      <c r="O479" s="4">
        <f t="shared" si="15"/>
        <v>-0.83199311700940004</v>
      </c>
      <c r="P479" t="str" cm="1">
        <f t="array" ref="P479">_xlfn.IFS(AND(F479&gt;15,F479&lt;=30), "Youngsters", AND(F479&gt;30,F479&lt;=50), "Adults", AND(F479&gt;50,F479&lt;=70),"Old person", AND(F479&gt;70, F479&lt;92), "Senior Citizens")</f>
        <v>Youngsters</v>
      </c>
      <c r="Q479" t="str" cm="1">
        <f t="array" ref="Q479">_xlfn.IFS(G479=0,"No Tenure Period",AND(G479&gt;0,G479&lt;=3),"Less Tenure Period",AND(G479&gt;3,G479&lt;=7),"More Tenure Period",AND(G479&gt;7,G479&lt;=10),"Large Tenure Period")</f>
        <v>More Tenure Period</v>
      </c>
      <c r="R479" t="str" cm="1">
        <f t="array" ref="R479">_xlfn.IFS(AND(C479&gt;300,C479&lt;=525),"1 Star",AND(C479&gt;525,C479&lt;=600),"2 Star",AND(C479&gt;600,C479&lt;=700),"3 Star",AND(C479&gt;700,C479&lt;=750),"4 Star",AND(C479&gt;750,C479&lt;=900),"5 Star")</f>
        <v>1 Star</v>
      </c>
      <c r="S479" cm="1">
        <f t="array" ref="S479">_xlfn.IFS(E479="Male",1,E479="Female",2)</f>
        <v>2</v>
      </c>
      <c r="T479" cm="1">
        <f t="array" ref="T479">_xlfn.IFS(D479="France",1,D479="Germany",2,D479="Spain",3)</f>
        <v>1</v>
      </c>
    </row>
    <row r="480" spans="1:20" x14ac:dyDescent="0.3">
      <c r="A480">
        <v>480</v>
      </c>
      <c r="B480" t="s">
        <v>18</v>
      </c>
      <c r="C480" s="5">
        <v>507</v>
      </c>
      <c r="D480" t="s">
        <v>24</v>
      </c>
      <c r="E480" t="s">
        <v>25</v>
      </c>
      <c r="F480">
        <v>47</v>
      </c>
      <c r="G480" s="5">
        <v>1</v>
      </c>
      <c r="H480" s="4">
        <v>167352.03</v>
      </c>
      <c r="I480" s="5">
        <v>1</v>
      </c>
      <c r="J480">
        <v>0</v>
      </c>
      <c r="K480">
        <v>1</v>
      </c>
      <c r="L480" s="4">
        <v>124013.91</v>
      </c>
      <c r="M480">
        <v>0</v>
      </c>
      <c r="N480" s="4">
        <f t="shared" si="14"/>
        <v>0.54136182600282778</v>
      </c>
      <c r="O480" s="4">
        <f t="shared" si="15"/>
        <v>1.0212827094541839</v>
      </c>
      <c r="P480" t="str" cm="1">
        <f t="array" ref="P480">_xlfn.IFS(AND(F480&gt;15,F480&lt;=30), "Youngsters", AND(F480&gt;30,F480&lt;=50), "Adults", AND(F480&gt;50,F480&lt;=70),"Old person", AND(F480&gt;70, F480&lt;92), "Senior Citizens")</f>
        <v>Adults</v>
      </c>
      <c r="Q480" t="str" cm="1">
        <f t="array" ref="Q480">_xlfn.IFS(G480=0,"No Tenure Period",AND(G480&gt;0,G480&lt;=3),"Less Tenure Period",AND(G480&gt;3,G480&lt;=7),"More Tenure Period",AND(G480&gt;7,G480&lt;=10),"Large Tenure Period")</f>
        <v>Less Tenure Period</v>
      </c>
      <c r="R480" t="str" cm="1">
        <f t="array" ref="R480">_xlfn.IFS(AND(C480&gt;300,C480&lt;=525),"1 Star",AND(C480&gt;525,C480&lt;=600),"2 Star",AND(C480&gt;600,C480&lt;=700),"3 Star",AND(C480&gt;700,C480&lt;=750),"4 Star",AND(C480&gt;750,C480&lt;=900),"5 Star")</f>
        <v>1 Star</v>
      </c>
      <c r="S480" cm="1">
        <f t="array" ref="S480">_xlfn.IFS(E480="Male",1,E480="Female",2)</f>
        <v>1</v>
      </c>
      <c r="T480" cm="1">
        <f t="array" ref="T480">_xlfn.IFS(D480="France",1,D480="Germany",2,D480="Spain",3)</f>
        <v>1</v>
      </c>
    </row>
    <row r="481" spans="1:20" x14ac:dyDescent="0.3">
      <c r="A481">
        <v>481</v>
      </c>
      <c r="B481" t="s">
        <v>16</v>
      </c>
      <c r="C481" s="5">
        <v>415</v>
      </c>
      <c r="D481" t="s">
        <v>24</v>
      </c>
      <c r="E481" t="s">
        <v>26</v>
      </c>
      <c r="F481">
        <v>31</v>
      </c>
      <c r="G481" s="5">
        <v>5</v>
      </c>
      <c r="H481" s="4">
        <v>224202.59</v>
      </c>
      <c r="I481" s="5">
        <v>3</v>
      </c>
      <c r="J481">
        <v>1</v>
      </c>
      <c r="K481">
        <v>0</v>
      </c>
      <c r="L481" s="4">
        <v>58513.24</v>
      </c>
      <c r="M481">
        <v>0</v>
      </c>
      <c r="N481" s="4">
        <f t="shared" si="14"/>
        <v>1.331254632566266</v>
      </c>
      <c r="O481" s="4">
        <f t="shared" si="15"/>
        <v>-0.57931401719855391</v>
      </c>
      <c r="P481" t="str" cm="1">
        <f t="array" ref="P481">_xlfn.IFS(AND(F481&gt;15,F481&lt;=30), "Youngsters", AND(F481&gt;30,F481&lt;=50), "Adults", AND(F481&gt;50,F481&lt;=70),"Old person", AND(F481&gt;70, F481&lt;92), "Senior Citizens")</f>
        <v>Adults</v>
      </c>
      <c r="Q481" t="str" cm="1">
        <f t="array" ref="Q481">_xlfn.IFS(G481=0,"No Tenure Period",AND(G481&gt;0,G481&lt;=3),"Less Tenure Period",AND(G481&gt;3,G481&lt;=7),"More Tenure Period",AND(G481&gt;7,G481&lt;=10),"Large Tenure Period")</f>
        <v>More Tenure Period</v>
      </c>
      <c r="R481" t="str" cm="1">
        <f t="array" ref="R481">_xlfn.IFS(AND(C481&gt;300,C481&lt;=525),"1 Star",AND(C481&gt;525,C481&lt;=600),"2 Star",AND(C481&gt;600,C481&lt;=700),"3 Star",AND(C481&gt;700,C481&lt;=750),"4 Star",AND(C481&gt;750,C481&lt;=900),"5 Star")</f>
        <v>1 Star</v>
      </c>
      <c r="S481" cm="1">
        <f t="array" ref="S481">_xlfn.IFS(E481="Male",1,E481="Female",2)</f>
        <v>2</v>
      </c>
      <c r="T481" cm="1">
        <f t="array" ref="T481">_xlfn.IFS(D481="France",1,D481="Germany",2,D481="Spain",3)</f>
        <v>1</v>
      </c>
    </row>
    <row r="482" spans="1:20" x14ac:dyDescent="0.3">
      <c r="A482">
        <v>482</v>
      </c>
      <c r="B482" t="s">
        <v>18</v>
      </c>
      <c r="C482" s="5">
        <v>629</v>
      </c>
      <c r="D482" t="s">
        <v>22</v>
      </c>
      <c r="E482" t="s">
        <v>25</v>
      </c>
      <c r="F482">
        <v>37</v>
      </c>
      <c r="G482" s="5">
        <v>9</v>
      </c>
      <c r="H482" s="4">
        <v>24530.880000000001</v>
      </c>
      <c r="I482" s="5">
        <v>2</v>
      </c>
      <c r="J482">
        <v>1</v>
      </c>
      <c r="K482">
        <v>0</v>
      </c>
      <c r="L482" s="4">
        <v>100372.28</v>
      </c>
      <c r="M482">
        <v>0</v>
      </c>
      <c r="N482" s="4">
        <f t="shared" si="14"/>
        <v>-1.443023182871628</v>
      </c>
      <c r="O482" s="4">
        <f t="shared" si="15"/>
        <v>0.44356777019119359</v>
      </c>
      <c r="P482" t="str" cm="1">
        <f t="array" ref="P482">_xlfn.IFS(AND(F482&gt;15,F482&lt;=30), "Youngsters", AND(F482&gt;30,F482&lt;=50), "Adults", AND(F482&gt;50,F482&lt;=70),"Old person", AND(F482&gt;70, F482&lt;92), "Senior Citizens")</f>
        <v>Adults</v>
      </c>
      <c r="Q482" t="str" cm="1">
        <f t="array" ref="Q482">_xlfn.IFS(G482=0,"No Tenure Period",AND(G482&gt;0,G482&lt;=3),"Less Tenure Period",AND(G482&gt;3,G482&lt;=7),"More Tenure Period",AND(G482&gt;7,G482&lt;=10),"Large Tenure Period")</f>
        <v>Large Tenure Period</v>
      </c>
      <c r="R482" t="str" cm="1">
        <f t="array" ref="R482">_xlfn.IFS(AND(C482&gt;300,C482&lt;=525),"1 Star",AND(C482&gt;525,C482&lt;=600),"2 Star",AND(C482&gt;600,C482&lt;=700),"3 Star",AND(C482&gt;700,C482&lt;=750),"4 Star",AND(C482&gt;750,C482&lt;=900),"5 Star")</f>
        <v>3 Star</v>
      </c>
      <c r="S482" cm="1">
        <f t="array" ref="S482">_xlfn.IFS(E482="Male",1,E482="Female",2)</f>
        <v>1</v>
      </c>
      <c r="T482" cm="1">
        <f t="array" ref="T482">_xlfn.IFS(D482="France",1,D482="Germany",2,D482="Spain",3)</f>
        <v>2</v>
      </c>
    </row>
    <row r="483" spans="1:20" x14ac:dyDescent="0.3">
      <c r="A483">
        <v>483</v>
      </c>
      <c r="B483" t="s">
        <v>21</v>
      </c>
      <c r="C483" s="5">
        <v>550</v>
      </c>
      <c r="D483" t="s">
        <v>23</v>
      </c>
      <c r="E483" t="s">
        <v>25</v>
      </c>
      <c r="F483">
        <v>59</v>
      </c>
      <c r="G483" s="5">
        <v>5</v>
      </c>
      <c r="H483" s="4">
        <v>132558.04</v>
      </c>
      <c r="I483" s="5">
        <v>3</v>
      </c>
      <c r="J483">
        <v>1</v>
      </c>
      <c r="K483">
        <v>0</v>
      </c>
      <c r="L483" s="4">
        <v>55627.46</v>
      </c>
      <c r="M483">
        <v>0</v>
      </c>
      <c r="N483" s="4">
        <f t="shared" si="14"/>
        <v>5.7927319594444221E-2</v>
      </c>
      <c r="O483" s="4">
        <f t="shared" si="15"/>
        <v>-0.64983192215799834</v>
      </c>
      <c r="P483" t="str" cm="1">
        <f t="array" ref="P483">_xlfn.IFS(AND(F483&gt;15,F483&lt;=30), "Youngsters", AND(F483&gt;30,F483&lt;=50), "Adults", AND(F483&gt;50,F483&lt;=70),"Old person", AND(F483&gt;70, F483&lt;92), "Senior Citizens")</f>
        <v>Old person</v>
      </c>
      <c r="Q483" t="str" cm="1">
        <f t="array" ref="Q483">_xlfn.IFS(G483=0,"No Tenure Period",AND(G483&gt;0,G483&lt;=3),"Less Tenure Period",AND(G483&gt;3,G483&lt;=7),"More Tenure Period",AND(G483&gt;7,G483&lt;=10),"Large Tenure Period")</f>
        <v>More Tenure Period</v>
      </c>
      <c r="R483" t="str" cm="1">
        <f t="array" ref="R483">_xlfn.IFS(AND(C483&gt;300,C483&lt;=525),"1 Star",AND(C483&gt;525,C483&lt;=600),"2 Star",AND(C483&gt;600,C483&lt;=700),"3 Star",AND(C483&gt;700,C483&lt;=750),"4 Star",AND(C483&gt;750,C483&lt;=900),"5 Star")</f>
        <v>2 Star</v>
      </c>
      <c r="S483" cm="1">
        <f t="array" ref="S483">_xlfn.IFS(E483="Male",1,E483="Female",2)</f>
        <v>1</v>
      </c>
      <c r="T483" cm="1">
        <f t="array" ref="T483">_xlfn.IFS(D483="France",1,D483="Germany",2,D483="Spain",3)</f>
        <v>3</v>
      </c>
    </row>
    <row r="484" spans="1:20" x14ac:dyDescent="0.3">
      <c r="A484">
        <v>484</v>
      </c>
      <c r="B484" t="s">
        <v>17</v>
      </c>
      <c r="C484" s="5">
        <v>734</v>
      </c>
      <c r="D484" t="s">
        <v>23</v>
      </c>
      <c r="E484" t="s">
        <v>25</v>
      </c>
      <c r="F484">
        <v>62</v>
      </c>
      <c r="G484" s="5">
        <v>2</v>
      </c>
      <c r="H484" s="4">
        <v>239522.72</v>
      </c>
      <c r="I484" s="5">
        <v>3</v>
      </c>
      <c r="J484">
        <v>0</v>
      </c>
      <c r="K484">
        <v>1</v>
      </c>
      <c r="L484" s="4">
        <v>37534.69</v>
      </c>
      <c r="M484">
        <v>0</v>
      </c>
      <c r="N484" s="4">
        <f t="shared" si="14"/>
        <v>1.544115517008156</v>
      </c>
      <c r="O484" s="4">
        <f t="shared" si="15"/>
        <v>-1.0919530247067333</v>
      </c>
      <c r="P484" t="str" cm="1">
        <f t="array" ref="P484">_xlfn.IFS(AND(F484&gt;15,F484&lt;=30), "Youngsters", AND(F484&gt;30,F484&lt;=50), "Adults", AND(F484&gt;50,F484&lt;=70),"Old person", AND(F484&gt;70, F484&lt;92), "Senior Citizens")</f>
        <v>Old person</v>
      </c>
      <c r="Q484" t="str" cm="1">
        <f t="array" ref="Q484">_xlfn.IFS(G484=0,"No Tenure Period",AND(G484&gt;0,G484&lt;=3),"Less Tenure Period",AND(G484&gt;3,G484&lt;=7),"More Tenure Period",AND(G484&gt;7,G484&lt;=10),"Large Tenure Period")</f>
        <v>Less Tenure Period</v>
      </c>
      <c r="R484" t="str" cm="1">
        <f t="array" ref="R484">_xlfn.IFS(AND(C484&gt;300,C484&lt;=525),"1 Star",AND(C484&gt;525,C484&lt;=600),"2 Star",AND(C484&gt;600,C484&lt;=700),"3 Star",AND(C484&gt;700,C484&lt;=750),"4 Star",AND(C484&gt;750,C484&lt;=900),"5 Star")</f>
        <v>4 Star</v>
      </c>
      <c r="S484" cm="1">
        <f t="array" ref="S484">_xlfn.IFS(E484="Male",1,E484="Female",2)</f>
        <v>1</v>
      </c>
      <c r="T484" cm="1">
        <f t="array" ref="T484">_xlfn.IFS(D484="France",1,D484="Germany",2,D484="Spain",3)</f>
        <v>3</v>
      </c>
    </row>
    <row r="485" spans="1:20" x14ac:dyDescent="0.3">
      <c r="A485">
        <v>485</v>
      </c>
      <c r="B485" t="s">
        <v>15</v>
      </c>
      <c r="C485" s="5">
        <v>437</v>
      </c>
      <c r="D485" t="s">
        <v>24</v>
      </c>
      <c r="E485" t="s">
        <v>26</v>
      </c>
      <c r="F485">
        <v>69</v>
      </c>
      <c r="G485" s="5">
        <v>3</v>
      </c>
      <c r="H485" s="4">
        <v>69485.69</v>
      </c>
      <c r="I485" s="5">
        <v>2</v>
      </c>
      <c r="J485">
        <v>1</v>
      </c>
      <c r="K485">
        <v>1</v>
      </c>
      <c r="L485" s="4">
        <v>91069.46</v>
      </c>
      <c r="M485">
        <v>0</v>
      </c>
      <c r="N485" s="4">
        <f t="shared" si="14"/>
        <v>-0.81841225486271996</v>
      </c>
      <c r="O485" s="4">
        <f t="shared" si="15"/>
        <v>0.2162408857388726</v>
      </c>
      <c r="P485" t="str" cm="1">
        <f t="array" ref="P485">_xlfn.IFS(AND(F485&gt;15,F485&lt;=30), "Youngsters", AND(F485&gt;30,F485&lt;=50), "Adults", AND(F485&gt;50,F485&lt;=70),"Old person", AND(F485&gt;70, F485&lt;92), "Senior Citizens")</f>
        <v>Old person</v>
      </c>
      <c r="Q485" t="str" cm="1">
        <f t="array" ref="Q485">_xlfn.IFS(G485=0,"No Tenure Period",AND(G485&gt;0,G485&lt;=3),"Less Tenure Period",AND(G485&gt;3,G485&lt;=7),"More Tenure Period",AND(G485&gt;7,G485&lt;=10),"Large Tenure Period")</f>
        <v>Less Tenure Period</v>
      </c>
      <c r="R485" t="str" cm="1">
        <f t="array" ref="R485">_xlfn.IFS(AND(C485&gt;300,C485&lt;=525),"1 Star",AND(C485&gt;525,C485&lt;=600),"2 Star",AND(C485&gt;600,C485&lt;=700),"3 Star",AND(C485&gt;700,C485&lt;=750),"4 Star",AND(C485&gt;750,C485&lt;=900),"5 Star")</f>
        <v>1 Star</v>
      </c>
      <c r="S485" cm="1">
        <f t="array" ref="S485">_xlfn.IFS(E485="Male",1,E485="Female",2)</f>
        <v>2</v>
      </c>
      <c r="T485" cm="1">
        <f t="array" ref="T485">_xlfn.IFS(D485="France",1,D485="Germany",2,D485="Spain",3)</f>
        <v>1</v>
      </c>
    </row>
    <row r="486" spans="1:20" x14ac:dyDescent="0.3">
      <c r="A486">
        <v>486</v>
      </c>
      <c r="B486" t="s">
        <v>17</v>
      </c>
      <c r="C486" s="5">
        <v>643</v>
      </c>
      <c r="D486" t="s">
        <v>22</v>
      </c>
      <c r="E486" t="s">
        <v>25</v>
      </c>
      <c r="F486">
        <v>34</v>
      </c>
      <c r="G486" s="5">
        <v>3</v>
      </c>
      <c r="H486" s="4">
        <v>70266.98</v>
      </c>
      <c r="I486" s="5">
        <v>2</v>
      </c>
      <c r="J486">
        <v>0</v>
      </c>
      <c r="K486">
        <v>1</v>
      </c>
      <c r="L486" s="4">
        <v>129097.79</v>
      </c>
      <c r="M486">
        <v>1</v>
      </c>
      <c r="N486" s="4">
        <f t="shared" si="14"/>
        <v>-0.80755685870057226</v>
      </c>
      <c r="O486" s="4">
        <f t="shared" si="15"/>
        <v>1.14551413619677</v>
      </c>
      <c r="P486" t="str" cm="1">
        <f t="array" ref="P486">_xlfn.IFS(AND(F486&gt;15,F486&lt;=30), "Youngsters", AND(F486&gt;30,F486&lt;=50), "Adults", AND(F486&gt;50,F486&lt;=70),"Old person", AND(F486&gt;70, F486&lt;92), "Senior Citizens")</f>
        <v>Adults</v>
      </c>
      <c r="Q486" t="str" cm="1">
        <f t="array" ref="Q486">_xlfn.IFS(G486=0,"No Tenure Period",AND(G486&gt;0,G486&lt;=3),"Less Tenure Period",AND(G486&gt;3,G486&lt;=7),"More Tenure Period",AND(G486&gt;7,G486&lt;=10),"Large Tenure Period")</f>
        <v>Less Tenure Period</v>
      </c>
      <c r="R486" t="str" cm="1">
        <f t="array" ref="R486">_xlfn.IFS(AND(C486&gt;300,C486&lt;=525),"1 Star",AND(C486&gt;525,C486&lt;=600),"2 Star",AND(C486&gt;600,C486&lt;=700),"3 Star",AND(C486&gt;700,C486&lt;=750),"4 Star",AND(C486&gt;750,C486&lt;=900),"5 Star")</f>
        <v>3 Star</v>
      </c>
      <c r="S486" cm="1">
        <f t="array" ref="S486">_xlfn.IFS(E486="Male",1,E486="Female",2)</f>
        <v>1</v>
      </c>
      <c r="T486" cm="1">
        <f t="array" ref="T486">_xlfn.IFS(D486="France",1,D486="Germany",2,D486="Spain",3)</f>
        <v>2</v>
      </c>
    </row>
    <row r="487" spans="1:20" x14ac:dyDescent="0.3">
      <c r="A487">
        <v>487</v>
      </c>
      <c r="B487" t="s">
        <v>14</v>
      </c>
      <c r="C487" s="5">
        <v>717</v>
      </c>
      <c r="D487" t="s">
        <v>23</v>
      </c>
      <c r="E487" t="s">
        <v>26</v>
      </c>
      <c r="F487">
        <v>55</v>
      </c>
      <c r="G487" s="5">
        <v>3</v>
      </c>
      <c r="H487" s="4">
        <v>117513.1</v>
      </c>
      <c r="I487" s="5">
        <v>1</v>
      </c>
      <c r="J487">
        <v>0</v>
      </c>
      <c r="K487">
        <v>0</v>
      </c>
      <c r="L487" s="4">
        <v>143986.04</v>
      </c>
      <c r="M487">
        <v>1</v>
      </c>
      <c r="N487" s="4">
        <f t="shared" si="14"/>
        <v>-0.15111002113146133</v>
      </c>
      <c r="O487" s="4">
        <f t="shared" si="15"/>
        <v>1.5093284943642153</v>
      </c>
      <c r="P487" t="str" cm="1">
        <f t="array" ref="P487">_xlfn.IFS(AND(F487&gt;15,F487&lt;=30), "Youngsters", AND(F487&gt;30,F487&lt;=50), "Adults", AND(F487&gt;50,F487&lt;=70),"Old person", AND(F487&gt;70, F487&lt;92), "Senior Citizens")</f>
        <v>Old person</v>
      </c>
      <c r="Q487" t="str" cm="1">
        <f t="array" ref="Q487">_xlfn.IFS(G487=0,"No Tenure Period",AND(G487&gt;0,G487&lt;=3),"Less Tenure Period",AND(G487&gt;3,G487&lt;=7),"More Tenure Period",AND(G487&gt;7,G487&lt;=10),"Large Tenure Period")</f>
        <v>Less Tenure Period</v>
      </c>
      <c r="R487" t="str" cm="1">
        <f t="array" ref="R487">_xlfn.IFS(AND(C487&gt;300,C487&lt;=525),"1 Star",AND(C487&gt;525,C487&lt;=600),"2 Star",AND(C487&gt;600,C487&lt;=700),"3 Star",AND(C487&gt;700,C487&lt;=750),"4 Star",AND(C487&gt;750,C487&lt;=900),"5 Star")</f>
        <v>4 Star</v>
      </c>
      <c r="S487" cm="1">
        <f t="array" ref="S487">_xlfn.IFS(E487="Male",1,E487="Female",2)</f>
        <v>2</v>
      </c>
      <c r="T487" cm="1">
        <f t="array" ref="T487">_xlfn.IFS(D487="France",1,D487="Germany",2,D487="Spain",3)</f>
        <v>3</v>
      </c>
    </row>
    <row r="488" spans="1:20" x14ac:dyDescent="0.3">
      <c r="A488">
        <v>488</v>
      </c>
      <c r="B488" t="s">
        <v>16</v>
      </c>
      <c r="C488" s="5">
        <v>797</v>
      </c>
      <c r="D488" t="s">
        <v>23</v>
      </c>
      <c r="E488" t="s">
        <v>26</v>
      </c>
      <c r="F488">
        <v>32</v>
      </c>
      <c r="G488" s="5">
        <v>8</v>
      </c>
      <c r="H488" s="4">
        <v>236925.82</v>
      </c>
      <c r="I488" s="5">
        <v>1</v>
      </c>
      <c r="J488">
        <v>0</v>
      </c>
      <c r="K488">
        <v>1</v>
      </c>
      <c r="L488" s="4">
        <v>46753.37</v>
      </c>
      <c r="M488">
        <v>1</v>
      </c>
      <c r="N488" s="4">
        <f t="shared" si="14"/>
        <v>1.5080336801825454</v>
      </c>
      <c r="O488" s="4">
        <f t="shared" si="15"/>
        <v>-0.86668221401030743</v>
      </c>
      <c r="P488" t="str" cm="1">
        <f t="array" ref="P488">_xlfn.IFS(AND(F488&gt;15,F488&lt;=30), "Youngsters", AND(F488&gt;30,F488&lt;=50), "Adults", AND(F488&gt;50,F488&lt;=70),"Old person", AND(F488&gt;70, F488&lt;92), "Senior Citizens")</f>
        <v>Adults</v>
      </c>
      <c r="Q488" t="str" cm="1">
        <f t="array" ref="Q488">_xlfn.IFS(G488=0,"No Tenure Period",AND(G488&gt;0,G488&lt;=3),"Less Tenure Period",AND(G488&gt;3,G488&lt;=7),"More Tenure Period",AND(G488&gt;7,G488&lt;=10),"Large Tenure Period")</f>
        <v>Large Tenure Period</v>
      </c>
      <c r="R488" t="str" cm="1">
        <f t="array" ref="R488">_xlfn.IFS(AND(C488&gt;300,C488&lt;=525),"1 Star",AND(C488&gt;525,C488&lt;=600),"2 Star",AND(C488&gt;600,C488&lt;=700),"3 Star",AND(C488&gt;700,C488&lt;=750),"4 Star",AND(C488&gt;750,C488&lt;=900),"5 Star")</f>
        <v>5 Star</v>
      </c>
      <c r="S488" cm="1">
        <f t="array" ref="S488">_xlfn.IFS(E488="Male",1,E488="Female",2)</f>
        <v>2</v>
      </c>
      <c r="T488" cm="1">
        <f t="array" ref="T488">_xlfn.IFS(D488="France",1,D488="Germany",2,D488="Spain",3)</f>
        <v>3</v>
      </c>
    </row>
    <row r="489" spans="1:20" x14ac:dyDescent="0.3">
      <c r="A489">
        <v>489</v>
      </c>
      <c r="B489" t="s">
        <v>15</v>
      </c>
      <c r="C489" s="5">
        <v>760</v>
      </c>
      <c r="D489" t="s">
        <v>24</v>
      </c>
      <c r="E489" t="s">
        <v>25</v>
      </c>
      <c r="F489">
        <v>54</v>
      </c>
      <c r="G489" s="5">
        <v>5</v>
      </c>
      <c r="H489" s="4">
        <v>200253.42</v>
      </c>
      <c r="I489" s="5">
        <v>1</v>
      </c>
      <c r="J489">
        <v>1</v>
      </c>
      <c r="K489">
        <v>1</v>
      </c>
      <c r="L489" s="4">
        <v>105135.87</v>
      </c>
      <c r="M489">
        <v>0</v>
      </c>
      <c r="N489" s="4">
        <f t="shared" si="14"/>
        <v>0.99850017762044163</v>
      </c>
      <c r="O489" s="4">
        <f t="shared" si="15"/>
        <v>0.5599724811829393</v>
      </c>
      <c r="P489" t="str" cm="1">
        <f t="array" ref="P489">_xlfn.IFS(AND(F489&gt;15,F489&lt;=30), "Youngsters", AND(F489&gt;30,F489&lt;=50), "Adults", AND(F489&gt;50,F489&lt;=70),"Old person", AND(F489&gt;70, F489&lt;92), "Senior Citizens")</f>
        <v>Old person</v>
      </c>
      <c r="Q489" t="str" cm="1">
        <f t="array" ref="Q489">_xlfn.IFS(G489=0,"No Tenure Period",AND(G489&gt;0,G489&lt;=3),"Less Tenure Period",AND(G489&gt;3,G489&lt;=7),"More Tenure Period",AND(G489&gt;7,G489&lt;=10),"Large Tenure Period")</f>
        <v>More Tenure Period</v>
      </c>
      <c r="R489" t="str" cm="1">
        <f t="array" ref="R489">_xlfn.IFS(AND(C489&gt;300,C489&lt;=525),"1 Star",AND(C489&gt;525,C489&lt;=600),"2 Star",AND(C489&gt;600,C489&lt;=700),"3 Star",AND(C489&gt;700,C489&lt;=750),"4 Star",AND(C489&gt;750,C489&lt;=900),"5 Star")</f>
        <v>5 Star</v>
      </c>
      <c r="S489" cm="1">
        <f t="array" ref="S489">_xlfn.IFS(E489="Male",1,E489="Female",2)</f>
        <v>1</v>
      </c>
      <c r="T489" cm="1">
        <f t="array" ref="T489">_xlfn.IFS(D489="France",1,D489="Germany",2,D489="Spain",3)</f>
        <v>1</v>
      </c>
    </row>
    <row r="490" spans="1:20" x14ac:dyDescent="0.3">
      <c r="A490">
        <v>490</v>
      </c>
      <c r="B490" t="s">
        <v>19</v>
      </c>
      <c r="C490" s="5">
        <v>567</v>
      </c>
      <c r="D490" t="s">
        <v>24</v>
      </c>
      <c r="E490" t="s">
        <v>25</v>
      </c>
      <c r="F490">
        <v>22</v>
      </c>
      <c r="G490" s="5">
        <v>9</v>
      </c>
      <c r="H490" s="4">
        <v>67796.41</v>
      </c>
      <c r="I490" s="5">
        <v>4</v>
      </c>
      <c r="J490">
        <v>1</v>
      </c>
      <c r="K490">
        <v>1</v>
      </c>
      <c r="L490" s="4">
        <v>125551.64</v>
      </c>
      <c r="M490">
        <v>0</v>
      </c>
      <c r="N490" s="4">
        <f t="shared" si="14"/>
        <v>-0.8418834417828045</v>
      </c>
      <c r="O490" s="4">
        <f t="shared" si="15"/>
        <v>1.0588592045415732</v>
      </c>
      <c r="P490" t="str" cm="1">
        <f t="array" ref="P490">_xlfn.IFS(AND(F490&gt;15,F490&lt;=30), "Youngsters", AND(F490&gt;30,F490&lt;=50), "Adults", AND(F490&gt;50,F490&lt;=70),"Old person", AND(F490&gt;70, F490&lt;92), "Senior Citizens")</f>
        <v>Youngsters</v>
      </c>
      <c r="Q490" t="str" cm="1">
        <f t="array" ref="Q490">_xlfn.IFS(G490=0,"No Tenure Period",AND(G490&gt;0,G490&lt;=3),"Less Tenure Period",AND(G490&gt;3,G490&lt;=7),"More Tenure Period",AND(G490&gt;7,G490&lt;=10),"Large Tenure Period")</f>
        <v>Large Tenure Period</v>
      </c>
      <c r="R490" t="str" cm="1">
        <f t="array" ref="R490">_xlfn.IFS(AND(C490&gt;300,C490&lt;=525),"1 Star",AND(C490&gt;525,C490&lt;=600),"2 Star",AND(C490&gt;600,C490&lt;=700),"3 Star",AND(C490&gt;700,C490&lt;=750),"4 Star",AND(C490&gt;750,C490&lt;=900),"5 Star")</f>
        <v>2 Star</v>
      </c>
      <c r="S490" cm="1">
        <f t="array" ref="S490">_xlfn.IFS(E490="Male",1,E490="Female",2)</f>
        <v>1</v>
      </c>
      <c r="T490" cm="1">
        <f t="array" ref="T490">_xlfn.IFS(D490="France",1,D490="Germany",2,D490="Spain",3)</f>
        <v>1</v>
      </c>
    </row>
    <row r="491" spans="1:20" x14ac:dyDescent="0.3">
      <c r="A491">
        <v>491</v>
      </c>
      <c r="B491" t="s">
        <v>19</v>
      </c>
      <c r="C491" s="5">
        <v>695</v>
      </c>
      <c r="D491" t="s">
        <v>22</v>
      </c>
      <c r="E491" t="s">
        <v>25</v>
      </c>
      <c r="F491">
        <v>65</v>
      </c>
      <c r="G491" s="5">
        <v>5</v>
      </c>
      <c r="H491" s="4">
        <v>57896.34</v>
      </c>
      <c r="I491" s="5">
        <v>4</v>
      </c>
      <c r="J491">
        <v>1</v>
      </c>
      <c r="K491">
        <v>1</v>
      </c>
      <c r="L491" s="4">
        <v>39633.65</v>
      </c>
      <c r="M491">
        <v>0</v>
      </c>
      <c r="N491" s="4">
        <f t="shared" si="14"/>
        <v>-0.97943695185332103</v>
      </c>
      <c r="O491" s="4">
        <f t="shared" si="15"/>
        <v>-1.0406621217987932</v>
      </c>
      <c r="P491" t="str" cm="1">
        <f t="array" ref="P491">_xlfn.IFS(AND(F491&gt;15,F491&lt;=30), "Youngsters", AND(F491&gt;30,F491&lt;=50), "Adults", AND(F491&gt;50,F491&lt;=70),"Old person", AND(F491&gt;70, F491&lt;92), "Senior Citizens")</f>
        <v>Old person</v>
      </c>
      <c r="Q491" t="str" cm="1">
        <f t="array" ref="Q491">_xlfn.IFS(G491=0,"No Tenure Period",AND(G491&gt;0,G491&lt;=3),"Less Tenure Period",AND(G491&gt;3,G491&lt;=7),"More Tenure Period",AND(G491&gt;7,G491&lt;=10),"Large Tenure Period")</f>
        <v>More Tenure Period</v>
      </c>
      <c r="R491" t="str" cm="1">
        <f t="array" ref="R491">_xlfn.IFS(AND(C491&gt;300,C491&lt;=525),"1 Star",AND(C491&gt;525,C491&lt;=600),"2 Star",AND(C491&gt;600,C491&lt;=700),"3 Star",AND(C491&gt;700,C491&lt;=750),"4 Star",AND(C491&gt;750,C491&lt;=900),"5 Star")</f>
        <v>3 Star</v>
      </c>
      <c r="S491" cm="1">
        <f t="array" ref="S491">_xlfn.IFS(E491="Male",1,E491="Female",2)</f>
        <v>1</v>
      </c>
      <c r="T491" cm="1">
        <f t="array" ref="T491">_xlfn.IFS(D491="France",1,D491="Germany",2,D491="Spain",3)</f>
        <v>2</v>
      </c>
    </row>
    <row r="492" spans="1:20" x14ac:dyDescent="0.3">
      <c r="A492">
        <v>492</v>
      </c>
      <c r="B492" t="s">
        <v>17</v>
      </c>
      <c r="C492" s="5">
        <v>484</v>
      </c>
      <c r="D492" t="s">
        <v>23</v>
      </c>
      <c r="E492" t="s">
        <v>26</v>
      </c>
      <c r="F492">
        <v>18</v>
      </c>
      <c r="G492" s="5">
        <v>1</v>
      </c>
      <c r="H492" s="4">
        <v>49654.19</v>
      </c>
      <c r="I492" s="5">
        <v>3</v>
      </c>
      <c r="J492">
        <v>0</v>
      </c>
      <c r="K492">
        <v>1</v>
      </c>
      <c r="L492" s="4">
        <v>81684.84</v>
      </c>
      <c r="M492">
        <v>1</v>
      </c>
      <c r="N492" s="4">
        <f t="shared" si="14"/>
        <v>-1.0939549969810531</v>
      </c>
      <c r="O492" s="4">
        <f t="shared" si="15"/>
        <v>-1.3084891430732395E-2</v>
      </c>
      <c r="P492" t="str" cm="1">
        <f t="array" ref="P492">_xlfn.IFS(AND(F492&gt;15,F492&lt;=30), "Youngsters", AND(F492&gt;30,F492&lt;=50), "Adults", AND(F492&gt;50,F492&lt;=70),"Old person", AND(F492&gt;70, F492&lt;92), "Senior Citizens")</f>
        <v>Youngsters</v>
      </c>
      <c r="Q492" t="str" cm="1">
        <f t="array" ref="Q492">_xlfn.IFS(G492=0,"No Tenure Period",AND(G492&gt;0,G492&lt;=3),"Less Tenure Period",AND(G492&gt;3,G492&lt;=7),"More Tenure Period",AND(G492&gt;7,G492&lt;=10),"Large Tenure Period")</f>
        <v>Less Tenure Period</v>
      </c>
      <c r="R492" t="str" cm="1">
        <f t="array" ref="R492">_xlfn.IFS(AND(C492&gt;300,C492&lt;=525),"1 Star",AND(C492&gt;525,C492&lt;=600),"2 Star",AND(C492&gt;600,C492&lt;=700),"3 Star",AND(C492&gt;700,C492&lt;=750),"4 Star",AND(C492&gt;750,C492&lt;=900),"5 Star")</f>
        <v>1 Star</v>
      </c>
      <c r="S492" cm="1">
        <f t="array" ref="S492">_xlfn.IFS(E492="Male",1,E492="Female",2)</f>
        <v>2</v>
      </c>
      <c r="T492" cm="1">
        <f t="array" ref="T492">_xlfn.IFS(D492="France",1,D492="Germany",2,D492="Spain",3)</f>
        <v>3</v>
      </c>
    </row>
    <row r="493" spans="1:20" x14ac:dyDescent="0.3">
      <c r="A493">
        <v>493</v>
      </c>
      <c r="B493" t="s">
        <v>14</v>
      </c>
      <c r="C493" s="5">
        <v>566</v>
      </c>
      <c r="D493" t="s">
        <v>24</v>
      </c>
      <c r="E493" t="s">
        <v>26</v>
      </c>
      <c r="F493">
        <v>67</v>
      </c>
      <c r="G493" s="5">
        <v>8</v>
      </c>
      <c r="H493" s="4">
        <v>107431.37</v>
      </c>
      <c r="I493" s="5">
        <v>2</v>
      </c>
      <c r="J493">
        <v>1</v>
      </c>
      <c r="K493">
        <v>0</v>
      </c>
      <c r="L493" s="4">
        <v>136772.28</v>
      </c>
      <c r="M493">
        <v>0</v>
      </c>
      <c r="N493" s="4">
        <f t="shared" si="14"/>
        <v>-0.29118755079369896</v>
      </c>
      <c r="O493" s="4">
        <f t="shared" si="15"/>
        <v>1.3330505930410919</v>
      </c>
      <c r="P493" t="str" cm="1">
        <f t="array" ref="P493">_xlfn.IFS(AND(F493&gt;15,F493&lt;=30), "Youngsters", AND(F493&gt;30,F493&lt;=50), "Adults", AND(F493&gt;50,F493&lt;=70),"Old person", AND(F493&gt;70, F493&lt;92), "Senior Citizens")</f>
        <v>Old person</v>
      </c>
      <c r="Q493" t="str" cm="1">
        <f t="array" ref="Q493">_xlfn.IFS(G493=0,"No Tenure Period",AND(G493&gt;0,G493&lt;=3),"Less Tenure Period",AND(G493&gt;3,G493&lt;=7),"More Tenure Period",AND(G493&gt;7,G493&lt;=10),"Large Tenure Period")</f>
        <v>Large Tenure Period</v>
      </c>
      <c r="R493" t="str" cm="1">
        <f t="array" ref="R493">_xlfn.IFS(AND(C493&gt;300,C493&lt;=525),"1 Star",AND(C493&gt;525,C493&lt;=600),"2 Star",AND(C493&gt;600,C493&lt;=700),"3 Star",AND(C493&gt;700,C493&lt;=750),"4 Star",AND(C493&gt;750,C493&lt;=900),"5 Star")</f>
        <v>2 Star</v>
      </c>
      <c r="S493" cm="1">
        <f t="array" ref="S493">_xlfn.IFS(E493="Male",1,E493="Female",2)</f>
        <v>2</v>
      </c>
      <c r="T493" cm="1">
        <f t="array" ref="T493">_xlfn.IFS(D493="France",1,D493="Germany",2,D493="Spain",3)</f>
        <v>1</v>
      </c>
    </row>
    <row r="494" spans="1:20" x14ac:dyDescent="0.3">
      <c r="A494">
        <v>494</v>
      </c>
      <c r="B494" t="s">
        <v>19</v>
      </c>
      <c r="C494" s="5">
        <v>813</v>
      </c>
      <c r="D494" t="s">
        <v>22</v>
      </c>
      <c r="E494" t="s">
        <v>25</v>
      </c>
      <c r="F494">
        <v>55</v>
      </c>
      <c r="G494" s="5">
        <v>10</v>
      </c>
      <c r="H494" s="4">
        <v>201976.42</v>
      </c>
      <c r="I494" s="5">
        <v>3</v>
      </c>
      <c r="J494">
        <v>0</v>
      </c>
      <c r="K494">
        <v>1</v>
      </c>
      <c r="L494" s="4">
        <v>131084.15</v>
      </c>
      <c r="M494">
        <v>0</v>
      </c>
      <c r="N494" s="4">
        <f t="shared" si="14"/>
        <v>1.0224398768196896</v>
      </c>
      <c r="O494" s="4">
        <f t="shared" si="15"/>
        <v>1.1940535070757843</v>
      </c>
      <c r="P494" t="str" cm="1">
        <f t="array" ref="P494">_xlfn.IFS(AND(F494&gt;15,F494&lt;=30), "Youngsters", AND(F494&gt;30,F494&lt;=50), "Adults", AND(F494&gt;50,F494&lt;=70),"Old person", AND(F494&gt;70, F494&lt;92), "Senior Citizens")</f>
        <v>Old person</v>
      </c>
      <c r="Q494" t="str" cm="1">
        <f t="array" ref="Q494">_xlfn.IFS(G494=0,"No Tenure Period",AND(G494&gt;0,G494&lt;=3),"Less Tenure Period",AND(G494&gt;3,G494&lt;=7),"More Tenure Period",AND(G494&gt;7,G494&lt;=10),"Large Tenure Period")</f>
        <v>Large Tenure Period</v>
      </c>
      <c r="R494" t="str" cm="1">
        <f t="array" ref="R494">_xlfn.IFS(AND(C494&gt;300,C494&lt;=525),"1 Star",AND(C494&gt;525,C494&lt;=600),"2 Star",AND(C494&gt;600,C494&lt;=700),"3 Star",AND(C494&gt;700,C494&lt;=750),"4 Star",AND(C494&gt;750,C494&lt;=900),"5 Star")</f>
        <v>5 Star</v>
      </c>
      <c r="S494" cm="1">
        <f t="array" ref="S494">_xlfn.IFS(E494="Male",1,E494="Female",2)</f>
        <v>1</v>
      </c>
      <c r="T494" cm="1">
        <f t="array" ref="T494">_xlfn.IFS(D494="France",1,D494="Germany",2,D494="Spain",3)</f>
        <v>2</v>
      </c>
    </row>
    <row r="495" spans="1:20" x14ac:dyDescent="0.3">
      <c r="A495">
        <v>495</v>
      </c>
      <c r="B495" t="s">
        <v>13</v>
      </c>
      <c r="C495" s="5">
        <v>451</v>
      </c>
      <c r="D495" t="s">
        <v>22</v>
      </c>
      <c r="E495" t="s">
        <v>25</v>
      </c>
      <c r="F495">
        <v>62</v>
      </c>
      <c r="G495" s="5">
        <v>7</v>
      </c>
      <c r="H495" s="4">
        <v>38075.550000000003</v>
      </c>
      <c r="I495" s="5">
        <v>2</v>
      </c>
      <c r="J495">
        <v>0</v>
      </c>
      <c r="K495">
        <v>1</v>
      </c>
      <c r="L495" s="4">
        <v>11580.61</v>
      </c>
      <c r="M495">
        <v>0</v>
      </c>
      <c r="N495" s="4">
        <f t="shared" si="14"/>
        <v>-1.2548308871356564</v>
      </c>
      <c r="O495" s="4">
        <f t="shared" si="15"/>
        <v>-1.7261757813790435</v>
      </c>
      <c r="P495" t="str" cm="1">
        <f t="array" ref="P495">_xlfn.IFS(AND(F495&gt;15,F495&lt;=30), "Youngsters", AND(F495&gt;30,F495&lt;=50), "Adults", AND(F495&gt;50,F495&lt;=70),"Old person", AND(F495&gt;70, F495&lt;92), "Senior Citizens")</f>
        <v>Old person</v>
      </c>
      <c r="Q495" t="str" cm="1">
        <f t="array" ref="Q495">_xlfn.IFS(G495=0,"No Tenure Period",AND(G495&gt;0,G495&lt;=3),"Less Tenure Period",AND(G495&gt;3,G495&lt;=7),"More Tenure Period",AND(G495&gt;7,G495&lt;=10),"Large Tenure Period")</f>
        <v>More Tenure Period</v>
      </c>
      <c r="R495" t="str" cm="1">
        <f t="array" ref="R495">_xlfn.IFS(AND(C495&gt;300,C495&lt;=525),"1 Star",AND(C495&gt;525,C495&lt;=600),"2 Star",AND(C495&gt;600,C495&lt;=700),"3 Star",AND(C495&gt;700,C495&lt;=750),"4 Star",AND(C495&gt;750,C495&lt;=900),"5 Star")</f>
        <v>1 Star</v>
      </c>
      <c r="S495" cm="1">
        <f t="array" ref="S495">_xlfn.IFS(E495="Male",1,E495="Female",2)</f>
        <v>1</v>
      </c>
      <c r="T495" cm="1">
        <f t="array" ref="T495">_xlfn.IFS(D495="France",1,D495="Germany",2,D495="Spain",3)</f>
        <v>2</v>
      </c>
    </row>
    <row r="496" spans="1:20" x14ac:dyDescent="0.3">
      <c r="A496">
        <v>496</v>
      </c>
      <c r="B496" t="s">
        <v>20</v>
      </c>
      <c r="C496" s="5">
        <v>647</v>
      </c>
      <c r="D496" t="s">
        <v>22</v>
      </c>
      <c r="E496" t="s">
        <v>25</v>
      </c>
      <c r="F496">
        <v>87</v>
      </c>
      <c r="G496" s="5">
        <v>7</v>
      </c>
      <c r="H496" s="4">
        <v>154264.92000000001</v>
      </c>
      <c r="I496" s="5">
        <v>2</v>
      </c>
      <c r="J496">
        <v>1</v>
      </c>
      <c r="K496">
        <v>0</v>
      </c>
      <c r="L496" s="4">
        <v>97382.98</v>
      </c>
      <c r="M496">
        <v>1</v>
      </c>
      <c r="N496" s="4">
        <f t="shared" si="14"/>
        <v>0.35952695845351207</v>
      </c>
      <c r="O496" s="4">
        <f t="shared" si="15"/>
        <v>0.37052021518170997</v>
      </c>
      <c r="P496" t="str" cm="1">
        <f t="array" ref="P496">_xlfn.IFS(AND(F496&gt;15,F496&lt;=30), "Youngsters", AND(F496&gt;30,F496&lt;=50), "Adults", AND(F496&gt;50,F496&lt;=70),"Old person", AND(F496&gt;70, F496&lt;92), "Senior Citizens")</f>
        <v>Senior Citizens</v>
      </c>
      <c r="Q496" t="str" cm="1">
        <f t="array" ref="Q496">_xlfn.IFS(G496=0,"No Tenure Period",AND(G496&gt;0,G496&lt;=3),"Less Tenure Period",AND(G496&gt;3,G496&lt;=7),"More Tenure Period",AND(G496&gt;7,G496&lt;=10),"Large Tenure Period")</f>
        <v>More Tenure Period</v>
      </c>
      <c r="R496" t="str" cm="1">
        <f t="array" ref="R496">_xlfn.IFS(AND(C496&gt;300,C496&lt;=525),"1 Star",AND(C496&gt;525,C496&lt;=600),"2 Star",AND(C496&gt;600,C496&lt;=700),"3 Star",AND(C496&gt;700,C496&lt;=750),"4 Star",AND(C496&gt;750,C496&lt;=900),"5 Star")</f>
        <v>3 Star</v>
      </c>
      <c r="S496" cm="1">
        <f t="array" ref="S496">_xlfn.IFS(E496="Male",1,E496="Female",2)</f>
        <v>1</v>
      </c>
      <c r="T496" cm="1">
        <f t="array" ref="T496">_xlfn.IFS(D496="France",1,D496="Germany",2,D496="Spain",3)</f>
        <v>2</v>
      </c>
    </row>
    <row r="497" spans="1:20" x14ac:dyDescent="0.3">
      <c r="A497">
        <v>497</v>
      </c>
      <c r="B497" t="s">
        <v>13</v>
      </c>
      <c r="C497" s="5">
        <v>751</v>
      </c>
      <c r="D497" t="s">
        <v>23</v>
      </c>
      <c r="E497" t="s">
        <v>26</v>
      </c>
      <c r="F497">
        <v>34</v>
      </c>
      <c r="G497" s="5">
        <v>1</v>
      </c>
      <c r="H497" s="4">
        <v>118072.6</v>
      </c>
      <c r="I497" s="5">
        <v>3</v>
      </c>
      <c r="J497">
        <v>0</v>
      </c>
      <c r="K497">
        <v>1</v>
      </c>
      <c r="L497" s="4">
        <v>98955.37</v>
      </c>
      <c r="M497">
        <v>1</v>
      </c>
      <c r="N497" s="4">
        <f t="shared" si="14"/>
        <v>-0.14333621863466545</v>
      </c>
      <c r="O497" s="4">
        <f t="shared" si="15"/>
        <v>0.40894367385810976</v>
      </c>
      <c r="P497" t="str" cm="1">
        <f t="array" ref="P497">_xlfn.IFS(AND(F497&gt;15,F497&lt;=30), "Youngsters", AND(F497&gt;30,F497&lt;=50), "Adults", AND(F497&gt;50,F497&lt;=70),"Old person", AND(F497&gt;70, F497&lt;92), "Senior Citizens")</f>
        <v>Adults</v>
      </c>
      <c r="Q497" t="str" cm="1">
        <f t="array" ref="Q497">_xlfn.IFS(G497=0,"No Tenure Period",AND(G497&gt;0,G497&lt;=3),"Less Tenure Period",AND(G497&gt;3,G497&lt;=7),"More Tenure Period",AND(G497&gt;7,G497&lt;=10),"Large Tenure Period")</f>
        <v>Less Tenure Period</v>
      </c>
      <c r="R497" t="str" cm="1">
        <f t="array" ref="R497">_xlfn.IFS(AND(C497&gt;300,C497&lt;=525),"1 Star",AND(C497&gt;525,C497&lt;=600),"2 Star",AND(C497&gt;600,C497&lt;=700),"3 Star",AND(C497&gt;700,C497&lt;=750),"4 Star",AND(C497&gt;750,C497&lt;=900),"5 Star")</f>
        <v>5 Star</v>
      </c>
      <c r="S497" cm="1">
        <f t="array" ref="S497">_xlfn.IFS(E497="Male",1,E497="Female",2)</f>
        <v>2</v>
      </c>
      <c r="T497" cm="1">
        <f t="array" ref="T497">_xlfn.IFS(D497="France",1,D497="Germany",2,D497="Spain",3)</f>
        <v>3</v>
      </c>
    </row>
    <row r="498" spans="1:20" x14ac:dyDescent="0.3">
      <c r="A498">
        <v>498</v>
      </c>
      <c r="B498" t="s">
        <v>15</v>
      </c>
      <c r="C498" s="5">
        <v>814</v>
      </c>
      <c r="D498" t="s">
        <v>23</v>
      </c>
      <c r="E498" t="s">
        <v>26</v>
      </c>
      <c r="F498">
        <v>34</v>
      </c>
      <c r="G498" s="5">
        <v>9</v>
      </c>
      <c r="H498" s="4">
        <v>161580.20000000001</v>
      </c>
      <c r="I498" s="5">
        <v>3</v>
      </c>
      <c r="J498">
        <v>0</v>
      </c>
      <c r="K498">
        <v>0</v>
      </c>
      <c r="L498" s="4">
        <v>148752.49</v>
      </c>
      <c r="M498">
        <v>0</v>
      </c>
      <c r="N498" s="4">
        <f t="shared" si="14"/>
        <v>0.46116689040840203</v>
      </c>
      <c r="O498" s="4">
        <f t="shared" si="15"/>
        <v>1.6258030932920418</v>
      </c>
      <c r="P498" t="str" cm="1">
        <f t="array" ref="P498">_xlfn.IFS(AND(F498&gt;15,F498&lt;=30), "Youngsters", AND(F498&gt;30,F498&lt;=50), "Adults", AND(F498&gt;50,F498&lt;=70),"Old person", AND(F498&gt;70, F498&lt;92), "Senior Citizens")</f>
        <v>Adults</v>
      </c>
      <c r="Q498" t="str" cm="1">
        <f t="array" ref="Q498">_xlfn.IFS(G498=0,"No Tenure Period",AND(G498&gt;0,G498&lt;=3),"Less Tenure Period",AND(G498&gt;3,G498&lt;=7),"More Tenure Period",AND(G498&gt;7,G498&lt;=10),"Large Tenure Period")</f>
        <v>Large Tenure Period</v>
      </c>
      <c r="R498" t="str" cm="1">
        <f t="array" ref="R498">_xlfn.IFS(AND(C498&gt;300,C498&lt;=525),"1 Star",AND(C498&gt;525,C498&lt;=600),"2 Star",AND(C498&gt;600,C498&lt;=700),"3 Star",AND(C498&gt;700,C498&lt;=750),"4 Star",AND(C498&gt;750,C498&lt;=900),"5 Star")</f>
        <v>5 Star</v>
      </c>
      <c r="S498" cm="1">
        <f t="array" ref="S498">_xlfn.IFS(E498="Male",1,E498="Female",2)</f>
        <v>2</v>
      </c>
      <c r="T498" cm="1">
        <f t="array" ref="T498">_xlfn.IFS(D498="France",1,D498="Germany",2,D498="Spain",3)</f>
        <v>3</v>
      </c>
    </row>
    <row r="499" spans="1:20" x14ac:dyDescent="0.3">
      <c r="A499">
        <v>499</v>
      </c>
      <c r="B499" t="s">
        <v>19</v>
      </c>
      <c r="C499" s="5">
        <v>718</v>
      </c>
      <c r="D499" t="s">
        <v>23</v>
      </c>
      <c r="E499" t="s">
        <v>25</v>
      </c>
      <c r="F499">
        <v>28</v>
      </c>
      <c r="G499" s="5">
        <v>0</v>
      </c>
      <c r="H499" s="4">
        <v>100871.3</v>
      </c>
      <c r="I499" s="5">
        <v>4</v>
      </c>
      <c r="J499">
        <v>0</v>
      </c>
      <c r="K499">
        <v>0</v>
      </c>
      <c r="L499" s="4">
        <v>106391.64</v>
      </c>
      <c r="M499">
        <v>1</v>
      </c>
      <c r="N499" s="4">
        <f t="shared" si="14"/>
        <v>-0.38233444721042043</v>
      </c>
      <c r="O499" s="4">
        <f t="shared" si="15"/>
        <v>0.59065890548102229</v>
      </c>
      <c r="P499" t="str" cm="1">
        <f t="array" ref="P499">_xlfn.IFS(AND(F499&gt;15,F499&lt;=30), "Youngsters", AND(F499&gt;30,F499&lt;=50), "Adults", AND(F499&gt;50,F499&lt;=70),"Old person", AND(F499&gt;70, F499&lt;92), "Senior Citizens")</f>
        <v>Youngsters</v>
      </c>
      <c r="Q499" t="str" cm="1">
        <f t="array" ref="Q499">_xlfn.IFS(G499=0,"No Tenure Period",AND(G499&gt;0,G499&lt;=3),"Less Tenure Period",AND(G499&gt;3,G499&lt;=7),"More Tenure Period",AND(G499&gt;7,G499&lt;=10),"Large Tenure Period")</f>
        <v>No Tenure Period</v>
      </c>
      <c r="R499" t="str" cm="1">
        <f t="array" ref="R499">_xlfn.IFS(AND(C499&gt;300,C499&lt;=525),"1 Star",AND(C499&gt;525,C499&lt;=600),"2 Star",AND(C499&gt;600,C499&lt;=700),"3 Star",AND(C499&gt;700,C499&lt;=750),"4 Star",AND(C499&gt;750,C499&lt;=900),"5 Star")</f>
        <v>4 Star</v>
      </c>
      <c r="S499" cm="1">
        <f t="array" ref="S499">_xlfn.IFS(E499="Male",1,E499="Female",2)</f>
        <v>1</v>
      </c>
      <c r="T499" cm="1">
        <f t="array" ref="T499">_xlfn.IFS(D499="France",1,D499="Germany",2,D499="Spain",3)</f>
        <v>3</v>
      </c>
    </row>
    <row r="500" spans="1:20" x14ac:dyDescent="0.3">
      <c r="A500">
        <v>500</v>
      </c>
      <c r="B500" t="s">
        <v>12</v>
      </c>
      <c r="C500" s="5">
        <v>393</v>
      </c>
      <c r="D500" t="s">
        <v>22</v>
      </c>
      <c r="E500" t="s">
        <v>25</v>
      </c>
      <c r="F500">
        <v>23</v>
      </c>
      <c r="G500" s="5">
        <v>9</v>
      </c>
      <c r="H500" s="4">
        <v>189955.55</v>
      </c>
      <c r="I500" s="5">
        <v>3</v>
      </c>
      <c r="J500">
        <v>1</v>
      </c>
      <c r="K500">
        <v>1</v>
      </c>
      <c r="L500" s="4">
        <v>85565.14</v>
      </c>
      <c r="M500">
        <v>1</v>
      </c>
      <c r="N500" s="4">
        <f t="shared" si="14"/>
        <v>0.8554195564985837</v>
      </c>
      <c r="O500" s="4">
        <f t="shared" si="15"/>
        <v>8.1735443665544069E-2</v>
      </c>
      <c r="P500" t="str" cm="1">
        <f t="array" ref="P500">_xlfn.IFS(AND(F500&gt;15,F500&lt;=30), "Youngsters", AND(F500&gt;30,F500&lt;=50), "Adults", AND(F500&gt;50,F500&lt;=70),"Old person", AND(F500&gt;70, F500&lt;92), "Senior Citizens")</f>
        <v>Youngsters</v>
      </c>
      <c r="Q500" t="str" cm="1">
        <f t="array" ref="Q500">_xlfn.IFS(G500=0,"No Tenure Period",AND(G500&gt;0,G500&lt;=3),"Less Tenure Period",AND(G500&gt;3,G500&lt;=7),"More Tenure Period",AND(G500&gt;7,G500&lt;=10),"Large Tenure Period")</f>
        <v>Large Tenure Period</v>
      </c>
      <c r="R500" t="str" cm="1">
        <f t="array" ref="R500">_xlfn.IFS(AND(C500&gt;300,C500&lt;=525),"1 Star",AND(C500&gt;525,C500&lt;=600),"2 Star",AND(C500&gt;600,C500&lt;=700),"3 Star",AND(C500&gt;700,C500&lt;=750),"4 Star",AND(C500&gt;750,C500&lt;=900),"5 Star")</f>
        <v>1 Star</v>
      </c>
      <c r="S500" cm="1">
        <f t="array" ref="S500">_xlfn.IFS(E500="Male",1,E500="Female",2)</f>
        <v>1</v>
      </c>
      <c r="T500" cm="1">
        <f t="array" ref="T500">_xlfn.IFS(D500="France",1,D500="Germany",2,D500="Spain",3)</f>
        <v>2</v>
      </c>
    </row>
    <row r="501" spans="1:20" x14ac:dyDescent="0.3">
      <c r="H501" s="3"/>
    </row>
  </sheetData>
  <sortState xmlns:xlrd2="http://schemas.microsoft.com/office/spreadsheetml/2017/richdata2" ref="A2:R500">
    <sortCondition ref="A2:A500"/>
  </sortState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  <ignoredErrors>
    <ignoredError sqref="X5 X8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4ADCC-A669-4D42-9411-4F59547D5A20}">
  <dimension ref="A1:R500"/>
  <sheetViews>
    <sheetView workbookViewId="0">
      <selection activeCell="K25" sqref="K25"/>
    </sheetView>
  </sheetViews>
  <sheetFormatPr defaultRowHeight="14.4" x14ac:dyDescent="0.3"/>
  <cols>
    <col min="1" max="1" width="12.77734375" bestFit="1" customWidth="1"/>
    <col min="2" max="2" width="11.109375" bestFit="1" customWidth="1"/>
    <col min="4" max="4" width="15.21875" bestFit="1" customWidth="1"/>
    <col min="5" max="5" width="19.109375" bestFit="1" customWidth="1"/>
    <col min="7" max="7" width="4.21875" bestFit="1" customWidth="1"/>
    <col min="8" max="8" width="10.6640625" bestFit="1" customWidth="1"/>
    <col min="10" max="10" width="17.44140625" bestFit="1" customWidth="1"/>
    <col min="11" max="11" width="12.6640625" bestFit="1" customWidth="1"/>
    <col min="12" max="12" width="10.77734375" bestFit="1" customWidth="1"/>
  </cols>
  <sheetData>
    <row r="1" spans="1:18" x14ac:dyDescent="0.3">
      <c r="A1" s="10" t="s">
        <v>38</v>
      </c>
      <c r="B1" s="10" t="str">
        <f>DATA!R1</f>
        <v>CS Category</v>
      </c>
      <c r="D1" s="6" t="s">
        <v>34</v>
      </c>
      <c r="E1" t="s">
        <v>123</v>
      </c>
      <c r="G1" s="10" t="s">
        <v>5</v>
      </c>
      <c r="H1" s="10" t="str">
        <f>DATA!C1</f>
        <v>CreditScore</v>
      </c>
      <c r="J1" s="14"/>
      <c r="K1" s="14" t="s">
        <v>5</v>
      </c>
      <c r="L1" s="14" t="s">
        <v>2</v>
      </c>
    </row>
    <row r="2" spans="1:18" x14ac:dyDescent="0.3">
      <c r="A2" t="s">
        <v>42</v>
      </c>
      <c r="B2" t="str">
        <f>DATA!R2</f>
        <v>5 Star</v>
      </c>
      <c r="D2" s="7" t="s">
        <v>39</v>
      </c>
      <c r="E2">
        <v>136</v>
      </c>
      <c r="G2">
        <v>20</v>
      </c>
      <c r="H2">
        <f>DATA!C2</f>
        <v>764</v>
      </c>
      <c r="J2" t="s">
        <v>5</v>
      </c>
      <c r="K2">
        <v>1</v>
      </c>
    </row>
    <row r="3" spans="1:18" ht="15" thickBot="1" x14ac:dyDescent="0.35">
      <c r="A3" t="s">
        <v>40</v>
      </c>
      <c r="B3" t="str">
        <f>DATA!R3</f>
        <v>1 Star</v>
      </c>
      <c r="D3" s="8" t="s">
        <v>55</v>
      </c>
      <c r="E3">
        <v>49</v>
      </c>
      <c r="G3">
        <v>64</v>
      </c>
      <c r="H3">
        <f>DATA!C3</f>
        <v>365</v>
      </c>
      <c r="J3" s="13" t="s">
        <v>2</v>
      </c>
      <c r="K3" s="30">
        <v>-5.0991837763756417E-2</v>
      </c>
      <c r="L3" s="13">
        <v>1</v>
      </c>
    </row>
    <row r="4" spans="1:18" x14ac:dyDescent="0.3">
      <c r="A4" t="s">
        <v>40</v>
      </c>
      <c r="B4" t="str">
        <f>DATA!R4</f>
        <v>1 Star</v>
      </c>
      <c r="D4" s="8" t="s">
        <v>56</v>
      </c>
      <c r="E4">
        <v>24</v>
      </c>
      <c r="G4">
        <v>69</v>
      </c>
      <c r="H4">
        <f>DATA!C4</f>
        <v>519</v>
      </c>
    </row>
    <row r="5" spans="1:18" x14ac:dyDescent="0.3">
      <c r="A5" t="s">
        <v>40</v>
      </c>
      <c r="B5" t="str">
        <f>DATA!R5</f>
        <v>1 Star</v>
      </c>
      <c r="D5" s="8" t="s">
        <v>57</v>
      </c>
      <c r="E5">
        <v>22</v>
      </c>
      <c r="G5">
        <v>59</v>
      </c>
      <c r="H5">
        <f>DATA!C5</f>
        <v>516</v>
      </c>
    </row>
    <row r="6" spans="1:18" x14ac:dyDescent="0.3">
      <c r="A6" t="s">
        <v>42</v>
      </c>
      <c r="B6" t="str">
        <f>DATA!R6</f>
        <v>3 Star</v>
      </c>
      <c r="D6" s="8" t="s">
        <v>58</v>
      </c>
      <c r="E6">
        <v>18</v>
      </c>
      <c r="G6">
        <v>21</v>
      </c>
      <c r="H6">
        <f>DATA!C6</f>
        <v>659</v>
      </c>
      <c r="J6" t="s">
        <v>63</v>
      </c>
    </row>
    <row r="7" spans="1:18" ht="15" thickBot="1" x14ac:dyDescent="0.35">
      <c r="A7" t="s">
        <v>39</v>
      </c>
      <c r="B7" t="str">
        <f>DATA!R7</f>
        <v>5 Star</v>
      </c>
      <c r="D7" s="8" t="s">
        <v>59</v>
      </c>
      <c r="E7">
        <v>23</v>
      </c>
      <c r="G7">
        <v>34</v>
      </c>
      <c r="H7">
        <f>DATA!C7</f>
        <v>777</v>
      </c>
    </row>
    <row r="8" spans="1:18" x14ac:dyDescent="0.3">
      <c r="A8" t="s">
        <v>41</v>
      </c>
      <c r="B8" t="str">
        <f>DATA!R8</f>
        <v>1 Star</v>
      </c>
      <c r="D8" s="7" t="s">
        <v>40</v>
      </c>
      <c r="E8">
        <v>125</v>
      </c>
      <c r="G8">
        <v>81</v>
      </c>
      <c r="H8">
        <f>DATA!C8</f>
        <v>432</v>
      </c>
      <c r="J8" s="15" t="s">
        <v>64</v>
      </c>
      <c r="K8" s="15"/>
    </row>
    <row r="9" spans="1:18" x14ac:dyDescent="0.3">
      <c r="A9" t="s">
        <v>41</v>
      </c>
      <c r="B9" t="str">
        <f>DATA!R9</f>
        <v>4 Star</v>
      </c>
      <c r="D9" s="8" t="s">
        <v>55</v>
      </c>
      <c r="E9">
        <v>49</v>
      </c>
      <c r="G9">
        <v>82</v>
      </c>
      <c r="H9">
        <f>DATA!C9</f>
        <v>741</v>
      </c>
      <c r="J9" t="s">
        <v>65</v>
      </c>
      <c r="K9" s="4">
        <v>5.0991837763757132E-2</v>
      </c>
      <c r="L9" s="4"/>
      <c r="M9" s="4"/>
      <c r="N9" s="4"/>
      <c r="O9" s="4"/>
      <c r="P9" s="4"/>
      <c r="Q9" s="4"/>
      <c r="R9" s="4"/>
    </row>
    <row r="10" spans="1:18" x14ac:dyDescent="0.3">
      <c r="A10" t="s">
        <v>39</v>
      </c>
      <c r="B10" t="str">
        <f>DATA!R10</f>
        <v>2 Star</v>
      </c>
      <c r="D10" s="8" t="s">
        <v>56</v>
      </c>
      <c r="E10">
        <v>20</v>
      </c>
      <c r="G10">
        <v>31</v>
      </c>
      <c r="H10">
        <f>DATA!C10</f>
        <v>570</v>
      </c>
      <c r="J10" s="2" t="s">
        <v>66</v>
      </c>
      <c r="K10" s="22">
        <v>2.6001675185253282E-3</v>
      </c>
      <c r="L10" s="4"/>
      <c r="M10" s="4"/>
      <c r="N10" s="4"/>
      <c r="O10" s="4"/>
      <c r="P10" s="4"/>
      <c r="Q10" s="4"/>
      <c r="R10" s="4"/>
    </row>
    <row r="11" spans="1:18" x14ac:dyDescent="0.3">
      <c r="A11" t="s">
        <v>40</v>
      </c>
      <c r="B11" t="str">
        <f>DATA!R11</f>
        <v>3 Star</v>
      </c>
      <c r="D11" s="8" t="s">
        <v>57</v>
      </c>
      <c r="E11">
        <v>26</v>
      </c>
      <c r="G11">
        <v>56</v>
      </c>
      <c r="H11">
        <f>DATA!C11</f>
        <v>671</v>
      </c>
      <c r="J11" t="s">
        <v>67</v>
      </c>
      <c r="K11" s="4">
        <v>5.9332680930706953E-4</v>
      </c>
      <c r="L11" s="4"/>
      <c r="M11" s="4"/>
      <c r="N11" s="4"/>
      <c r="O11" s="4"/>
      <c r="P11" s="4"/>
      <c r="Q11" s="4"/>
      <c r="R11" s="4"/>
    </row>
    <row r="12" spans="1:18" x14ac:dyDescent="0.3">
      <c r="A12" t="s">
        <v>42</v>
      </c>
      <c r="B12" t="str">
        <f>DATA!R12</f>
        <v>1 Star</v>
      </c>
      <c r="D12" s="8" t="s">
        <v>58</v>
      </c>
      <c r="E12">
        <v>14</v>
      </c>
      <c r="G12">
        <v>22</v>
      </c>
      <c r="H12">
        <f>DATA!C12</f>
        <v>519</v>
      </c>
      <c r="J12" t="s">
        <v>68</v>
      </c>
      <c r="K12" s="4">
        <v>137.67999239440095</v>
      </c>
      <c r="L12" s="4"/>
      <c r="M12" s="4"/>
      <c r="N12" s="4"/>
      <c r="O12" s="4"/>
      <c r="P12" s="4"/>
      <c r="Q12" s="4"/>
      <c r="R12" s="4"/>
    </row>
    <row r="13" spans="1:18" ht="15" thickBot="1" x14ac:dyDescent="0.35">
      <c r="A13" t="s">
        <v>42</v>
      </c>
      <c r="B13" t="str">
        <f>DATA!R13</f>
        <v>3 Star</v>
      </c>
      <c r="D13" s="8" t="s">
        <v>59</v>
      </c>
      <c r="E13">
        <v>16</v>
      </c>
      <c r="G13">
        <v>21</v>
      </c>
      <c r="H13">
        <f>DATA!C13</f>
        <v>672</v>
      </c>
      <c r="J13" s="13" t="s">
        <v>69</v>
      </c>
      <c r="K13" s="16">
        <v>499</v>
      </c>
      <c r="L13" s="4"/>
      <c r="M13" s="4"/>
      <c r="N13" s="4"/>
      <c r="O13" s="4"/>
      <c r="P13" s="4"/>
      <c r="Q13" s="4"/>
      <c r="R13" s="4"/>
    </row>
    <row r="14" spans="1:18" x14ac:dyDescent="0.3">
      <c r="A14" t="s">
        <v>39</v>
      </c>
      <c r="B14" t="str">
        <f>DATA!R14</f>
        <v>1 Star</v>
      </c>
      <c r="D14" s="7" t="s">
        <v>41</v>
      </c>
      <c r="E14">
        <v>144</v>
      </c>
      <c r="G14">
        <v>37</v>
      </c>
      <c r="H14">
        <f>DATA!C14</f>
        <v>464</v>
      </c>
      <c r="K14" s="4"/>
      <c r="L14" s="4"/>
      <c r="M14" s="4"/>
      <c r="N14" s="4"/>
      <c r="O14" s="4"/>
      <c r="P14" s="4"/>
      <c r="Q14" s="4"/>
      <c r="R14" s="4"/>
    </row>
    <row r="15" spans="1:18" ht="15" thickBot="1" x14ac:dyDescent="0.35">
      <c r="A15" t="s">
        <v>39</v>
      </c>
      <c r="B15" t="str">
        <f>DATA!R15</f>
        <v>3 Star</v>
      </c>
      <c r="D15" s="8" t="s">
        <v>55</v>
      </c>
      <c r="E15">
        <v>59</v>
      </c>
      <c r="G15">
        <v>34</v>
      </c>
      <c r="H15">
        <f>DATA!C15</f>
        <v>698</v>
      </c>
      <c r="J15" t="s">
        <v>70</v>
      </c>
      <c r="K15" s="4"/>
      <c r="L15" s="4"/>
      <c r="M15" s="4"/>
      <c r="N15" s="4"/>
      <c r="O15" s="4"/>
      <c r="P15" s="4"/>
      <c r="Q15" s="4"/>
      <c r="R15" s="4"/>
    </row>
    <row r="16" spans="1:18" x14ac:dyDescent="0.3">
      <c r="A16" t="s">
        <v>41</v>
      </c>
      <c r="B16" t="str">
        <f>DATA!R16</f>
        <v>3 Star</v>
      </c>
      <c r="D16" s="8" t="s">
        <v>56</v>
      </c>
      <c r="E16">
        <v>21</v>
      </c>
      <c r="G16">
        <v>89</v>
      </c>
      <c r="H16">
        <f>DATA!C16</f>
        <v>684</v>
      </c>
      <c r="J16" s="14"/>
      <c r="K16" s="32" t="s">
        <v>75</v>
      </c>
      <c r="L16" s="32" t="s">
        <v>76</v>
      </c>
      <c r="M16" s="32" t="s">
        <v>77</v>
      </c>
      <c r="N16" s="32" t="s">
        <v>78</v>
      </c>
      <c r="O16" s="32" t="s">
        <v>79</v>
      </c>
      <c r="P16" s="4"/>
      <c r="Q16" s="4"/>
      <c r="R16" s="4"/>
    </row>
    <row r="17" spans="1:18" x14ac:dyDescent="0.3">
      <c r="A17" t="s">
        <v>39</v>
      </c>
      <c r="B17" t="str">
        <f>DATA!R17</f>
        <v>2 Star</v>
      </c>
      <c r="D17" s="8" t="s">
        <v>57</v>
      </c>
      <c r="E17">
        <v>26</v>
      </c>
      <c r="G17">
        <v>42</v>
      </c>
      <c r="H17">
        <f>DATA!C17</f>
        <v>579</v>
      </c>
      <c r="J17" t="s">
        <v>71</v>
      </c>
      <c r="K17" s="4">
        <v>1</v>
      </c>
      <c r="L17" s="4">
        <v>24560.097875650972</v>
      </c>
      <c r="M17" s="4">
        <v>24560.097875650972</v>
      </c>
      <c r="N17" s="4">
        <v>1.2956521693932512</v>
      </c>
      <c r="O17" s="4">
        <v>0.25555732960998606</v>
      </c>
      <c r="P17" s="4"/>
      <c r="Q17" s="4"/>
      <c r="R17" s="4"/>
    </row>
    <row r="18" spans="1:18" x14ac:dyDescent="0.3">
      <c r="A18" t="s">
        <v>42</v>
      </c>
      <c r="B18" t="str">
        <f>DATA!R18</f>
        <v>2 Star</v>
      </c>
      <c r="D18" s="8" t="s">
        <v>58</v>
      </c>
      <c r="E18">
        <v>17</v>
      </c>
      <c r="G18">
        <v>29</v>
      </c>
      <c r="H18">
        <f>DATA!C18</f>
        <v>569</v>
      </c>
      <c r="J18" t="s">
        <v>72</v>
      </c>
      <c r="K18" s="4">
        <v>497</v>
      </c>
      <c r="L18" s="4">
        <v>9421022.8119439855</v>
      </c>
      <c r="M18" s="4">
        <v>18955.780305722306</v>
      </c>
      <c r="N18" s="4"/>
      <c r="O18" s="4"/>
      <c r="P18" s="4"/>
      <c r="Q18" s="4"/>
      <c r="R18" s="4"/>
    </row>
    <row r="19" spans="1:18" ht="15" thickBot="1" x14ac:dyDescent="0.35">
      <c r="A19" t="s">
        <v>39</v>
      </c>
      <c r="B19" t="str">
        <f>DATA!R19</f>
        <v>2 Star</v>
      </c>
      <c r="D19" s="8" t="s">
        <v>59</v>
      </c>
      <c r="E19">
        <v>21</v>
      </c>
      <c r="G19">
        <v>40</v>
      </c>
      <c r="H19">
        <f>DATA!C19</f>
        <v>596</v>
      </c>
      <c r="J19" s="13" t="s">
        <v>73</v>
      </c>
      <c r="K19" s="16">
        <v>498</v>
      </c>
      <c r="L19" s="16">
        <v>9445582.9098196365</v>
      </c>
      <c r="M19" s="16"/>
      <c r="N19" s="16"/>
      <c r="O19" s="16"/>
      <c r="P19" s="4"/>
      <c r="Q19" s="4"/>
      <c r="R19" s="4"/>
    </row>
    <row r="20" spans="1:18" ht="15" thickBot="1" x14ac:dyDescent="0.35">
      <c r="A20" t="s">
        <v>41</v>
      </c>
      <c r="B20" t="str">
        <f>DATA!R20</f>
        <v>1 Star</v>
      </c>
      <c r="D20" s="7" t="s">
        <v>42</v>
      </c>
      <c r="E20">
        <v>94</v>
      </c>
      <c r="G20">
        <v>78</v>
      </c>
      <c r="H20">
        <f>DATA!C20</f>
        <v>450</v>
      </c>
      <c r="K20" s="4"/>
      <c r="L20" s="4"/>
      <c r="M20" s="4"/>
      <c r="N20" s="4"/>
      <c r="O20" s="4"/>
      <c r="P20" s="4"/>
      <c r="Q20" s="4"/>
      <c r="R20" s="4"/>
    </row>
    <row r="21" spans="1:18" x14ac:dyDescent="0.3">
      <c r="A21" t="s">
        <v>42</v>
      </c>
      <c r="B21" t="str">
        <f>DATA!R21</f>
        <v>5 Star</v>
      </c>
      <c r="D21" s="8" t="s">
        <v>55</v>
      </c>
      <c r="E21">
        <v>32</v>
      </c>
      <c r="G21">
        <v>20</v>
      </c>
      <c r="H21">
        <f>DATA!C21</f>
        <v>765</v>
      </c>
      <c r="J21" s="14"/>
      <c r="K21" s="33" t="s">
        <v>80</v>
      </c>
      <c r="L21" s="32" t="s">
        <v>68</v>
      </c>
      <c r="M21" s="32" t="s">
        <v>81</v>
      </c>
      <c r="N21" s="33" t="s">
        <v>82</v>
      </c>
      <c r="O21" s="32" t="s">
        <v>83</v>
      </c>
      <c r="P21" s="32" t="s">
        <v>84</v>
      </c>
      <c r="Q21" s="32" t="s">
        <v>85</v>
      </c>
      <c r="R21" s="32" t="s">
        <v>86</v>
      </c>
    </row>
    <row r="22" spans="1:18" x14ac:dyDescent="0.3">
      <c r="A22" t="s">
        <v>42</v>
      </c>
      <c r="B22" t="str">
        <f>DATA!R22</f>
        <v>2 Star</v>
      </c>
      <c r="D22" s="8" t="s">
        <v>56</v>
      </c>
      <c r="E22">
        <v>15</v>
      </c>
      <c r="G22">
        <v>26</v>
      </c>
      <c r="H22">
        <f>DATA!C22</f>
        <v>571</v>
      </c>
      <c r="J22" s="2" t="s">
        <v>74</v>
      </c>
      <c r="K22" s="22">
        <v>609.17840320884147</v>
      </c>
      <c r="L22" s="4">
        <v>16.5465453699445</v>
      </c>
      <c r="M22" s="4">
        <v>36.816047675750262</v>
      </c>
      <c r="N22" s="4">
        <v>4.2882929765063217E-144</v>
      </c>
      <c r="O22" s="4">
        <v>576.66860113273015</v>
      </c>
      <c r="P22" s="4">
        <v>641.6882052849528</v>
      </c>
      <c r="Q22" s="4">
        <v>576.66860113273015</v>
      </c>
      <c r="R22" s="4">
        <v>641.6882052849528</v>
      </c>
    </row>
    <row r="23" spans="1:18" ht="15" thickBot="1" x14ac:dyDescent="0.35">
      <c r="A23" t="s">
        <v>41</v>
      </c>
      <c r="B23" t="str">
        <f>DATA!R23</f>
        <v>2 Star</v>
      </c>
      <c r="D23" s="8" t="s">
        <v>57</v>
      </c>
      <c r="E23">
        <v>22</v>
      </c>
      <c r="G23">
        <v>90</v>
      </c>
      <c r="H23">
        <f>DATA!C23</f>
        <v>528</v>
      </c>
      <c r="J23" s="13" t="s">
        <v>5</v>
      </c>
      <c r="K23" s="27">
        <v>-0.32301396938048571</v>
      </c>
      <c r="L23" s="16">
        <v>0.28377693349482602</v>
      </c>
      <c r="M23" s="16">
        <v>-1.1382671783870519</v>
      </c>
      <c r="N23" s="20">
        <v>0.25555732960999172</v>
      </c>
      <c r="O23" s="16">
        <v>-0.88056430604713842</v>
      </c>
      <c r="P23" s="16">
        <v>0.23453636728616706</v>
      </c>
      <c r="Q23" s="16">
        <v>-0.88056430604713842</v>
      </c>
      <c r="R23" s="16">
        <v>0.23453636728616706</v>
      </c>
    </row>
    <row r="24" spans="1:18" x14ac:dyDescent="0.3">
      <c r="A24" t="s">
        <v>40</v>
      </c>
      <c r="B24" t="str">
        <f>DATA!R24</f>
        <v>1 Star</v>
      </c>
      <c r="D24" s="8" t="s">
        <v>58</v>
      </c>
      <c r="E24">
        <v>9</v>
      </c>
      <c r="G24">
        <v>56</v>
      </c>
      <c r="H24">
        <f>DATA!C24</f>
        <v>524</v>
      </c>
    </row>
    <row r="25" spans="1:18" x14ac:dyDescent="0.3">
      <c r="A25" t="s">
        <v>40</v>
      </c>
      <c r="B25" t="str">
        <f>DATA!R25</f>
        <v>1 Star</v>
      </c>
      <c r="D25" s="8" t="s">
        <v>59</v>
      </c>
      <c r="E25">
        <v>16</v>
      </c>
      <c r="G25">
        <v>70</v>
      </c>
      <c r="H25">
        <f>DATA!C25</f>
        <v>443</v>
      </c>
    </row>
    <row r="26" spans="1:18" x14ac:dyDescent="0.3">
      <c r="A26" t="s">
        <v>41</v>
      </c>
      <c r="B26" t="str">
        <f>DATA!R26</f>
        <v>1 Star</v>
      </c>
      <c r="D26" s="7" t="s">
        <v>35</v>
      </c>
      <c r="E26">
        <v>499</v>
      </c>
      <c r="G26">
        <v>81</v>
      </c>
      <c r="H26">
        <f>DATA!C26</f>
        <v>464</v>
      </c>
    </row>
    <row r="27" spans="1:18" x14ac:dyDescent="0.3">
      <c r="A27" t="s">
        <v>39</v>
      </c>
      <c r="B27" t="str">
        <f>DATA!R27</f>
        <v>1 Star</v>
      </c>
      <c r="G27">
        <v>39</v>
      </c>
      <c r="H27">
        <f>DATA!C27</f>
        <v>511</v>
      </c>
    </row>
    <row r="28" spans="1:18" x14ac:dyDescent="0.3">
      <c r="A28" t="s">
        <v>42</v>
      </c>
      <c r="B28" t="str">
        <f>DATA!R28</f>
        <v>3 Star</v>
      </c>
      <c r="G28">
        <v>22</v>
      </c>
      <c r="H28">
        <f>DATA!C28</f>
        <v>618</v>
      </c>
    </row>
    <row r="29" spans="1:18" x14ac:dyDescent="0.3">
      <c r="A29" t="s">
        <v>39</v>
      </c>
      <c r="B29" t="str">
        <f>DATA!R29</f>
        <v>2 Star</v>
      </c>
      <c r="G29">
        <v>49</v>
      </c>
      <c r="H29">
        <f>DATA!C29</f>
        <v>574</v>
      </c>
    </row>
    <row r="30" spans="1:18" x14ac:dyDescent="0.3">
      <c r="A30" t="s">
        <v>40</v>
      </c>
      <c r="B30" t="str">
        <f>DATA!R30</f>
        <v>2 Star</v>
      </c>
      <c r="G30">
        <v>55</v>
      </c>
      <c r="H30">
        <f>DATA!C30</f>
        <v>583</v>
      </c>
    </row>
    <row r="31" spans="1:18" x14ac:dyDescent="0.3">
      <c r="A31" t="s">
        <v>42</v>
      </c>
      <c r="B31" t="str">
        <f>DATA!R31</f>
        <v>3 Star</v>
      </c>
      <c r="G31">
        <v>25</v>
      </c>
      <c r="H31">
        <f>DATA!C31</f>
        <v>686</v>
      </c>
    </row>
    <row r="32" spans="1:18" x14ac:dyDescent="0.3">
      <c r="A32" t="s">
        <v>39</v>
      </c>
      <c r="B32" t="str">
        <f>DATA!R32</f>
        <v>1 Star</v>
      </c>
      <c r="G32">
        <v>40</v>
      </c>
      <c r="H32">
        <f>DATA!C32</f>
        <v>416</v>
      </c>
    </row>
    <row r="33" spans="1:8" x14ac:dyDescent="0.3">
      <c r="A33" t="s">
        <v>40</v>
      </c>
      <c r="B33" t="str">
        <f>DATA!R33</f>
        <v>5 Star</v>
      </c>
      <c r="G33">
        <v>60</v>
      </c>
      <c r="H33">
        <f>DATA!C33</f>
        <v>806</v>
      </c>
    </row>
    <row r="34" spans="1:8" x14ac:dyDescent="0.3">
      <c r="A34" t="s">
        <v>41</v>
      </c>
      <c r="B34" t="str">
        <f>DATA!R34</f>
        <v>5 Star</v>
      </c>
      <c r="G34">
        <v>77</v>
      </c>
      <c r="H34">
        <f>DATA!C34</f>
        <v>849</v>
      </c>
    </row>
    <row r="35" spans="1:8" x14ac:dyDescent="0.3">
      <c r="A35" t="s">
        <v>41</v>
      </c>
      <c r="B35" t="str">
        <f>DATA!R35</f>
        <v>1 Star</v>
      </c>
      <c r="G35">
        <v>72</v>
      </c>
      <c r="H35">
        <f>DATA!C35</f>
        <v>475</v>
      </c>
    </row>
    <row r="36" spans="1:8" x14ac:dyDescent="0.3">
      <c r="A36" t="s">
        <v>41</v>
      </c>
      <c r="B36" t="str">
        <f>DATA!R36</f>
        <v>1 Star</v>
      </c>
      <c r="G36">
        <v>91</v>
      </c>
      <c r="H36">
        <f>DATA!C36</f>
        <v>488</v>
      </c>
    </row>
    <row r="37" spans="1:8" x14ac:dyDescent="0.3">
      <c r="A37" t="s">
        <v>40</v>
      </c>
      <c r="B37" t="str">
        <f>DATA!R37</f>
        <v>1 Star</v>
      </c>
      <c r="G37">
        <v>69</v>
      </c>
      <c r="H37">
        <f>DATA!C37</f>
        <v>462</v>
      </c>
    </row>
    <row r="38" spans="1:8" x14ac:dyDescent="0.3">
      <c r="A38" t="s">
        <v>39</v>
      </c>
      <c r="B38" t="str">
        <f>DATA!R38</f>
        <v>2 Star</v>
      </c>
      <c r="G38">
        <v>41</v>
      </c>
      <c r="H38">
        <f>DATA!C38</f>
        <v>568</v>
      </c>
    </row>
    <row r="39" spans="1:8" x14ac:dyDescent="0.3">
      <c r="A39" t="s">
        <v>39</v>
      </c>
      <c r="B39" t="str">
        <f>DATA!R39</f>
        <v>1 Star</v>
      </c>
      <c r="G39">
        <v>43</v>
      </c>
      <c r="H39">
        <f>DATA!C39</f>
        <v>505</v>
      </c>
    </row>
    <row r="40" spans="1:8" x14ac:dyDescent="0.3">
      <c r="A40" t="s">
        <v>41</v>
      </c>
      <c r="B40" t="str">
        <f>DATA!R40</f>
        <v>2 Star</v>
      </c>
      <c r="G40">
        <v>75</v>
      </c>
      <c r="H40">
        <f>DATA!C40</f>
        <v>534</v>
      </c>
    </row>
    <row r="41" spans="1:8" x14ac:dyDescent="0.3">
      <c r="A41" t="s">
        <v>41</v>
      </c>
      <c r="B41" t="str">
        <f>DATA!R41</f>
        <v>1 Star</v>
      </c>
      <c r="G41">
        <v>87</v>
      </c>
      <c r="H41">
        <f>DATA!C41</f>
        <v>470</v>
      </c>
    </row>
    <row r="42" spans="1:8" x14ac:dyDescent="0.3">
      <c r="A42" t="s">
        <v>40</v>
      </c>
      <c r="B42" t="str">
        <f>DATA!R42</f>
        <v>3 Star</v>
      </c>
      <c r="G42">
        <v>63</v>
      </c>
      <c r="H42">
        <f>DATA!C42</f>
        <v>671</v>
      </c>
    </row>
    <row r="43" spans="1:8" x14ac:dyDescent="0.3">
      <c r="A43" t="s">
        <v>40</v>
      </c>
      <c r="B43" t="str">
        <f>DATA!R43</f>
        <v>5 Star</v>
      </c>
      <c r="G43">
        <v>69</v>
      </c>
      <c r="H43">
        <f>DATA!C43</f>
        <v>798</v>
      </c>
    </row>
    <row r="44" spans="1:8" x14ac:dyDescent="0.3">
      <c r="A44" t="s">
        <v>41</v>
      </c>
      <c r="B44" t="str">
        <f>DATA!R44</f>
        <v>2 Star</v>
      </c>
      <c r="G44">
        <v>77</v>
      </c>
      <c r="H44">
        <f>DATA!C44</f>
        <v>547</v>
      </c>
    </row>
    <row r="45" spans="1:8" x14ac:dyDescent="0.3">
      <c r="A45" t="s">
        <v>40</v>
      </c>
      <c r="B45" t="str">
        <f>DATA!R45</f>
        <v>3 Star</v>
      </c>
      <c r="G45">
        <v>62</v>
      </c>
      <c r="H45">
        <f>DATA!C45</f>
        <v>694</v>
      </c>
    </row>
    <row r="46" spans="1:8" x14ac:dyDescent="0.3">
      <c r="A46" t="s">
        <v>39</v>
      </c>
      <c r="B46" t="str">
        <f>DATA!R46</f>
        <v>3 Star</v>
      </c>
      <c r="G46">
        <v>44</v>
      </c>
      <c r="H46">
        <f>DATA!C46</f>
        <v>640</v>
      </c>
    </row>
    <row r="47" spans="1:8" x14ac:dyDescent="0.3">
      <c r="A47" t="s">
        <v>40</v>
      </c>
      <c r="B47" t="str">
        <f>DATA!R47</f>
        <v>5 Star</v>
      </c>
      <c r="G47">
        <v>61</v>
      </c>
      <c r="H47">
        <f>DATA!C47</f>
        <v>813</v>
      </c>
    </row>
    <row r="48" spans="1:8" x14ac:dyDescent="0.3">
      <c r="A48" t="s">
        <v>39</v>
      </c>
      <c r="B48" t="str">
        <f>DATA!R48</f>
        <v>1 Star</v>
      </c>
      <c r="G48">
        <v>50</v>
      </c>
      <c r="H48">
        <f>DATA!C48</f>
        <v>353</v>
      </c>
    </row>
    <row r="49" spans="1:8" x14ac:dyDescent="0.3">
      <c r="A49" t="s">
        <v>39</v>
      </c>
      <c r="B49" t="str">
        <f>DATA!R49</f>
        <v>2 Star</v>
      </c>
      <c r="G49">
        <v>48</v>
      </c>
      <c r="H49">
        <f>DATA!C49</f>
        <v>538</v>
      </c>
    </row>
    <row r="50" spans="1:8" x14ac:dyDescent="0.3">
      <c r="A50" t="s">
        <v>39</v>
      </c>
      <c r="B50" t="str">
        <f>DATA!R50</f>
        <v>2 Star</v>
      </c>
      <c r="G50">
        <v>32</v>
      </c>
      <c r="H50">
        <f>DATA!C50</f>
        <v>588</v>
      </c>
    </row>
    <row r="51" spans="1:8" x14ac:dyDescent="0.3">
      <c r="A51" t="s">
        <v>41</v>
      </c>
      <c r="B51" t="str">
        <f>DATA!R51</f>
        <v>1 Star</v>
      </c>
      <c r="G51">
        <v>89</v>
      </c>
      <c r="H51">
        <f>DATA!C51</f>
        <v>515</v>
      </c>
    </row>
    <row r="52" spans="1:8" x14ac:dyDescent="0.3">
      <c r="A52" t="s">
        <v>41</v>
      </c>
      <c r="B52" t="str">
        <f>DATA!R52</f>
        <v>1 Star</v>
      </c>
      <c r="G52">
        <v>79</v>
      </c>
      <c r="H52">
        <f>DATA!C52</f>
        <v>521</v>
      </c>
    </row>
    <row r="53" spans="1:8" x14ac:dyDescent="0.3">
      <c r="A53" t="s">
        <v>42</v>
      </c>
      <c r="B53" t="str">
        <f>DATA!R53</f>
        <v>2 Star</v>
      </c>
      <c r="G53">
        <v>19</v>
      </c>
      <c r="H53">
        <f>DATA!C53</f>
        <v>561</v>
      </c>
    </row>
    <row r="54" spans="1:8" x14ac:dyDescent="0.3">
      <c r="A54" t="s">
        <v>40</v>
      </c>
      <c r="B54" t="str">
        <f>DATA!R54</f>
        <v>3 Star</v>
      </c>
      <c r="G54">
        <v>65</v>
      </c>
      <c r="H54">
        <f>DATA!C54</f>
        <v>694</v>
      </c>
    </row>
    <row r="55" spans="1:8" x14ac:dyDescent="0.3">
      <c r="A55" t="s">
        <v>40</v>
      </c>
      <c r="B55" t="str">
        <f>DATA!R55</f>
        <v>1 Star</v>
      </c>
      <c r="G55">
        <v>61</v>
      </c>
      <c r="H55">
        <f>DATA!C55</f>
        <v>420</v>
      </c>
    </row>
    <row r="56" spans="1:8" x14ac:dyDescent="0.3">
      <c r="A56" t="s">
        <v>39</v>
      </c>
      <c r="B56" t="str">
        <f>DATA!R56</f>
        <v>1 Star</v>
      </c>
      <c r="G56">
        <v>33</v>
      </c>
      <c r="H56">
        <f>DATA!C56</f>
        <v>498</v>
      </c>
    </row>
    <row r="57" spans="1:8" x14ac:dyDescent="0.3">
      <c r="A57" t="s">
        <v>41</v>
      </c>
      <c r="B57" t="str">
        <f>DATA!R57</f>
        <v>4 Star</v>
      </c>
      <c r="G57">
        <v>86</v>
      </c>
      <c r="H57">
        <f>DATA!C57</f>
        <v>740</v>
      </c>
    </row>
    <row r="58" spans="1:8" x14ac:dyDescent="0.3">
      <c r="A58" t="s">
        <v>40</v>
      </c>
      <c r="B58" t="str">
        <f>DATA!R58</f>
        <v>3 Star</v>
      </c>
      <c r="G58">
        <v>57</v>
      </c>
      <c r="H58">
        <f>DATA!C58</f>
        <v>634</v>
      </c>
    </row>
    <row r="59" spans="1:8" x14ac:dyDescent="0.3">
      <c r="A59" t="s">
        <v>42</v>
      </c>
      <c r="B59" t="str">
        <f>DATA!R59</f>
        <v>1 Star</v>
      </c>
      <c r="G59">
        <v>18</v>
      </c>
      <c r="H59">
        <f>DATA!C59</f>
        <v>465</v>
      </c>
    </row>
    <row r="60" spans="1:8" x14ac:dyDescent="0.3">
      <c r="A60" t="s">
        <v>41</v>
      </c>
      <c r="B60" t="str">
        <f>DATA!R60</f>
        <v>4 Star</v>
      </c>
      <c r="G60">
        <v>76</v>
      </c>
      <c r="H60">
        <f>DATA!C60</f>
        <v>740</v>
      </c>
    </row>
    <row r="61" spans="1:8" x14ac:dyDescent="0.3">
      <c r="A61" t="s">
        <v>42</v>
      </c>
      <c r="B61" t="str">
        <f>DATA!R61</f>
        <v>3 Star</v>
      </c>
      <c r="G61">
        <v>30</v>
      </c>
      <c r="H61">
        <f>DATA!C61</f>
        <v>672</v>
      </c>
    </row>
    <row r="62" spans="1:8" x14ac:dyDescent="0.3">
      <c r="A62" t="s">
        <v>40</v>
      </c>
      <c r="B62" t="str">
        <f>DATA!R62</f>
        <v>1 Star</v>
      </c>
      <c r="G62">
        <v>61</v>
      </c>
      <c r="H62">
        <f>DATA!C62</f>
        <v>442</v>
      </c>
    </row>
    <row r="63" spans="1:8" x14ac:dyDescent="0.3">
      <c r="A63" t="s">
        <v>41</v>
      </c>
      <c r="B63" t="str">
        <f>DATA!R63</f>
        <v>5 Star</v>
      </c>
      <c r="G63">
        <v>72</v>
      </c>
      <c r="H63">
        <f>DATA!C63</f>
        <v>826</v>
      </c>
    </row>
    <row r="64" spans="1:8" x14ac:dyDescent="0.3">
      <c r="A64" t="s">
        <v>40</v>
      </c>
      <c r="B64" t="str">
        <f>DATA!R64</f>
        <v>1 Star</v>
      </c>
      <c r="G64">
        <v>65</v>
      </c>
      <c r="H64">
        <f>DATA!C64</f>
        <v>452</v>
      </c>
    </row>
    <row r="65" spans="1:8" x14ac:dyDescent="0.3">
      <c r="A65" t="s">
        <v>39</v>
      </c>
      <c r="B65" t="str">
        <f>DATA!R65</f>
        <v>4 Star</v>
      </c>
      <c r="G65">
        <v>40</v>
      </c>
      <c r="H65">
        <f>DATA!C65</f>
        <v>707</v>
      </c>
    </row>
    <row r="66" spans="1:8" x14ac:dyDescent="0.3">
      <c r="A66" t="s">
        <v>39</v>
      </c>
      <c r="B66" t="str">
        <f>DATA!R66</f>
        <v>4 Star</v>
      </c>
      <c r="G66">
        <v>49</v>
      </c>
      <c r="H66">
        <f>DATA!C66</f>
        <v>729</v>
      </c>
    </row>
    <row r="67" spans="1:8" x14ac:dyDescent="0.3">
      <c r="A67" t="s">
        <v>40</v>
      </c>
      <c r="B67" t="str">
        <f>DATA!R67</f>
        <v>2 Star</v>
      </c>
      <c r="G67">
        <v>52</v>
      </c>
      <c r="H67">
        <f>DATA!C67</f>
        <v>547</v>
      </c>
    </row>
    <row r="68" spans="1:8" x14ac:dyDescent="0.3">
      <c r="A68" t="s">
        <v>40</v>
      </c>
      <c r="B68" t="str">
        <f>DATA!R68</f>
        <v>1 Star</v>
      </c>
      <c r="G68">
        <v>60</v>
      </c>
      <c r="H68">
        <f>DATA!C68</f>
        <v>459</v>
      </c>
    </row>
    <row r="69" spans="1:8" x14ac:dyDescent="0.3">
      <c r="A69" t="s">
        <v>41</v>
      </c>
      <c r="B69" t="str">
        <f>DATA!R69</f>
        <v>3 Star</v>
      </c>
      <c r="G69">
        <v>86</v>
      </c>
      <c r="H69">
        <f>DATA!C69</f>
        <v>679</v>
      </c>
    </row>
    <row r="70" spans="1:8" x14ac:dyDescent="0.3">
      <c r="A70" t="s">
        <v>40</v>
      </c>
      <c r="B70" t="str">
        <f>DATA!R70</f>
        <v>2 Star</v>
      </c>
      <c r="G70">
        <v>54</v>
      </c>
      <c r="H70">
        <f>DATA!C70</f>
        <v>532</v>
      </c>
    </row>
    <row r="71" spans="1:8" x14ac:dyDescent="0.3">
      <c r="A71" t="s">
        <v>40</v>
      </c>
      <c r="B71" t="str">
        <f>DATA!R71</f>
        <v>3 Star</v>
      </c>
      <c r="G71">
        <v>62</v>
      </c>
      <c r="H71">
        <f>DATA!C71</f>
        <v>683</v>
      </c>
    </row>
    <row r="72" spans="1:8" x14ac:dyDescent="0.3">
      <c r="A72" t="s">
        <v>41</v>
      </c>
      <c r="B72" t="str">
        <f>DATA!R72</f>
        <v>5 Star</v>
      </c>
      <c r="G72">
        <v>88</v>
      </c>
      <c r="H72">
        <f>DATA!C72</f>
        <v>755</v>
      </c>
    </row>
    <row r="73" spans="1:8" x14ac:dyDescent="0.3">
      <c r="A73" t="s">
        <v>42</v>
      </c>
      <c r="B73" t="str">
        <f>DATA!R73</f>
        <v>1 Star</v>
      </c>
      <c r="G73">
        <v>24</v>
      </c>
      <c r="H73">
        <f>DATA!C73</f>
        <v>509</v>
      </c>
    </row>
    <row r="74" spans="1:8" x14ac:dyDescent="0.3">
      <c r="A74" t="s">
        <v>40</v>
      </c>
      <c r="B74" t="str">
        <f>DATA!R74</f>
        <v>1 Star</v>
      </c>
      <c r="G74">
        <v>66</v>
      </c>
      <c r="H74">
        <f>DATA!C74</f>
        <v>431</v>
      </c>
    </row>
    <row r="75" spans="1:8" x14ac:dyDescent="0.3">
      <c r="A75" t="s">
        <v>42</v>
      </c>
      <c r="B75" t="str">
        <f>DATA!R75</f>
        <v>1 Star</v>
      </c>
      <c r="G75">
        <v>27</v>
      </c>
      <c r="H75">
        <f>DATA!C75</f>
        <v>385</v>
      </c>
    </row>
    <row r="76" spans="1:8" x14ac:dyDescent="0.3">
      <c r="A76" t="s">
        <v>39</v>
      </c>
      <c r="B76" t="str">
        <f>DATA!R76</f>
        <v>2 Star</v>
      </c>
      <c r="G76">
        <v>46</v>
      </c>
      <c r="H76">
        <f>DATA!C76</f>
        <v>587</v>
      </c>
    </row>
    <row r="77" spans="1:8" x14ac:dyDescent="0.3">
      <c r="A77" t="s">
        <v>41</v>
      </c>
      <c r="B77" t="str">
        <f>DATA!R77</f>
        <v>2 Star</v>
      </c>
      <c r="G77">
        <v>74</v>
      </c>
      <c r="H77">
        <f>DATA!C77</f>
        <v>593</v>
      </c>
    </row>
    <row r="78" spans="1:8" x14ac:dyDescent="0.3">
      <c r="A78" t="s">
        <v>42</v>
      </c>
      <c r="B78" t="str">
        <f>DATA!R78</f>
        <v>2 Star</v>
      </c>
      <c r="G78">
        <v>27</v>
      </c>
      <c r="H78">
        <f>DATA!C78</f>
        <v>600</v>
      </c>
    </row>
    <row r="79" spans="1:8" x14ac:dyDescent="0.3">
      <c r="A79" t="s">
        <v>41</v>
      </c>
      <c r="B79" t="str">
        <f>DATA!R79</f>
        <v>4 Star</v>
      </c>
      <c r="G79">
        <v>84</v>
      </c>
      <c r="H79">
        <f>DATA!C79</f>
        <v>742</v>
      </c>
    </row>
    <row r="80" spans="1:8" x14ac:dyDescent="0.3">
      <c r="A80" t="s">
        <v>42</v>
      </c>
      <c r="B80" t="str">
        <f>DATA!R80</f>
        <v>3 Star</v>
      </c>
      <c r="G80">
        <v>27</v>
      </c>
      <c r="H80">
        <f>DATA!C80</f>
        <v>604</v>
      </c>
    </row>
    <row r="81" spans="1:8" x14ac:dyDescent="0.3">
      <c r="A81" t="s">
        <v>40</v>
      </c>
      <c r="B81" t="str">
        <f>DATA!R81</f>
        <v>3 Star</v>
      </c>
      <c r="G81">
        <v>54</v>
      </c>
      <c r="H81">
        <f>DATA!C81</f>
        <v>631</v>
      </c>
    </row>
    <row r="82" spans="1:8" x14ac:dyDescent="0.3">
      <c r="A82" t="s">
        <v>39</v>
      </c>
      <c r="B82" t="str">
        <f>DATA!R82</f>
        <v>1 Star</v>
      </c>
      <c r="G82">
        <v>46</v>
      </c>
      <c r="H82">
        <f>DATA!C82</f>
        <v>371</v>
      </c>
    </row>
    <row r="83" spans="1:8" x14ac:dyDescent="0.3">
      <c r="A83" t="s">
        <v>41</v>
      </c>
      <c r="B83" t="str">
        <f>DATA!R83</f>
        <v>5 Star</v>
      </c>
      <c r="G83">
        <v>82</v>
      </c>
      <c r="H83">
        <f>DATA!C83</f>
        <v>779</v>
      </c>
    </row>
    <row r="84" spans="1:8" x14ac:dyDescent="0.3">
      <c r="A84" t="s">
        <v>39</v>
      </c>
      <c r="B84" t="str">
        <f>DATA!R84</f>
        <v>2 Star</v>
      </c>
      <c r="G84">
        <v>31</v>
      </c>
      <c r="H84">
        <f>DATA!C84</f>
        <v>579</v>
      </c>
    </row>
    <row r="85" spans="1:8" x14ac:dyDescent="0.3">
      <c r="A85" t="s">
        <v>42</v>
      </c>
      <c r="B85" t="str">
        <f>DATA!R85</f>
        <v>5 Star</v>
      </c>
      <c r="G85">
        <v>20</v>
      </c>
      <c r="H85">
        <f>DATA!C85</f>
        <v>820</v>
      </c>
    </row>
    <row r="86" spans="1:8" x14ac:dyDescent="0.3">
      <c r="A86" t="s">
        <v>40</v>
      </c>
      <c r="B86" t="str">
        <f>DATA!R86</f>
        <v>4 Star</v>
      </c>
      <c r="G86">
        <v>55</v>
      </c>
      <c r="H86">
        <f>DATA!C86</f>
        <v>750</v>
      </c>
    </row>
    <row r="87" spans="1:8" x14ac:dyDescent="0.3">
      <c r="A87" t="s">
        <v>41</v>
      </c>
      <c r="B87" t="str">
        <f>DATA!R87</f>
        <v>1 Star</v>
      </c>
      <c r="G87">
        <v>89</v>
      </c>
      <c r="H87">
        <f>DATA!C87</f>
        <v>503</v>
      </c>
    </row>
    <row r="88" spans="1:8" x14ac:dyDescent="0.3">
      <c r="A88" t="s">
        <v>42</v>
      </c>
      <c r="B88" t="str">
        <f>DATA!R88</f>
        <v>5 Star</v>
      </c>
      <c r="G88">
        <v>21</v>
      </c>
      <c r="H88">
        <f>DATA!C88</f>
        <v>844</v>
      </c>
    </row>
    <row r="89" spans="1:8" x14ac:dyDescent="0.3">
      <c r="A89" t="s">
        <v>40</v>
      </c>
      <c r="B89" t="str">
        <f>DATA!R89</f>
        <v>1 Star</v>
      </c>
      <c r="G89">
        <v>68</v>
      </c>
      <c r="H89">
        <f>DATA!C89</f>
        <v>469</v>
      </c>
    </row>
    <row r="90" spans="1:8" x14ac:dyDescent="0.3">
      <c r="A90" t="s">
        <v>41</v>
      </c>
      <c r="B90" t="str">
        <f>DATA!R90</f>
        <v>1 Star</v>
      </c>
      <c r="G90">
        <v>79</v>
      </c>
      <c r="H90">
        <f>DATA!C90</f>
        <v>515</v>
      </c>
    </row>
    <row r="91" spans="1:8" x14ac:dyDescent="0.3">
      <c r="A91" t="s">
        <v>39</v>
      </c>
      <c r="B91" t="str">
        <f>DATA!R91</f>
        <v>4 Star</v>
      </c>
      <c r="G91">
        <v>46</v>
      </c>
      <c r="H91">
        <f>DATA!C91</f>
        <v>733</v>
      </c>
    </row>
    <row r="92" spans="1:8" x14ac:dyDescent="0.3">
      <c r="A92" t="s">
        <v>40</v>
      </c>
      <c r="B92" t="str">
        <f>DATA!R92</f>
        <v>4 Star</v>
      </c>
      <c r="G92">
        <v>53</v>
      </c>
      <c r="H92">
        <f>DATA!C92</f>
        <v>735</v>
      </c>
    </row>
    <row r="93" spans="1:8" x14ac:dyDescent="0.3">
      <c r="A93" t="s">
        <v>41</v>
      </c>
      <c r="B93" t="str">
        <f>DATA!R93</f>
        <v>4 Star</v>
      </c>
      <c r="G93">
        <v>71</v>
      </c>
      <c r="H93">
        <f>DATA!C93</f>
        <v>739</v>
      </c>
    </row>
    <row r="94" spans="1:8" x14ac:dyDescent="0.3">
      <c r="A94" t="s">
        <v>39</v>
      </c>
      <c r="B94" t="str">
        <f>DATA!R94</f>
        <v>2 Star</v>
      </c>
      <c r="G94">
        <v>44</v>
      </c>
      <c r="H94">
        <f>DATA!C94</f>
        <v>548</v>
      </c>
    </row>
    <row r="95" spans="1:8" x14ac:dyDescent="0.3">
      <c r="A95" t="s">
        <v>40</v>
      </c>
      <c r="B95" t="str">
        <f>DATA!R95</f>
        <v>4 Star</v>
      </c>
      <c r="G95">
        <v>60</v>
      </c>
      <c r="H95">
        <f>DATA!C95</f>
        <v>746</v>
      </c>
    </row>
    <row r="96" spans="1:8" x14ac:dyDescent="0.3">
      <c r="A96" t="s">
        <v>40</v>
      </c>
      <c r="B96" t="str">
        <f>DATA!R96</f>
        <v>3 Star</v>
      </c>
      <c r="G96">
        <v>64</v>
      </c>
      <c r="H96">
        <f>DATA!C96</f>
        <v>696</v>
      </c>
    </row>
    <row r="97" spans="1:8" x14ac:dyDescent="0.3">
      <c r="A97" t="s">
        <v>41</v>
      </c>
      <c r="B97" t="str">
        <f>DATA!R97</f>
        <v>1 Star</v>
      </c>
      <c r="G97">
        <v>87</v>
      </c>
      <c r="H97">
        <f>DATA!C97</f>
        <v>424</v>
      </c>
    </row>
    <row r="98" spans="1:8" x14ac:dyDescent="0.3">
      <c r="A98" t="s">
        <v>39</v>
      </c>
      <c r="B98" t="str">
        <f>DATA!R98</f>
        <v>5 Star</v>
      </c>
      <c r="G98">
        <v>46</v>
      </c>
      <c r="H98">
        <f>DATA!C98</f>
        <v>788</v>
      </c>
    </row>
    <row r="99" spans="1:8" x14ac:dyDescent="0.3">
      <c r="A99" t="s">
        <v>40</v>
      </c>
      <c r="B99" t="str">
        <f>DATA!R99</f>
        <v>1 Star</v>
      </c>
      <c r="G99">
        <v>61</v>
      </c>
      <c r="H99">
        <f>DATA!C99</f>
        <v>428</v>
      </c>
    </row>
    <row r="100" spans="1:8" x14ac:dyDescent="0.3">
      <c r="A100" t="s">
        <v>41</v>
      </c>
      <c r="B100" t="str">
        <f>DATA!R100</f>
        <v>3 Star</v>
      </c>
      <c r="G100">
        <v>80</v>
      </c>
      <c r="H100">
        <f>DATA!C100</f>
        <v>668</v>
      </c>
    </row>
    <row r="101" spans="1:8" x14ac:dyDescent="0.3">
      <c r="A101" t="s">
        <v>42</v>
      </c>
      <c r="B101" t="str">
        <f>DATA!R101</f>
        <v>1 Star</v>
      </c>
      <c r="G101">
        <v>27</v>
      </c>
      <c r="H101">
        <f>DATA!C101</f>
        <v>422</v>
      </c>
    </row>
    <row r="102" spans="1:8" x14ac:dyDescent="0.3">
      <c r="A102" t="s">
        <v>40</v>
      </c>
      <c r="B102" t="str">
        <f>DATA!R102</f>
        <v>2 Star</v>
      </c>
      <c r="G102">
        <v>56</v>
      </c>
      <c r="H102">
        <f>DATA!C102</f>
        <v>549</v>
      </c>
    </row>
    <row r="103" spans="1:8" x14ac:dyDescent="0.3">
      <c r="A103" t="s">
        <v>39</v>
      </c>
      <c r="B103" t="str">
        <f>DATA!R103</f>
        <v>3 Star</v>
      </c>
      <c r="G103">
        <v>49</v>
      </c>
      <c r="H103">
        <f>DATA!C103</f>
        <v>651</v>
      </c>
    </row>
    <row r="104" spans="1:8" x14ac:dyDescent="0.3">
      <c r="A104" t="s">
        <v>39</v>
      </c>
      <c r="B104" t="str">
        <f>DATA!R104</f>
        <v>1 Star</v>
      </c>
      <c r="G104">
        <v>40</v>
      </c>
      <c r="H104">
        <f>DATA!C104</f>
        <v>483</v>
      </c>
    </row>
    <row r="105" spans="1:8" x14ac:dyDescent="0.3">
      <c r="A105" t="s">
        <v>41</v>
      </c>
      <c r="B105" t="str">
        <f>DATA!R105</f>
        <v>1 Star</v>
      </c>
      <c r="G105">
        <v>75</v>
      </c>
      <c r="H105">
        <f>DATA!C105</f>
        <v>397</v>
      </c>
    </row>
    <row r="106" spans="1:8" x14ac:dyDescent="0.3">
      <c r="A106" t="s">
        <v>39</v>
      </c>
      <c r="B106" t="str">
        <f>DATA!R106</f>
        <v>2 Star</v>
      </c>
      <c r="G106">
        <v>39</v>
      </c>
      <c r="H106">
        <f>DATA!C106</f>
        <v>537</v>
      </c>
    </row>
    <row r="107" spans="1:8" x14ac:dyDescent="0.3">
      <c r="A107" t="s">
        <v>41</v>
      </c>
      <c r="B107" t="str">
        <f>DATA!R107</f>
        <v>1 Star</v>
      </c>
      <c r="G107">
        <v>79</v>
      </c>
      <c r="H107">
        <f>DATA!C107</f>
        <v>520</v>
      </c>
    </row>
    <row r="108" spans="1:8" x14ac:dyDescent="0.3">
      <c r="A108" t="s">
        <v>40</v>
      </c>
      <c r="B108" t="str">
        <f>DATA!R108</f>
        <v>5 Star</v>
      </c>
      <c r="G108">
        <v>59</v>
      </c>
      <c r="H108">
        <f>DATA!C108</f>
        <v>801</v>
      </c>
    </row>
    <row r="109" spans="1:8" x14ac:dyDescent="0.3">
      <c r="A109" t="s">
        <v>40</v>
      </c>
      <c r="B109" t="str">
        <f>DATA!R109</f>
        <v>1 Star</v>
      </c>
      <c r="G109">
        <v>59</v>
      </c>
      <c r="H109">
        <f>DATA!C109</f>
        <v>488</v>
      </c>
    </row>
    <row r="110" spans="1:8" x14ac:dyDescent="0.3">
      <c r="A110" t="s">
        <v>39</v>
      </c>
      <c r="B110" t="str">
        <f>DATA!R110</f>
        <v>2 Star</v>
      </c>
      <c r="G110">
        <v>41</v>
      </c>
      <c r="H110">
        <f>DATA!C110</f>
        <v>592</v>
      </c>
    </row>
    <row r="111" spans="1:8" x14ac:dyDescent="0.3">
      <c r="A111" t="s">
        <v>40</v>
      </c>
      <c r="B111" t="str">
        <f>DATA!R111</f>
        <v>3 Star</v>
      </c>
      <c r="G111">
        <v>70</v>
      </c>
      <c r="H111">
        <f>DATA!C111</f>
        <v>663</v>
      </c>
    </row>
    <row r="112" spans="1:8" x14ac:dyDescent="0.3">
      <c r="A112" t="s">
        <v>39</v>
      </c>
      <c r="B112" t="str">
        <f>DATA!R112</f>
        <v>5 Star</v>
      </c>
      <c r="G112">
        <v>41</v>
      </c>
      <c r="H112">
        <f>DATA!C112</f>
        <v>825</v>
      </c>
    </row>
    <row r="113" spans="1:8" x14ac:dyDescent="0.3">
      <c r="A113" t="s">
        <v>41</v>
      </c>
      <c r="B113" t="str">
        <f>DATA!R113</f>
        <v>3 Star</v>
      </c>
      <c r="G113">
        <v>90</v>
      </c>
      <c r="H113">
        <f>DATA!C113</f>
        <v>695</v>
      </c>
    </row>
    <row r="114" spans="1:8" x14ac:dyDescent="0.3">
      <c r="A114" t="s">
        <v>40</v>
      </c>
      <c r="B114" t="str">
        <f>DATA!R114</f>
        <v>4 Star</v>
      </c>
      <c r="G114">
        <v>59</v>
      </c>
      <c r="H114">
        <f>DATA!C114</f>
        <v>737</v>
      </c>
    </row>
    <row r="115" spans="1:8" x14ac:dyDescent="0.3">
      <c r="A115" t="s">
        <v>41</v>
      </c>
      <c r="B115" t="str">
        <f>DATA!R115</f>
        <v>1 Star</v>
      </c>
      <c r="G115">
        <v>78</v>
      </c>
      <c r="H115">
        <f>DATA!C115</f>
        <v>475</v>
      </c>
    </row>
    <row r="116" spans="1:8" x14ac:dyDescent="0.3">
      <c r="A116" t="s">
        <v>40</v>
      </c>
      <c r="B116" t="str">
        <f>DATA!R116</f>
        <v>2 Star</v>
      </c>
      <c r="G116">
        <v>65</v>
      </c>
      <c r="H116">
        <f>DATA!C116</f>
        <v>556</v>
      </c>
    </row>
    <row r="117" spans="1:8" x14ac:dyDescent="0.3">
      <c r="A117" t="s">
        <v>39</v>
      </c>
      <c r="B117" t="str">
        <f>DATA!R117</f>
        <v>3 Star</v>
      </c>
      <c r="G117">
        <v>33</v>
      </c>
      <c r="H117">
        <f>DATA!C117</f>
        <v>688</v>
      </c>
    </row>
    <row r="118" spans="1:8" x14ac:dyDescent="0.3">
      <c r="A118" t="s">
        <v>40</v>
      </c>
      <c r="B118" t="str">
        <f>DATA!R118</f>
        <v>2 Star</v>
      </c>
      <c r="G118">
        <v>54</v>
      </c>
      <c r="H118">
        <f>DATA!C118</f>
        <v>547</v>
      </c>
    </row>
    <row r="119" spans="1:8" x14ac:dyDescent="0.3">
      <c r="A119" t="s">
        <v>41</v>
      </c>
      <c r="B119" t="str">
        <f>DATA!R119</f>
        <v>2 Star</v>
      </c>
      <c r="G119">
        <v>83</v>
      </c>
      <c r="H119">
        <f>DATA!C119</f>
        <v>536</v>
      </c>
    </row>
    <row r="120" spans="1:8" x14ac:dyDescent="0.3">
      <c r="A120" t="s">
        <v>40</v>
      </c>
      <c r="B120" t="str">
        <f>DATA!R120</f>
        <v>4 Star</v>
      </c>
      <c r="G120">
        <v>60</v>
      </c>
      <c r="H120">
        <f>DATA!C120</f>
        <v>738</v>
      </c>
    </row>
    <row r="121" spans="1:8" x14ac:dyDescent="0.3">
      <c r="A121" t="s">
        <v>42</v>
      </c>
      <c r="B121" t="str">
        <f>DATA!R121</f>
        <v>1 Star</v>
      </c>
      <c r="G121">
        <v>18</v>
      </c>
      <c r="H121">
        <f>DATA!C121</f>
        <v>367</v>
      </c>
    </row>
    <row r="122" spans="1:8" x14ac:dyDescent="0.3">
      <c r="A122" t="s">
        <v>42</v>
      </c>
      <c r="B122" t="str">
        <f>DATA!R122</f>
        <v>2 Star</v>
      </c>
      <c r="G122">
        <v>24</v>
      </c>
      <c r="H122">
        <f>DATA!C122</f>
        <v>547</v>
      </c>
    </row>
    <row r="123" spans="1:8" x14ac:dyDescent="0.3">
      <c r="A123" t="s">
        <v>41</v>
      </c>
      <c r="B123" t="str">
        <f>DATA!R123</f>
        <v>5 Star</v>
      </c>
      <c r="G123">
        <v>85</v>
      </c>
      <c r="H123">
        <f>DATA!C123</f>
        <v>797</v>
      </c>
    </row>
    <row r="124" spans="1:8" x14ac:dyDescent="0.3">
      <c r="A124" t="s">
        <v>39</v>
      </c>
      <c r="B124" t="str">
        <f>DATA!R124</f>
        <v>3 Star</v>
      </c>
      <c r="G124">
        <v>49</v>
      </c>
      <c r="H124">
        <f>DATA!C124</f>
        <v>700</v>
      </c>
    </row>
    <row r="125" spans="1:8" x14ac:dyDescent="0.3">
      <c r="A125" t="s">
        <v>39</v>
      </c>
      <c r="B125" t="str">
        <f>DATA!R125</f>
        <v>1 Star</v>
      </c>
      <c r="G125">
        <v>47</v>
      </c>
      <c r="H125">
        <f>DATA!C125</f>
        <v>502</v>
      </c>
    </row>
    <row r="126" spans="1:8" x14ac:dyDescent="0.3">
      <c r="A126" t="s">
        <v>39</v>
      </c>
      <c r="B126" t="str">
        <f>DATA!R126</f>
        <v>1 Star</v>
      </c>
      <c r="G126">
        <v>34</v>
      </c>
      <c r="H126">
        <f>DATA!C126</f>
        <v>481</v>
      </c>
    </row>
    <row r="127" spans="1:8" x14ac:dyDescent="0.3">
      <c r="A127" t="s">
        <v>41</v>
      </c>
      <c r="B127" t="str">
        <f>DATA!R127</f>
        <v>3 Star</v>
      </c>
      <c r="G127">
        <v>85</v>
      </c>
      <c r="H127">
        <f>DATA!C127</f>
        <v>675</v>
      </c>
    </row>
    <row r="128" spans="1:8" x14ac:dyDescent="0.3">
      <c r="A128" t="s">
        <v>39</v>
      </c>
      <c r="B128" t="str">
        <f>DATA!R128</f>
        <v>5 Star</v>
      </c>
      <c r="G128">
        <v>44</v>
      </c>
      <c r="H128">
        <f>DATA!C128</f>
        <v>774</v>
      </c>
    </row>
    <row r="129" spans="1:8" x14ac:dyDescent="0.3">
      <c r="A129" t="s">
        <v>42</v>
      </c>
      <c r="B129" t="str">
        <f>DATA!R129</f>
        <v>1 Star</v>
      </c>
      <c r="G129">
        <v>24</v>
      </c>
      <c r="H129">
        <f>DATA!C129</f>
        <v>514</v>
      </c>
    </row>
    <row r="130" spans="1:8" x14ac:dyDescent="0.3">
      <c r="A130" t="s">
        <v>42</v>
      </c>
      <c r="B130" t="str">
        <f>DATA!R130</f>
        <v>1 Star</v>
      </c>
      <c r="G130">
        <v>29</v>
      </c>
      <c r="H130">
        <f>DATA!C130</f>
        <v>408</v>
      </c>
    </row>
    <row r="131" spans="1:8" x14ac:dyDescent="0.3">
      <c r="A131" t="s">
        <v>41</v>
      </c>
      <c r="B131" t="str">
        <f>DATA!R131</f>
        <v>2 Star</v>
      </c>
      <c r="G131">
        <v>73</v>
      </c>
      <c r="H131">
        <f>DATA!C131</f>
        <v>527</v>
      </c>
    </row>
    <row r="132" spans="1:8" x14ac:dyDescent="0.3">
      <c r="A132" t="s">
        <v>40</v>
      </c>
      <c r="B132" t="str">
        <f>DATA!R132</f>
        <v>5 Star</v>
      </c>
      <c r="G132">
        <v>61</v>
      </c>
      <c r="H132">
        <f>DATA!C132</f>
        <v>789</v>
      </c>
    </row>
    <row r="133" spans="1:8" x14ac:dyDescent="0.3">
      <c r="A133" t="s">
        <v>41</v>
      </c>
      <c r="B133" t="str">
        <f>DATA!R133</f>
        <v>1 Star</v>
      </c>
      <c r="G133">
        <v>85</v>
      </c>
      <c r="H133">
        <f>DATA!C133</f>
        <v>502</v>
      </c>
    </row>
    <row r="134" spans="1:8" x14ac:dyDescent="0.3">
      <c r="A134" t="s">
        <v>39</v>
      </c>
      <c r="B134" t="str">
        <f>DATA!R134</f>
        <v>1 Star</v>
      </c>
      <c r="G134">
        <v>38</v>
      </c>
      <c r="H134">
        <f>DATA!C134</f>
        <v>511</v>
      </c>
    </row>
    <row r="135" spans="1:8" x14ac:dyDescent="0.3">
      <c r="A135" t="s">
        <v>39</v>
      </c>
      <c r="B135" t="str">
        <f>DATA!R135</f>
        <v>5 Star</v>
      </c>
      <c r="G135">
        <v>32</v>
      </c>
      <c r="H135">
        <f>DATA!C135</f>
        <v>752</v>
      </c>
    </row>
    <row r="136" spans="1:8" x14ac:dyDescent="0.3">
      <c r="A136" t="s">
        <v>39</v>
      </c>
      <c r="B136" t="str">
        <f>DATA!R136</f>
        <v>4 Star</v>
      </c>
      <c r="G136">
        <v>32</v>
      </c>
      <c r="H136">
        <f>DATA!C136</f>
        <v>703</v>
      </c>
    </row>
    <row r="137" spans="1:8" x14ac:dyDescent="0.3">
      <c r="A137" t="s">
        <v>41</v>
      </c>
      <c r="B137" t="str">
        <f>DATA!R137</f>
        <v>5 Star</v>
      </c>
      <c r="G137">
        <v>81</v>
      </c>
      <c r="H137">
        <f>DATA!C137</f>
        <v>812</v>
      </c>
    </row>
    <row r="138" spans="1:8" x14ac:dyDescent="0.3">
      <c r="A138" t="s">
        <v>40</v>
      </c>
      <c r="B138" t="str">
        <f>DATA!R138</f>
        <v>2 Star</v>
      </c>
      <c r="G138">
        <v>61</v>
      </c>
      <c r="H138">
        <f>DATA!C138</f>
        <v>591</v>
      </c>
    </row>
    <row r="139" spans="1:8" x14ac:dyDescent="0.3">
      <c r="A139" t="s">
        <v>39</v>
      </c>
      <c r="B139" t="str">
        <f>DATA!R139</f>
        <v>1 Star</v>
      </c>
      <c r="G139">
        <v>45</v>
      </c>
      <c r="H139">
        <f>DATA!C139</f>
        <v>485</v>
      </c>
    </row>
    <row r="140" spans="1:8" x14ac:dyDescent="0.3">
      <c r="A140" t="s">
        <v>39</v>
      </c>
      <c r="B140" t="str">
        <f>DATA!R140</f>
        <v>5 Star</v>
      </c>
      <c r="G140">
        <v>38</v>
      </c>
      <c r="H140">
        <f>DATA!C140</f>
        <v>787</v>
      </c>
    </row>
    <row r="141" spans="1:8" x14ac:dyDescent="0.3">
      <c r="A141" t="s">
        <v>39</v>
      </c>
      <c r="B141" t="str">
        <f>DATA!R141</f>
        <v>2 Star</v>
      </c>
      <c r="G141">
        <v>41</v>
      </c>
      <c r="H141">
        <f>DATA!C141</f>
        <v>585</v>
      </c>
    </row>
    <row r="142" spans="1:8" x14ac:dyDescent="0.3">
      <c r="A142" t="s">
        <v>40</v>
      </c>
      <c r="B142" t="str">
        <f>DATA!R142</f>
        <v>1 Star</v>
      </c>
      <c r="G142">
        <v>52</v>
      </c>
      <c r="H142">
        <f>DATA!C142</f>
        <v>396</v>
      </c>
    </row>
    <row r="143" spans="1:8" x14ac:dyDescent="0.3">
      <c r="A143" t="s">
        <v>39</v>
      </c>
      <c r="B143" t="str">
        <f>DATA!R143</f>
        <v>5 Star</v>
      </c>
      <c r="G143">
        <v>50</v>
      </c>
      <c r="H143">
        <f>DATA!C143</f>
        <v>846</v>
      </c>
    </row>
    <row r="144" spans="1:8" x14ac:dyDescent="0.3">
      <c r="A144" t="s">
        <v>41</v>
      </c>
      <c r="B144" t="str">
        <f>DATA!R144</f>
        <v>1 Star</v>
      </c>
      <c r="G144">
        <v>83</v>
      </c>
      <c r="H144">
        <f>DATA!C144</f>
        <v>477</v>
      </c>
    </row>
    <row r="145" spans="1:8" x14ac:dyDescent="0.3">
      <c r="A145" t="s">
        <v>39</v>
      </c>
      <c r="B145" t="str">
        <f>DATA!R145</f>
        <v>5 Star</v>
      </c>
      <c r="G145">
        <v>40</v>
      </c>
      <c r="H145">
        <f>DATA!C145</f>
        <v>767</v>
      </c>
    </row>
    <row r="146" spans="1:8" x14ac:dyDescent="0.3">
      <c r="A146" t="s">
        <v>39</v>
      </c>
      <c r="B146" t="str">
        <f>DATA!R146</f>
        <v>3 Star</v>
      </c>
      <c r="G146">
        <v>39</v>
      </c>
      <c r="H146">
        <f>DATA!C146</f>
        <v>687</v>
      </c>
    </row>
    <row r="147" spans="1:8" x14ac:dyDescent="0.3">
      <c r="A147" t="s">
        <v>41</v>
      </c>
      <c r="B147" t="str">
        <f>DATA!R147</f>
        <v>1 Star</v>
      </c>
      <c r="G147">
        <v>75</v>
      </c>
      <c r="H147">
        <f>DATA!C147</f>
        <v>507</v>
      </c>
    </row>
    <row r="148" spans="1:8" x14ac:dyDescent="0.3">
      <c r="A148" t="s">
        <v>41</v>
      </c>
      <c r="B148" t="str">
        <f>DATA!R148</f>
        <v>1 Star</v>
      </c>
      <c r="G148">
        <v>86</v>
      </c>
      <c r="H148">
        <f>DATA!C148</f>
        <v>362</v>
      </c>
    </row>
    <row r="149" spans="1:8" x14ac:dyDescent="0.3">
      <c r="A149" t="s">
        <v>40</v>
      </c>
      <c r="B149" t="str">
        <f>DATA!R149</f>
        <v>1 Star</v>
      </c>
      <c r="G149">
        <v>63</v>
      </c>
      <c r="H149">
        <f>DATA!C149</f>
        <v>468</v>
      </c>
    </row>
    <row r="150" spans="1:8" x14ac:dyDescent="0.3">
      <c r="A150" t="s">
        <v>40</v>
      </c>
      <c r="B150" t="str">
        <f>DATA!R150</f>
        <v>3 Star</v>
      </c>
      <c r="G150">
        <v>57</v>
      </c>
      <c r="H150">
        <f>DATA!C150</f>
        <v>652</v>
      </c>
    </row>
    <row r="151" spans="1:8" x14ac:dyDescent="0.3">
      <c r="A151" t="s">
        <v>39</v>
      </c>
      <c r="B151" t="str">
        <f>DATA!R151</f>
        <v>4 Star</v>
      </c>
      <c r="G151">
        <v>42</v>
      </c>
      <c r="H151">
        <f>DATA!C151</f>
        <v>724</v>
      </c>
    </row>
    <row r="152" spans="1:8" x14ac:dyDescent="0.3">
      <c r="A152" t="s">
        <v>39</v>
      </c>
      <c r="B152" t="str">
        <f>DATA!R152</f>
        <v>3 Star</v>
      </c>
      <c r="G152">
        <v>35</v>
      </c>
      <c r="H152">
        <f>DATA!C152</f>
        <v>638</v>
      </c>
    </row>
    <row r="153" spans="1:8" x14ac:dyDescent="0.3">
      <c r="A153" t="s">
        <v>40</v>
      </c>
      <c r="B153" t="str">
        <f>DATA!R153</f>
        <v>3 Star</v>
      </c>
      <c r="G153">
        <v>70</v>
      </c>
      <c r="H153">
        <f>DATA!C153</f>
        <v>640</v>
      </c>
    </row>
    <row r="154" spans="1:8" x14ac:dyDescent="0.3">
      <c r="A154" t="s">
        <v>42</v>
      </c>
      <c r="B154" t="str">
        <f>DATA!R154</f>
        <v>1 Star</v>
      </c>
      <c r="G154">
        <v>26</v>
      </c>
      <c r="H154">
        <f>DATA!C154</f>
        <v>465</v>
      </c>
    </row>
    <row r="155" spans="1:8" x14ac:dyDescent="0.3">
      <c r="A155" t="s">
        <v>42</v>
      </c>
      <c r="B155" t="str">
        <f>DATA!R155</f>
        <v>1 Star</v>
      </c>
      <c r="G155">
        <v>23</v>
      </c>
      <c r="H155">
        <f>DATA!C155</f>
        <v>437</v>
      </c>
    </row>
    <row r="156" spans="1:8" x14ac:dyDescent="0.3">
      <c r="A156" t="s">
        <v>42</v>
      </c>
      <c r="B156" t="str">
        <f>DATA!R156</f>
        <v>1 Star</v>
      </c>
      <c r="G156">
        <v>28</v>
      </c>
      <c r="H156">
        <f>DATA!C156</f>
        <v>474</v>
      </c>
    </row>
    <row r="157" spans="1:8" x14ac:dyDescent="0.3">
      <c r="A157" t="s">
        <v>41</v>
      </c>
      <c r="B157" t="str">
        <f>DATA!R157</f>
        <v>5 Star</v>
      </c>
      <c r="G157">
        <v>80</v>
      </c>
      <c r="H157">
        <f>DATA!C157</f>
        <v>759</v>
      </c>
    </row>
    <row r="158" spans="1:8" x14ac:dyDescent="0.3">
      <c r="A158" t="s">
        <v>39</v>
      </c>
      <c r="B158" t="str">
        <f>DATA!R158</f>
        <v>1 Star</v>
      </c>
      <c r="G158">
        <v>47</v>
      </c>
      <c r="H158">
        <f>DATA!C158</f>
        <v>524</v>
      </c>
    </row>
    <row r="159" spans="1:8" x14ac:dyDescent="0.3">
      <c r="A159" t="s">
        <v>42</v>
      </c>
      <c r="B159" t="str">
        <f>DATA!R159</f>
        <v>5 Star</v>
      </c>
      <c r="G159">
        <v>29</v>
      </c>
      <c r="H159">
        <f>DATA!C159</f>
        <v>848</v>
      </c>
    </row>
    <row r="160" spans="1:8" x14ac:dyDescent="0.3">
      <c r="A160" t="s">
        <v>39</v>
      </c>
      <c r="B160" t="str">
        <f>DATA!R160</f>
        <v>4 Star</v>
      </c>
      <c r="G160">
        <v>48</v>
      </c>
      <c r="H160">
        <f>DATA!C160</f>
        <v>713</v>
      </c>
    </row>
    <row r="161" spans="1:8" x14ac:dyDescent="0.3">
      <c r="A161" t="s">
        <v>41</v>
      </c>
      <c r="B161" t="str">
        <f>DATA!R161</f>
        <v>1 Star</v>
      </c>
      <c r="G161">
        <v>89</v>
      </c>
      <c r="H161">
        <f>DATA!C161</f>
        <v>402</v>
      </c>
    </row>
    <row r="162" spans="1:8" x14ac:dyDescent="0.3">
      <c r="A162" t="s">
        <v>41</v>
      </c>
      <c r="B162" t="str">
        <f>DATA!R162</f>
        <v>5 Star</v>
      </c>
      <c r="G162">
        <v>76</v>
      </c>
      <c r="H162">
        <f>DATA!C162</f>
        <v>839</v>
      </c>
    </row>
    <row r="163" spans="1:8" x14ac:dyDescent="0.3">
      <c r="A163" t="s">
        <v>40</v>
      </c>
      <c r="B163" t="str">
        <f>DATA!R163</f>
        <v>1 Star</v>
      </c>
      <c r="G163">
        <v>60</v>
      </c>
      <c r="H163">
        <f>DATA!C163</f>
        <v>460</v>
      </c>
    </row>
    <row r="164" spans="1:8" x14ac:dyDescent="0.3">
      <c r="A164" t="s">
        <v>41</v>
      </c>
      <c r="B164" t="str">
        <f>DATA!R164</f>
        <v>1 Star</v>
      </c>
      <c r="G164">
        <v>89</v>
      </c>
      <c r="H164">
        <f>DATA!C164</f>
        <v>414</v>
      </c>
    </row>
    <row r="165" spans="1:8" x14ac:dyDescent="0.3">
      <c r="A165" t="s">
        <v>39</v>
      </c>
      <c r="B165" t="str">
        <f>DATA!R165</f>
        <v>3 Star</v>
      </c>
      <c r="G165">
        <v>43</v>
      </c>
      <c r="H165">
        <f>DATA!C165</f>
        <v>682</v>
      </c>
    </row>
    <row r="166" spans="1:8" x14ac:dyDescent="0.3">
      <c r="A166" t="s">
        <v>41</v>
      </c>
      <c r="B166" t="str">
        <f>DATA!R166</f>
        <v>4 Star</v>
      </c>
      <c r="G166">
        <v>72</v>
      </c>
      <c r="H166">
        <f>DATA!C166</f>
        <v>724</v>
      </c>
    </row>
    <row r="167" spans="1:8" x14ac:dyDescent="0.3">
      <c r="A167" t="s">
        <v>39</v>
      </c>
      <c r="B167" t="str">
        <f>DATA!R167</f>
        <v>1 Star</v>
      </c>
      <c r="G167">
        <v>43</v>
      </c>
      <c r="H167">
        <f>DATA!C167</f>
        <v>423</v>
      </c>
    </row>
    <row r="168" spans="1:8" x14ac:dyDescent="0.3">
      <c r="A168" t="s">
        <v>40</v>
      </c>
      <c r="B168" t="str">
        <f>DATA!R168</f>
        <v>1 Star</v>
      </c>
      <c r="G168">
        <v>63</v>
      </c>
      <c r="H168">
        <f>DATA!C168</f>
        <v>496</v>
      </c>
    </row>
    <row r="169" spans="1:8" x14ac:dyDescent="0.3">
      <c r="A169" t="s">
        <v>42</v>
      </c>
      <c r="B169" t="str">
        <f>DATA!R169</f>
        <v>3 Star</v>
      </c>
      <c r="G169">
        <v>21</v>
      </c>
      <c r="H169">
        <f>DATA!C169</f>
        <v>610</v>
      </c>
    </row>
    <row r="170" spans="1:8" x14ac:dyDescent="0.3">
      <c r="A170" t="s">
        <v>40</v>
      </c>
      <c r="B170" t="str">
        <f>DATA!R170</f>
        <v>3 Star</v>
      </c>
      <c r="G170">
        <v>55</v>
      </c>
      <c r="H170">
        <f>DATA!C170</f>
        <v>613</v>
      </c>
    </row>
    <row r="171" spans="1:8" x14ac:dyDescent="0.3">
      <c r="A171" t="s">
        <v>40</v>
      </c>
      <c r="B171" t="str">
        <f>DATA!R171</f>
        <v>1 Star</v>
      </c>
      <c r="G171">
        <v>51</v>
      </c>
      <c r="H171">
        <f>DATA!C171</f>
        <v>481</v>
      </c>
    </row>
    <row r="172" spans="1:8" x14ac:dyDescent="0.3">
      <c r="A172" t="s">
        <v>41</v>
      </c>
      <c r="B172" t="str">
        <f>DATA!R172</f>
        <v>1 Star</v>
      </c>
      <c r="G172">
        <v>78</v>
      </c>
      <c r="H172">
        <f>DATA!C172</f>
        <v>398</v>
      </c>
    </row>
    <row r="173" spans="1:8" x14ac:dyDescent="0.3">
      <c r="A173" t="s">
        <v>42</v>
      </c>
      <c r="B173" t="str">
        <f>DATA!R173</f>
        <v>1 Star</v>
      </c>
      <c r="G173">
        <v>25</v>
      </c>
      <c r="H173">
        <f>DATA!C173</f>
        <v>426</v>
      </c>
    </row>
    <row r="174" spans="1:8" x14ac:dyDescent="0.3">
      <c r="A174" t="s">
        <v>41</v>
      </c>
      <c r="B174" t="str">
        <f>DATA!R174</f>
        <v>3 Star</v>
      </c>
      <c r="G174">
        <v>78</v>
      </c>
      <c r="H174">
        <f>DATA!C174</f>
        <v>643</v>
      </c>
    </row>
    <row r="175" spans="1:8" x14ac:dyDescent="0.3">
      <c r="A175" t="s">
        <v>40</v>
      </c>
      <c r="B175" t="str">
        <f>DATA!R175</f>
        <v>1 Star</v>
      </c>
      <c r="G175">
        <v>55</v>
      </c>
      <c r="H175">
        <f>DATA!C175</f>
        <v>466</v>
      </c>
    </row>
    <row r="176" spans="1:8" x14ac:dyDescent="0.3">
      <c r="A176" t="s">
        <v>39</v>
      </c>
      <c r="B176" t="str">
        <f>DATA!R176</f>
        <v>5 Star</v>
      </c>
      <c r="G176">
        <v>34</v>
      </c>
      <c r="H176">
        <f>DATA!C176</f>
        <v>843</v>
      </c>
    </row>
    <row r="177" spans="1:8" x14ac:dyDescent="0.3">
      <c r="A177" t="s">
        <v>40</v>
      </c>
      <c r="B177" t="str">
        <f>DATA!R177</f>
        <v>1 Star</v>
      </c>
      <c r="G177">
        <v>63</v>
      </c>
      <c r="H177">
        <f>DATA!C177</f>
        <v>398</v>
      </c>
    </row>
    <row r="178" spans="1:8" x14ac:dyDescent="0.3">
      <c r="A178" t="s">
        <v>40</v>
      </c>
      <c r="B178" t="str">
        <f>DATA!R178</f>
        <v>1 Star</v>
      </c>
      <c r="G178">
        <v>57</v>
      </c>
      <c r="H178">
        <f>DATA!C178</f>
        <v>459</v>
      </c>
    </row>
    <row r="179" spans="1:8" x14ac:dyDescent="0.3">
      <c r="A179" t="s">
        <v>40</v>
      </c>
      <c r="B179" t="str">
        <f>DATA!R179</f>
        <v>5 Star</v>
      </c>
      <c r="G179">
        <v>51</v>
      </c>
      <c r="H179">
        <f>DATA!C179</f>
        <v>816</v>
      </c>
    </row>
    <row r="180" spans="1:8" x14ac:dyDescent="0.3">
      <c r="A180" t="s">
        <v>41</v>
      </c>
      <c r="B180" t="str">
        <f>DATA!R180</f>
        <v>2 Star</v>
      </c>
      <c r="G180">
        <v>83</v>
      </c>
      <c r="H180">
        <f>DATA!C180</f>
        <v>529</v>
      </c>
    </row>
    <row r="181" spans="1:8" x14ac:dyDescent="0.3">
      <c r="A181" t="s">
        <v>41</v>
      </c>
      <c r="B181" t="str">
        <f>DATA!R181</f>
        <v>1 Star</v>
      </c>
      <c r="G181">
        <v>91</v>
      </c>
      <c r="H181">
        <f>DATA!C181</f>
        <v>399</v>
      </c>
    </row>
    <row r="182" spans="1:8" x14ac:dyDescent="0.3">
      <c r="A182" t="s">
        <v>41</v>
      </c>
      <c r="B182" t="str">
        <f>DATA!R182</f>
        <v>1 Star</v>
      </c>
      <c r="G182">
        <v>86</v>
      </c>
      <c r="H182">
        <f>DATA!C182</f>
        <v>421</v>
      </c>
    </row>
    <row r="183" spans="1:8" x14ac:dyDescent="0.3">
      <c r="A183" t="s">
        <v>39</v>
      </c>
      <c r="B183" t="str">
        <f>DATA!R183</f>
        <v>3 Star</v>
      </c>
      <c r="G183">
        <v>42</v>
      </c>
      <c r="H183">
        <f>DATA!C183</f>
        <v>696</v>
      </c>
    </row>
    <row r="184" spans="1:8" x14ac:dyDescent="0.3">
      <c r="A184" t="s">
        <v>42</v>
      </c>
      <c r="B184" t="str">
        <f>DATA!R184</f>
        <v>5 Star</v>
      </c>
      <c r="G184">
        <v>24</v>
      </c>
      <c r="H184">
        <f>DATA!C184</f>
        <v>783</v>
      </c>
    </row>
    <row r="185" spans="1:8" x14ac:dyDescent="0.3">
      <c r="A185" t="s">
        <v>41</v>
      </c>
      <c r="B185" t="str">
        <f>DATA!R185</f>
        <v>5 Star</v>
      </c>
      <c r="G185">
        <v>78</v>
      </c>
      <c r="H185">
        <f>DATA!C185</f>
        <v>844</v>
      </c>
    </row>
    <row r="186" spans="1:8" x14ac:dyDescent="0.3">
      <c r="A186" t="s">
        <v>41</v>
      </c>
      <c r="B186" t="str">
        <f>DATA!R186</f>
        <v>3 Star</v>
      </c>
      <c r="G186">
        <v>79</v>
      </c>
      <c r="H186">
        <f>DATA!C186</f>
        <v>635</v>
      </c>
    </row>
    <row r="187" spans="1:8" x14ac:dyDescent="0.3">
      <c r="A187" t="s">
        <v>41</v>
      </c>
      <c r="B187" t="str">
        <f>DATA!R187</f>
        <v>1 Star</v>
      </c>
      <c r="G187">
        <v>77</v>
      </c>
      <c r="H187">
        <f>DATA!C187</f>
        <v>353</v>
      </c>
    </row>
    <row r="188" spans="1:8" x14ac:dyDescent="0.3">
      <c r="A188" t="s">
        <v>39</v>
      </c>
      <c r="B188" t="str">
        <f>DATA!R188</f>
        <v>1 Star</v>
      </c>
      <c r="G188">
        <v>47</v>
      </c>
      <c r="H188">
        <f>DATA!C188</f>
        <v>424</v>
      </c>
    </row>
    <row r="189" spans="1:8" x14ac:dyDescent="0.3">
      <c r="A189" t="s">
        <v>39</v>
      </c>
      <c r="B189" t="str">
        <f>DATA!R189</f>
        <v>1 Star</v>
      </c>
      <c r="G189">
        <v>46</v>
      </c>
      <c r="H189">
        <f>DATA!C189</f>
        <v>434</v>
      </c>
    </row>
    <row r="190" spans="1:8" x14ac:dyDescent="0.3">
      <c r="A190" t="s">
        <v>39</v>
      </c>
      <c r="B190" t="str">
        <f>DATA!R190</f>
        <v>5 Star</v>
      </c>
      <c r="G190">
        <v>42</v>
      </c>
      <c r="H190">
        <f>DATA!C190</f>
        <v>840</v>
      </c>
    </row>
    <row r="191" spans="1:8" x14ac:dyDescent="0.3">
      <c r="A191" t="s">
        <v>42</v>
      </c>
      <c r="B191" t="str">
        <f>DATA!R191</f>
        <v>3 Star</v>
      </c>
      <c r="G191">
        <v>21</v>
      </c>
      <c r="H191">
        <f>DATA!C191</f>
        <v>671</v>
      </c>
    </row>
    <row r="192" spans="1:8" x14ac:dyDescent="0.3">
      <c r="A192" t="s">
        <v>39</v>
      </c>
      <c r="B192" t="str">
        <f>DATA!R192</f>
        <v>4 Star</v>
      </c>
      <c r="G192">
        <v>39</v>
      </c>
      <c r="H192">
        <f>DATA!C192</f>
        <v>725</v>
      </c>
    </row>
    <row r="193" spans="1:8" x14ac:dyDescent="0.3">
      <c r="A193" t="s">
        <v>42</v>
      </c>
      <c r="B193" t="str">
        <f>DATA!R193</f>
        <v>1 Star</v>
      </c>
      <c r="G193">
        <v>24</v>
      </c>
      <c r="H193">
        <f>DATA!C193</f>
        <v>370</v>
      </c>
    </row>
    <row r="194" spans="1:8" x14ac:dyDescent="0.3">
      <c r="A194" t="s">
        <v>39</v>
      </c>
      <c r="B194" t="str">
        <f>DATA!R194</f>
        <v>2 Star</v>
      </c>
      <c r="G194">
        <v>39</v>
      </c>
      <c r="H194">
        <f>DATA!C194</f>
        <v>558</v>
      </c>
    </row>
    <row r="195" spans="1:8" x14ac:dyDescent="0.3">
      <c r="A195" t="s">
        <v>39</v>
      </c>
      <c r="B195" t="str">
        <f>DATA!R195</f>
        <v>1 Star</v>
      </c>
      <c r="G195">
        <v>45</v>
      </c>
      <c r="H195">
        <f>DATA!C195</f>
        <v>392</v>
      </c>
    </row>
    <row r="196" spans="1:8" x14ac:dyDescent="0.3">
      <c r="A196" t="s">
        <v>39</v>
      </c>
      <c r="B196" t="str">
        <f>DATA!R196</f>
        <v>5 Star</v>
      </c>
      <c r="G196">
        <v>44</v>
      </c>
      <c r="H196">
        <f>DATA!C196</f>
        <v>848</v>
      </c>
    </row>
    <row r="197" spans="1:8" x14ac:dyDescent="0.3">
      <c r="A197" t="s">
        <v>41</v>
      </c>
      <c r="B197" t="str">
        <f>DATA!R197</f>
        <v>1 Star</v>
      </c>
      <c r="G197">
        <v>82</v>
      </c>
      <c r="H197">
        <f>DATA!C197</f>
        <v>378</v>
      </c>
    </row>
    <row r="198" spans="1:8" x14ac:dyDescent="0.3">
      <c r="A198" t="s">
        <v>42</v>
      </c>
      <c r="B198" t="str">
        <f>DATA!R198</f>
        <v>5 Star</v>
      </c>
      <c r="G198">
        <v>21</v>
      </c>
      <c r="H198">
        <f>DATA!C198</f>
        <v>760</v>
      </c>
    </row>
    <row r="199" spans="1:8" x14ac:dyDescent="0.3">
      <c r="A199" t="s">
        <v>41</v>
      </c>
      <c r="B199" t="str">
        <f>DATA!R199</f>
        <v>3 Star</v>
      </c>
      <c r="G199">
        <v>71</v>
      </c>
      <c r="H199">
        <f>DATA!C199</f>
        <v>693</v>
      </c>
    </row>
    <row r="200" spans="1:8" x14ac:dyDescent="0.3">
      <c r="A200" t="s">
        <v>40</v>
      </c>
      <c r="B200" t="str">
        <f>DATA!R200</f>
        <v>2 Star</v>
      </c>
      <c r="G200">
        <v>55</v>
      </c>
      <c r="H200">
        <f>DATA!C200</f>
        <v>530</v>
      </c>
    </row>
    <row r="201" spans="1:8" x14ac:dyDescent="0.3">
      <c r="A201" t="s">
        <v>42</v>
      </c>
      <c r="B201" t="str">
        <f>DATA!R201</f>
        <v>3 Star</v>
      </c>
      <c r="G201">
        <v>25</v>
      </c>
      <c r="H201">
        <f>DATA!C201</f>
        <v>654</v>
      </c>
    </row>
    <row r="202" spans="1:8" x14ac:dyDescent="0.3">
      <c r="A202" t="s">
        <v>42</v>
      </c>
      <c r="B202" t="str">
        <f>DATA!R202</f>
        <v>5 Star</v>
      </c>
      <c r="G202">
        <v>29</v>
      </c>
      <c r="H202">
        <f>DATA!C202</f>
        <v>800</v>
      </c>
    </row>
    <row r="203" spans="1:8" x14ac:dyDescent="0.3">
      <c r="A203" t="s">
        <v>42</v>
      </c>
      <c r="B203" t="str">
        <f>DATA!R203</f>
        <v>1 Star</v>
      </c>
      <c r="G203">
        <v>20</v>
      </c>
      <c r="H203">
        <f>DATA!C203</f>
        <v>452</v>
      </c>
    </row>
    <row r="204" spans="1:8" x14ac:dyDescent="0.3">
      <c r="A204" t="s">
        <v>41</v>
      </c>
      <c r="B204" t="str">
        <f>DATA!R204</f>
        <v>3 Star</v>
      </c>
      <c r="G204">
        <v>72</v>
      </c>
      <c r="H204">
        <f>DATA!C204</f>
        <v>615</v>
      </c>
    </row>
    <row r="205" spans="1:8" x14ac:dyDescent="0.3">
      <c r="A205" t="s">
        <v>42</v>
      </c>
      <c r="B205" t="str">
        <f>DATA!R205</f>
        <v>3 Star</v>
      </c>
      <c r="G205">
        <v>23</v>
      </c>
      <c r="H205">
        <f>DATA!C205</f>
        <v>608</v>
      </c>
    </row>
    <row r="206" spans="1:8" x14ac:dyDescent="0.3">
      <c r="A206" t="s">
        <v>39</v>
      </c>
      <c r="B206" t="str">
        <f>DATA!R206</f>
        <v>4 Star</v>
      </c>
      <c r="G206">
        <v>35</v>
      </c>
      <c r="H206">
        <f>DATA!C206</f>
        <v>722</v>
      </c>
    </row>
    <row r="207" spans="1:8" x14ac:dyDescent="0.3">
      <c r="A207" t="s">
        <v>42</v>
      </c>
      <c r="B207" t="str">
        <f>DATA!R207</f>
        <v>4 Star</v>
      </c>
      <c r="G207">
        <v>23</v>
      </c>
      <c r="H207">
        <f>DATA!C207</f>
        <v>714</v>
      </c>
    </row>
    <row r="208" spans="1:8" x14ac:dyDescent="0.3">
      <c r="A208" t="s">
        <v>39</v>
      </c>
      <c r="B208" t="str">
        <f>DATA!R208</f>
        <v>2 Star</v>
      </c>
      <c r="G208">
        <v>48</v>
      </c>
      <c r="H208">
        <f>DATA!C208</f>
        <v>583</v>
      </c>
    </row>
    <row r="209" spans="1:8" x14ac:dyDescent="0.3">
      <c r="A209" t="s">
        <v>42</v>
      </c>
      <c r="B209" t="str">
        <f>DATA!R209</f>
        <v>3 Star</v>
      </c>
      <c r="G209">
        <v>21</v>
      </c>
      <c r="H209">
        <f>DATA!C209</f>
        <v>695</v>
      </c>
    </row>
    <row r="210" spans="1:8" x14ac:dyDescent="0.3">
      <c r="A210" t="s">
        <v>42</v>
      </c>
      <c r="B210" t="str">
        <f>DATA!R210</f>
        <v>4 Star</v>
      </c>
      <c r="G210">
        <v>18</v>
      </c>
      <c r="H210">
        <f>DATA!C210</f>
        <v>730</v>
      </c>
    </row>
    <row r="211" spans="1:8" x14ac:dyDescent="0.3">
      <c r="A211" t="s">
        <v>40</v>
      </c>
      <c r="B211" t="str">
        <f>DATA!R211</f>
        <v>4 Star</v>
      </c>
      <c r="G211">
        <v>62</v>
      </c>
      <c r="H211">
        <f>DATA!C211</f>
        <v>723</v>
      </c>
    </row>
    <row r="212" spans="1:8" x14ac:dyDescent="0.3">
      <c r="A212" t="s">
        <v>40</v>
      </c>
      <c r="B212" t="str">
        <f>DATA!R212</f>
        <v>1 Star</v>
      </c>
      <c r="G212">
        <v>62</v>
      </c>
      <c r="H212">
        <f>DATA!C212</f>
        <v>450</v>
      </c>
    </row>
    <row r="213" spans="1:8" x14ac:dyDescent="0.3">
      <c r="A213" t="s">
        <v>41</v>
      </c>
      <c r="B213" t="str">
        <f>DATA!R213</f>
        <v>1 Star</v>
      </c>
      <c r="G213">
        <v>79</v>
      </c>
      <c r="H213">
        <f>DATA!C213</f>
        <v>440</v>
      </c>
    </row>
    <row r="214" spans="1:8" x14ac:dyDescent="0.3">
      <c r="A214" t="s">
        <v>42</v>
      </c>
      <c r="B214" t="str">
        <f>DATA!R214</f>
        <v>1 Star</v>
      </c>
      <c r="G214">
        <v>18</v>
      </c>
      <c r="H214">
        <f>DATA!C214</f>
        <v>418</v>
      </c>
    </row>
    <row r="215" spans="1:8" x14ac:dyDescent="0.3">
      <c r="A215" t="s">
        <v>39</v>
      </c>
      <c r="B215" t="str">
        <f>DATA!R215</f>
        <v>1 Star</v>
      </c>
      <c r="G215">
        <v>35</v>
      </c>
      <c r="H215">
        <f>DATA!C215</f>
        <v>455</v>
      </c>
    </row>
    <row r="216" spans="1:8" x14ac:dyDescent="0.3">
      <c r="A216" t="s">
        <v>39</v>
      </c>
      <c r="B216" t="str">
        <f>DATA!R216</f>
        <v>1 Star</v>
      </c>
      <c r="G216">
        <v>47</v>
      </c>
      <c r="H216">
        <f>DATA!C216</f>
        <v>360</v>
      </c>
    </row>
    <row r="217" spans="1:8" x14ac:dyDescent="0.3">
      <c r="A217" t="s">
        <v>40</v>
      </c>
      <c r="B217" t="str">
        <f>DATA!R217</f>
        <v>1 Star</v>
      </c>
      <c r="G217">
        <v>52</v>
      </c>
      <c r="H217">
        <f>DATA!C217</f>
        <v>362</v>
      </c>
    </row>
    <row r="218" spans="1:8" x14ac:dyDescent="0.3">
      <c r="A218" t="s">
        <v>41</v>
      </c>
      <c r="B218" t="str">
        <f>DATA!R218</f>
        <v>1 Star</v>
      </c>
      <c r="G218">
        <v>77</v>
      </c>
      <c r="H218">
        <f>DATA!C218</f>
        <v>454</v>
      </c>
    </row>
    <row r="219" spans="1:8" x14ac:dyDescent="0.3">
      <c r="A219" t="s">
        <v>39</v>
      </c>
      <c r="B219" t="str">
        <f>DATA!R219</f>
        <v>2 Star</v>
      </c>
      <c r="G219">
        <v>39</v>
      </c>
      <c r="H219">
        <f>DATA!C219</f>
        <v>575</v>
      </c>
    </row>
    <row r="220" spans="1:8" x14ac:dyDescent="0.3">
      <c r="A220" t="s">
        <v>41</v>
      </c>
      <c r="B220" t="str">
        <f>DATA!R220</f>
        <v>5 Star</v>
      </c>
      <c r="G220">
        <v>81</v>
      </c>
      <c r="H220">
        <f>DATA!C220</f>
        <v>771</v>
      </c>
    </row>
    <row r="221" spans="1:8" x14ac:dyDescent="0.3">
      <c r="A221" t="s">
        <v>39</v>
      </c>
      <c r="B221" t="str">
        <f>DATA!R221</f>
        <v>1 Star</v>
      </c>
      <c r="G221">
        <v>35</v>
      </c>
      <c r="H221">
        <f>DATA!C221</f>
        <v>517</v>
      </c>
    </row>
    <row r="222" spans="1:8" x14ac:dyDescent="0.3">
      <c r="A222" t="s">
        <v>40</v>
      </c>
      <c r="B222" t="str">
        <f>DATA!R222</f>
        <v>5 Star</v>
      </c>
      <c r="G222">
        <v>56</v>
      </c>
      <c r="H222">
        <f>DATA!C222</f>
        <v>766</v>
      </c>
    </row>
    <row r="223" spans="1:8" x14ac:dyDescent="0.3">
      <c r="A223" t="s">
        <v>42</v>
      </c>
      <c r="B223" t="str">
        <f>DATA!R223</f>
        <v>4 Star</v>
      </c>
      <c r="G223">
        <v>19</v>
      </c>
      <c r="H223">
        <f>DATA!C223</f>
        <v>728</v>
      </c>
    </row>
    <row r="224" spans="1:8" x14ac:dyDescent="0.3">
      <c r="A224" t="s">
        <v>39</v>
      </c>
      <c r="B224" t="str">
        <f>DATA!R224</f>
        <v>3 Star</v>
      </c>
      <c r="G224">
        <v>33</v>
      </c>
      <c r="H224">
        <f>DATA!C224</f>
        <v>639</v>
      </c>
    </row>
    <row r="225" spans="1:8" x14ac:dyDescent="0.3">
      <c r="A225" t="s">
        <v>39</v>
      </c>
      <c r="B225" t="str">
        <f>DATA!R225</f>
        <v>5 Star</v>
      </c>
      <c r="G225">
        <v>35</v>
      </c>
      <c r="H225">
        <f>DATA!C225</f>
        <v>760</v>
      </c>
    </row>
    <row r="226" spans="1:8" x14ac:dyDescent="0.3">
      <c r="A226" t="s">
        <v>41</v>
      </c>
      <c r="B226" t="str">
        <f>DATA!R226</f>
        <v>1 Star</v>
      </c>
      <c r="G226">
        <v>71</v>
      </c>
      <c r="H226">
        <f>DATA!C226</f>
        <v>449</v>
      </c>
    </row>
    <row r="227" spans="1:8" x14ac:dyDescent="0.3">
      <c r="A227" t="s">
        <v>39</v>
      </c>
      <c r="B227" t="str">
        <f>DATA!R227</f>
        <v>2 Star</v>
      </c>
      <c r="G227">
        <v>40</v>
      </c>
      <c r="H227">
        <f>DATA!C227</f>
        <v>567</v>
      </c>
    </row>
    <row r="228" spans="1:8" x14ac:dyDescent="0.3">
      <c r="A228" t="s">
        <v>40</v>
      </c>
      <c r="B228" t="str">
        <f>DATA!R228</f>
        <v>3 Star</v>
      </c>
      <c r="G228">
        <v>65</v>
      </c>
      <c r="H228">
        <f>DATA!C228</f>
        <v>656</v>
      </c>
    </row>
    <row r="229" spans="1:8" x14ac:dyDescent="0.3">
      <c r="A229" t="s">
        <v>41</v>
      </c>
      <c r="B229" t="str">
        <f>DATA!R229</f>
        <v>3 Star</v>
      </c>
      <c r="G229">
        <v>84</v>
      </c>
      <c r="H229">
        <f>DATA!C229</f>
        <v>694</v>
      </c>
    </row>
    <row r="230" spans="1:8" x14ac:dyDescent="0.3">
      <c r="A230" t="s">
        <v>42</v>
      </c>
      <c r="B230" t="str">
        <f>DATA!R230</f>
        <v>2 Star</v>
      </c>
      <c r="G230">
        <v>29</v>
      </c>
      <c r="H230">
        <f>DATA!C230</f>
        <v>560</v>
      </c>
    </row>
    <row r="231" spans="1:8" x14ac:dyDescent="0.3">
      <c r="A231" t="s">
        <v>42</v>
      </c>
      <c r="B231" t="str">
        <f>DATA!R231</f>
        <v>3 Star</v>
      </c>
      <c r="G231">
        <v>27</v>
      </c>
      <c r="H231">
        <f>DATA!C231</f>
        <v>626</v>
      </c>
    </row>
    <row r="232" spans="1:8" x14ac:dyDescent="0.3">
      <c r="A232" t="s">
        <v>40</v>
      </c>
      <c r="B232" t="str">
        <f>DATA!R232</f>
        <v>2 Star</v>
      </c>
      <c r="G232">
        <v>58</v>
      </c>
      <c r="H232">
        <f>DATA!C232</f>
        <v>572</v>
      </c>
    </row>
    <row r="233" spans="1:8" x14ac:dyDescent="0.3">
      <c r="A233" t="s">
        <v>41</v>
      </c>
      <c r="B233" t="str">
        <f>DATA!R233</f>
        <v>1 Star</v>
      </c>
      <c r="G233">
        <v>72</v>
      </c>
      <c r="H233">
        <f>DATA!C233</f>
        <v>506</v>
      </c>
    </row>
    <row r="234" spans="1:8" x14ac:dyDescent="0.3">
      <c r="A234" t="s">
        <v>40</v>
      </c>
      <c r="B234" t="str">
        <f>DATA!R234</f>
        <v>1 Star</v>
      </c>
      <c r="G234">
        <v>69</v>
      </c>
      <c r="H234">
        <f>DATA!C234</f>
        <v>422</v>
      </c>
    </row>
    <row r="235" spans="1:8" x14ac:dyDescent="0.3">
      <c r="A235" t="s">
        <v>40</v>
      </c>
      <c r="B235" t="str">
        <f>DATA!R235</f>
        <v>3 Star</v>
      </c>
      <c r="G235">
        <v>65</v>
      </c>
      <c r="H235">
        <f>DATA!C235</f>
        <v>624</v>
      </c>
    </row>
    <row r="236" spans="1:8" x14ac:dyDescent="0.3">
      <c r="A236" t="s">
        <v>42</v>
      </c>
      <c r="B236" t="str">
        <f>DATA!R236</f>
        <v>5 Star</v>
      </c>
      <c r="G236">
        <v>22</v>
      </c>
      <c r="H236">
        <f>DATA!C236</f>
        <v>759</v>
      </c>
    </row>
    <row r="237" spans="1:8" x14ac:dyDescent="0.3">
      <c r="A237" t="s">
        <v>42</v>
      </c>
      <c r="B237" t="str">
        <f>DATA!R237</f>
        <v>5 Star</v>
      </c>
      <c r="G237">
        <v>28</v>
      </c>
      <c r="H237">
        <f>DATA!C237</f>
        <v>758</v>
      </c>
    </row>
    <row r="238" spans="1:8" x14ac:dyDescent="0.3">
      <c r="A238" t="s">
        <v>42</v>
      </c>
      <c r="B238" t="str">
        <f>DATA!R238</f>
        <v>1 Star</v>
      </c>
      <c r="G238">
        <v>24</v>
      </c>
      <c r="H238">
        <f>DATA!C238</f>
        <v>389</v>
      </c>
    </row>
    <row r="239" spans="1:8" x14ac:dyDescent="0.3">
      <c r="A239" t="s">
        <v>40</v>
      </c>
      <c r="B239" t="str">
        <f>DATA!R239</f>
        <v>2 Star</v>
      </c>
      <c r="G239">
        <v>62</v>
      </c>
      <c r="H239">
        <f>DATA!C239</f>
        <v>584</v>
      </c>
    </row>
    <row r="240" spans="1:8" x14ac:dyDescent="0.3">
      <c r="A240" t="s">
        <v>41</v>
      </c>
      <c r="B240" t="str">
        <f>DATA!R240</f>
        <v>1 Star</v>
      </c>
      <c r="G240">
        <v>90</v>
      </c>
      <c r="H240">
        <f>DATA!C240</f>
        <v>473</v>
      </c>
    </row>
    <row r="241" spans="1:8" x14ac:dyDescent="0.3">
      <c r="A241" t="s">
        <v>42</v>
      </c>
      <c r="B241" t="str">
        <f>DATA!R241</f>
        <v>3 Star</v>
      </c>
      <c r="G241">
        <v>26</v>
      </c>
      <c r="H241">
        <f>DATA!C241</f>
        <v>634</v>
      </c>
    </row>
    <row r="242" spans="1:8" x14ac:dyDescent="0.3">
      <c r="A242" t="s">
        <v>41</v>
      </c>
      <c r="B242" t="str">
        <f>DATA!R242</f>
        <v>1 Star</v>
      </c>
      <c r="G242">
        <v>90</v>
      </c>
      <c r="H242">
        <f>DATA!C242</f>
        <v>502</v>
      </c>
    </row>
    <row r="243" spans="1:8" x14ac:dyDescent="0.3">
      <c r="A243" t="s">
        <v>39</v>
      </c>
      <c r="B243" t="str">
        <f>DATA!R243</f>
        <v>1 Star</v>
      </c>
      <c r="G243">
        <v>36</v>
      </c>
      <c r="H243">
        <f>DATA!C243</f>
        <v>496</v>
      </c>
    </row>
    <row r="244" spans="1:8" x14ac:dyDescent="0.3">
      <c r="A244" t="s">
        <v>42</v>
      </c>
      <c r="B244" t="str">
        <f>DATA!R244</f>
        <v>2 Star</v>
      </c>
      <c r="G244">
        <v>20</v>
      </c>
      <c r="H244">
        <f>DATA!C244</f>
        <v>545</v>
      </c>
    </row>
    <row r="245" spans="1:8" x14ac:dyDescent="0.3">
      <c r="A245" t="s">
        <v>41</v>
      </c>
      <c r="B245" t="str">
        <f>DATA!R245</f>
        <v>1 Star</v>
      </c>
      <c r="G245">
        <v>87</v>
      </c>
      <c r="H245">
        <f>DATA!C245</f>
        <v>522</v>
      </c>
    </row>
    <row r="246" spans="1:8" x14ac:dyDescent="0.3">
      <c r="A246" t="s">
        <v>39</v>
      </c>
      <c r="B246" t="str">
        <f>DATA!R246</f>
        <v>2 Star</v>
      </c>
      <c r="G246">
        <v>47</v>
      </c>
      <c r="H246">
        <f>DATA!C246</f>
        <v>561</v>
      </c>
    </row>
    <row r="247" spans="1:8" x14ac:dyDescent="0.3">
      <c r="A247" t="s">
        <v>39</v>
      </c>
      <c r="B247" t="str">
        <f>DATA!R247</f>
        <v>3 Star</v>
      </c>
      <c r="G247">
        <v>45</v>
      </c>
      <c r="H247">
        <f>DATA!C247</f>
        <v>651</v>
      </c>
    </row>
    <row r="248" spans="1:8" x14ac:dyDescent="0.3">
      <c r="A248" t="s">
        <v>39</v>
      </c>
      <c r="B248" t="str">
        <f>DATA!R248</f>
        <v>3 Star</v>
      </c>
      <c r="G248">
        <v>35</v>
      </c>
      <c r="H248">
        <f>DATA!C248</f>
        <v>660</v>
      </c>
    </row>
    <row r="249" spans="1:8" x14ac:dyDescent="0.3">
      <c r="A249" t="s">
        <v>41</v>
      </c>
      <c r="B249" t="str">
        <f>DATA!R249</f>
        <v>1 Star</v>
      </c>
      <c r="G249">
        <v>76</v>
      </c>
      <c r="H249">
        <f>DATA!C249</f>
        <v>350</v>
      </c>
    </row>
    <row r="250" spans="1:8" x14ac:dyDescent="0.3">
      <c r="A250" t="s">
        <v>42</v>
      </c>
      <c r="B250" t="str">
        <f>DATA!R250</f>
        <v>1 Star</v>
      </c>
      <c r="G250">
        <v>29</v>
      </c>
      <c r="H250">
        <f>DATA!C250</f>
        <v>488</v>
      </c>
    </row>
    <row r="251" spans="1:8" x14ac:dyDescent="0.3">
      <c r="A251" t="s">
        <v>40</v>
      </c>
      <c r="B251" t="str">
        <f>DATA!R251</f>
        <v>2 Star</v>
      </c>
      <c r="G251">
        <v>67</v>
      </c>
      <c r="H251">
        <f>DATA!C251</f>
        <v>545</v>
      </c>
    </row>
    <row r="252" spans="1:8" x14ac:dyDescent="0.3">
      <c r="A252" t="s">
        <v>41</v>
      </c>
      <c r="B252" t="str">
        <f>DATA!R252</f>
        <v>4 Star</v>
      </c>
      <c r="G252">
        <v>90</v>
      </c>
      <c r="H252">
        <f>DATA!C252</f>
        <v>740</v>
      </c>
    </row>
    <row r="253" spans="1:8" x14ac:dyDescent="0.3">
      <c r="A253" t="s">
        <v>42</v>
      </c>
      <c r="B253" t="str">
        <f>DATA!R253</f>
        <v>2 Star</v>
      </c>
      <c r="G253">
        <v>21</v>
      </c>
      <c r="H253">
        <f>DATA!C253</f>
        <v>569</v>
      </c>
    </row>
    <row r="254" spans="1:8" x14ac:dyDescent="0.3">
      <c r="A254" t="s">
        <v>42</v>
      </c>
      <c r="B254" t="str">
        <f>DATA!R254</f>
        <v>4 Star</v>
      </c>
      <c r="G254">
        <v>29</v>
      </c>
      <c r="H254">
        <f>DATA!C254</f>
        <v>705</v>
      </c>
    </row>
    <row r="255" spans="1:8" x14ac:dyDescent="0.3">
      <c r="A255" t="s">
        <v>41</v>
      </c>
      <c r="B255" t="str">
        <f>DATA!R255</f>
        <v>5 Star</v>
      </c>
      <c r="G255">
        <v>75</v>
      </c>
      <c r="H255">
        <f>DATA!C255</f>
        <v>791</v>
      </c>
    </row>
    <row r="256" spans="1:8" x14ac:dyDescent="0.3">
      <c r="A256" t="s">
        <v>40</v>
      </c>
      <c r="B256" t="str">
        <f>DATA!R256</f>
        <v>5 Star</v>
      </c>
      <c r="G256">
        <v>68</v>
      </c>
      <c r="H256">
        <f>DATA!C256</f>
        <v>804</v>
      </c>
    </row>
    <row r="257" spans="1:8" x14ac:dyDescent="0.3">
      <c r="A257" t="s">
        <v>39</v>
      </c>
      <c r="B257" t="str">
        <f>DATA!R257</f>
        <v>5 Star</v>
      </c>
      <c r="G257">
        <v>33</v>
      </c>
      <c r="H257">
        <f>DATA!C257</f>
        <v>753</v>
      </c>
    </row>
    <row r="258" spans="1:8" x14ac:dyDescent="0.3">
      <c r="A258" t="s">
        <v>41</v>
      </c>
      <c r="B258" t="str">
        <f>DATA!R258</f>
        <v>1 Star</v>
      </c>
      <c r="G258">
        <v>75</v>
      </c>
      <c r="H258">
        <f>DATA!C258</f>
        <v>512</v>
      </c>
    </row>
    <row r="259" spans="1:8" x14ac:dyDescent="0.3">
      <c r="A259" t="s">
        <v>42</v>
      </c>
      <c r="B259" t="str">
        <f>DATA!R259</f>
        <v>1 Star</v>
      </c>
      <c r="G259">
        <v>21</v>
      </c>
      <c r="H259">
        <f>DATA!C259</f>
        <v>400</v>
      </c>
    </row>
    <row r="260" spans="1:8" x14ac:dyDescent="0.3">
      <c r="A260" t="s">
        <v>41</v>
      </c>
      <c r="B260" t="str">
        <f>DATA!R260</f>
        <v>2 Star</v>
      </c>
      <c r="G260">
        <v>78</v>
      </c>
      <c r="H260">
        <f>DATA!C260</f>
        <v>592</v>
      </c>
    </row>
    <row r="261" spans="1:8" x14ac:dyDescent="0.3">
      <c r="A261" t="s">
        <v>40</v>
      </c>
      <c r="B261" t="str">
        <f>DATA!R261</f>
        <v>4 Star</v>
      </c>
      <c r="G261">
        <v>57</v>
      </c>
      <c r="H261">
        <f>DATA!C261</f>
        <v>708</v>
      </c>
    </row>
    <row r="262" spans="1:8" x14ac:dyDescent="0.3">
      <c r="A262" t="s">
        <v>39</v>
      </c>
      <c r="B262" t="str">
        <f>DATA!R262</f>
        <v>1 Star</v>
      </c>
      <c r="G262">
        <v>47</v>
      </c>
      <c r="H262">
        <f>DATA!C262</f>
        <v>370</v>
      </c>
    </row>
    <row r="263" spans="1:8" x14ac:dyDescent="0.3">
      <c r="A263" t="s">
        <v>41</v>
      </c>
      <c r="B263" t="str">
        <f>DATA!R263</f>
        <v>1 Star</v>
      </c>
      <c r="G263">
        <v>71</v>
      </c>
      <c r="H263">
        <f>DATA!C263</f>
        <v>521</v>
      </c>
    </row>
    <row r="264" spans="1:8" x14ac:dyDescent="0.3">
      <c r="A264" t="s">
        <v>41</v>
      </c>
      <c r="B264" t="str">
        <f>DATA!R264</f>
        <v>1 Star</v>
      </c>
      <c r="G264">
        <v>85</v>
      </c>
      <c r="H264">
        <f>DATA!C264</f>
        <v>468</v>
      </c>
    </row>
    <row r="265" spans="1:8" x14ac:dyDescent="0.3">
      <c r="A265" t="s">
        <v>41</v>
      </c>
      <c r="B265" t="str">
        <f>DATA!R265</f>
        <v>1 Star</v>
      </c>
      <c r="G265">
        <v>74</v>
      </c>
      <c r="H265">
        <f>DATA!C265</f>
        <v>478</v>
      </c>
    </row>
    <row r="266" spans="1:8" x14ac:dyDescent="0.3">
      <c r="A266" t="s">
        <v>40</v>
      </c>
      <c r="B266" t="str">
        <f>DATA!R266</f>
        <v>5 Star</v>
      </c>
      <c r="G266">
        <v>63</v>
      </c>
      <c r="H266">
        <f>DATA!C266</f>
        <v>834</v>
      </c>
    </row>
    <row r="267" spans="1:8" x14ac:dyDescent="0.3">
      <c r="A267" t="s">
        <v>42</v>
      </c>
      <c r="B267" t="str">
        <f>DATA!R267</f>
        <v>4 Star</v>
      </c>
      <c r="G267">
        <v>29</v>
      </c>
      <c r="H267">
        <f>DATA!C267</f>
        <v>715</v>
      </c>
    </row>
    <row r="268" spans="1:8" x14ac:dyDescent="0.3">
      <c r="A268" t="s">
        <v>42</v>
      </c>
      <c r="B268" t="str">
        <f>DATA!R268</f>
        <v>1 Star</v>
      </c>
      <c r="G268">
        <v>23</v>
      </c>
      <c r="H268">
        <f>DATA!C268</f>
        <v>455</v>
      </c>
    </row>
    <row r="269" spans="1:8" x14ac:dyDescent="0.3">
      <c r="A269" t="s">
        <v>39</v>
      </c>
      <c r="B269" t="str">
        <f>DATA!R269</f>
        <v>2 Star</v>
      </c>
      <c r="G269">
        <v>48</v>
      </c>
      <c r="H269">
        <f>DATA!C269</f>
        <v>544</v>
      </c>
    </row>
    <row r="270" spans="1:8" x14ac:dyDescent="0.3">
      <c r="A270" t="s">
        <v>41</v>
      </c>
      <c r="B270" t="str">
        <f>DATA!R270</f>
        <v>2 Star</v>
      </c>
      <c r="G270">
        <v>76</v>
      </c>
      <c r="H270">
        <f>DATA!C270</f>
        <v>575</v>
      </c>
    </row>
    <row r="271" spans="1:8" x14ac:dyDescent="0.3">
      <c r="A271" t="s">
        <v>41</v>
      </c>
      <c r="B271" t="str">
        <f>DATA!R271</f>
        <v>1 Star</v>
      </c>
      <c r="G271">
        <v>86</v>
      </c>
      <c r="H271">
        <f>DATA!C271</f>
        <v>490</v>
      </c>
    </row>
    <row r="272" spans="1:8" x14ac:dyDescent="0.3">
      <c r="A272" t="s">
        <v>41</v>
      </c>
      <c r="B272" t="str">
        <f>DATA!R272</f>
        <v>3 Star</v>
      </c>
      <c r="G272">
        <v>77</v>
      </c>
      <c r="H272">
        <f>DATA!C272</f>
        <v>621</v>
      </c>
    </row>
    <row r="273" spans="1:8" x14ac:dyDescent="0.3">
      <c r="A273" t="s">
        <v>39</v>
      </c>
      <c r="B273" t="str">
        <f>DATA!R273</f>
        <v>1 Star</v>
      </c>
      <c r="G273">
        <v>50</v>
      </c>
      <c r="H273">
        <f>DATA!C273</f>
        <v>468</v>
      </c>
    </row>
    <row r="274" spans="1:8" x14ac:dyDescent="0.3">
      <c r="A274" t="s">
        <v>40</v>
      </c>
      <c r="B274" t="str">
        <f>DATA!R274</f>
        <v>1 Star</v>
      </c>
      <c r="G274">
        <v>55</v>
      </c>
      <c r="H274">
        <f>DATA!C274</f>
        <v>383</v>
      </c>
    </row>
    <row r="275" spans="1:8" x14ac:dyDescent="0.3">
      <c r="A275" t="s">
        <v>40</v>
      </c>
      <c r="B275" t="str">
        <f>DATA!R275</f>
        <v>1 Star</v>
      </c>
      <c r="G275">
        <v>61</v>
      </c>
      <c r="H275">
        <f>DATA!C275</f>
        <v>501</v>
      </c>
    </row>
    <row r="276" spans="1:8" x14ac:dyDescent="0.3">
      <c r="A276" t="s">
        <v>41</v>
      </c>
      <c r="B276" t="str">
        <f>DATA!R276</f>
        <v>4 Star</v>
      </c>
      <c r="G276">
        <v>78</v>
      </c>
      <c r="H276">
        <f>DATA!C276</f>
        <v>746</v>
      </c>
    </row>
    <row r="277" spans="1:8" x14ac:dyDescent="0.3">
      <c r="A277" t="s">
        <v>40</v>
      </c>
      <c r="B277" t="str">
        <f>DATA!R277</f>
        <v>4 Star</v>
      </c>
      <c r="G277">
        <v>63</v>
      </c>
      <c r="H277">
        <f>DATA!C277</f>
        <v>739</v>
      </c>
    </row>
    <row r="278" spans="1:8" x14ac:dyDescent="0.3">
      <c r="A278" t="s">
        <v>39</v>
      </c>
      <c r="B278" t="str">
        <f>DATA!R278</f>
        <v>1 Star</v>
      </c>
      <c r="G278">
        <v>47</v>
      </c>
      <c r="H278">
        <f>DATA!C278</f>
        <v>388</v>
      </c>
    </row>
    <row r="279" spans="1:8" x14ac:dyDescent="0.3">
      <c r="A279" t="s">
        <v>39</v>
      </c>
      <c r="B279" t="str">
        <f>DATA!R279</f>
        <v>3 Star</v>
      </c>
      <c r="G279">
        <v>45</v>
      </c>
      <c r="H279">
        <f>DATA!C279</f>
        <v>607</v>
      </c>
    </row>
    <row r="280" spans="1:8" x14ac:dyDescent="0.3">
      <c r="A280" t="s">
        <v>39</v>
      </c>
      <c r="B280" t="str">
        <f>DATA!R280</f>
        <v>3 Star</v>
      </c>
      <c r="G280">
        <v>45</v>
      </c>
      <c r="H280">
        <f>DATA!C280</f>
        <v>616</v>
      </c>
    </row>
    <row r="281" spans="1:8" x14ac:dyDescent="0.3">
      <c r="A281" t="s">
        <v>39</v>
      </c>
      <c r="B281" t="str">
        <f>DATA!R281</f>
        <v>1 Star</v>
      </c>
      <c r="G281">
        <v>47</v>
      </c>
      <c r="H281">
        <f>DATA!C281</f>
        <v>356</v>
      </c>
    </row>
    <row r="282" spans="1:8" x14ac:dyDescent="0.3">
      <c r="A282" t="s">
        <v>41</v>
      </c>
      <c r="B282" t="str">
        <f>DATA!R282</f>
        <v>4 Star</v>
      </c>
      <c r="G282">
        <v>90</v>
      </c>
      <c r="H282">
        <f>DATA!C282</f>
        <v>731</v>
      </c>
    </row>
    <row r="283" spans="1:8" x14ac:dyDescent="0.3">
      <c r="A283" t="s">
        <v>40</v>
      </c>
      <c r="B283" t="str">
        <f>DATA!R283</f>
        <v>3 Star</v>
      </c>
      <c r="G283">
        <v>56</v>
      </c>
      <c r="H283">
        <f>DATA!C283</f>
        <v>612</v>
      </c>
    </row>
    <row r="284" spans="1:8" x14ac:dyDescent="0.3">
      <c r="A284" t="s">
        <v>42</v>
      </c>
      <c r="B284" t="str">
        <f>DATA!R284</f>
        <v>1 Star</v>
      </c>
      <c r="G284">
        <v>29</v>
      </c>
      <c r="H284">
        <f>DATA!C284</f>
        <v>452</v>
      </c>
    </row>
    <row r="285" spans="1:8" x14ac:dyDescent="0.3">
      <c r="A285" t="s">
        <v>39</v>
      </c>
      <c r="B285" t="str">
        <f>DATA!R285</f>
        <v>5 Star</v>
      </c>
      <c r="G285">
        <v>50</v>
      </c>
      <c r="H285">
        <f>DATA!C285</f>
        <v>772</v>
      </c>
    </row>
    <row r="286" spans="1:8" x14ac:dyDescent="0.3">
      <c r="A286" t="s">
        <v>40</v>
      </c>
      <c r="B286" t="str">
        <f>DATA!R286</f>
        <v>3 Star</v>
      </c>
      <c r="G286">
        <v>68</v>
      </c>
      <c r="H286">
        <f>DATA!C286</f>
        <v>681</v>
      </c>
    </row>
    <row r="287" spans="1:8" x14ac:dyDescent="0.3">
      <c r="A287" t="s">
        <v>40</v>
      </c>
      <c r="B287" t="str">
        <f>DATA!R287</f>
        <v>4 Star</v>
      </c>
      <c r="G287">
        <v>58</v>
      </c>
      <c r="H287">
        <f>DATA!C287</f>
        <v>720</v>
      </c>
    </row>
    <row r="288" spans="1:8" x14ac:dyDescent="0.3">
      <c r="A288" t="s">
        <v>41</v>
      </c>
      <c r="B288" t="str">
        <f>DATA!R288</f>
        <v>3 Star</v>
      </c>
      <c r="G288">
        <v>88</v>
      </c>
      <c r="H288">
        <f>DATA!C288</f>
        <v>691</v>
      </c>
    </row>
    <row r="289" spans="1:8" x14ac:dyDescent="0.3">
      <c r="A289" t="s">
        <v>39</v>
      </c>
      <c r="B289" t="str">
        <f>DATA!R289</f>
        <v>4 Star</v>
      </c>
      <c r="G289">
        <v>48</v>
      </c>
      <c r="H289">
        <f>DATA!C289</f>
        <v>732</v>
      </c>
    </row>
    <row r="290" spans="1:8" x14ac:dyDescent="0.3">
      <c r="A290" t="s">
        <v>39</v>
      </c>
      <c r="B290" t="str">
        <f>DATA!R290</f>
        <v>4 Star</v>
      </c>
      <c r="G290">
        <v>40</v>
      </c>
      <c r="H290">
        <f>DATA!C290</f>
        <v>720</v>
      </c>
    </row>
    <row r="291" spans="1:8" x14ac:dyDescent="0.3">
      <c r="A291" t="s">
        <v>40</v>
      </c>
      <c r="B291" t="str">
        <f>DATA!R291</f>
        <v>2 Star</v>
      </c>
      <c r="G291">
        <v>53</v>
      </c>
      <c r="H291">
        <f>DATA!C291</f>
        <v>528</v>
      </c>
    </row>
    <row r="292" spans="1:8" x14ac:dyDescent="0.3">
      <c r="A292" t="s">
        <v>41</v>
      </c>
      <c r="B292" t="str">
        <f>DATA!R292</f>
        <v>3 Star</v>
      </c>
      <c r="G292">
        <v>86</v>
      </c>
      <c r="H292">
        <f>DATA!C292</f>
        <v>657</v>
      </c>
    </row>
    <row r="293" spans="1:8" x14ac:dyDescent="0.3">
      <c r="A293" t="s">
        <v>41</v>
      </c>
      <c r="B293" t="str">
        <f>DATA!R293</f>
        <v>3 Star</v>
      </c>
      <c r="G293">
        <v>81</v>
      </c>
      <c r="H293">
        <f>DATA!C293</f>
        <v>608</v>
      </c>
    </row>
    <row r="294" spans="1:8" x14ac:dyDescent="0.3">
      <c r="A294" t="s">
        <v>42</v>
      </c>
      <c r="B294" t="str">
        <f>DATA!R294</f>
        <v>3 Star</v>
      </c>
      <c r="G294">
        <v>22</v>
      </c>
      <c r="H294">
        <f>DATA!C294</f>
        <v>682</v>
      </c>
    </row>
    <row r="295" spans="1:8" x14ac:dyDescent="0.3">
      <c r="A295" t="s">
        <v>40</v>
      </c>
      <c r="B295" t="str">
        <f>DATA!R295</f>
        <v>1 Star</v>
      </c>
      <c r="G295">
        <v>67</v>
      </c>
      <c r="H295">
        <f>DATA!C295</f>
        <v>507</v>
      </c>
    </row>
    <row r="296" spans="1:8" x14ac:dyDescent="0.3">
      <c r="A296" t="s">
        <v>39</v>
      </c>
      <c r="B296" t="str">
        <f>DATA!R296</f>
        <v>1 Star</v>
      </c>
      <c r="G296">
        <v>47</v>
      </c>
      <c r="H296">
        <f>DATA!C296</f>
        <v>359</v>
      </c>
    </row>
    <row r="297" spans="1:8" x14ac:dyDescent="0.3">
      <c r="A297" t="s">
        <v>41</v>
      </c>
      <c r="B297" t="str">
        <f>DATA!R297</f>
        <v>1 Star</v>
      </c>
      <c r="G297">
        <v>81</v>
      </c>
      <c r="H297">
        <f>DATA!C297</f>
        <v>465</v>
      </c>
    </row>
    <row r="298" spans="1:8" x14ac:dyDescent="0.3">
      <c r="A298" t="s">
        <v>41</v>
      </c>
      <c r="B298" t="str">
        <f>DATA!R298</f>
        <v>5 Star</v>
      </c>
      <c r="G298">
        <v>79</v>
      </c>
      <c r="H298">
        <f>DATA!C298</f>
        <v>806</v>
      </c>
    </row>
    <row r="299" spans="1:8" x14ac:dyDescent="0.3">
      <c r="A299" t="s">
        <v>39</v>
      </c>
      <c r="B299" t="str">
        <f>DATA!R299</f>
        <v>4 Star</v>
      </c>
      <c r="G299">
        <v>44</v>
      </c>
      <c r="H299">
        <f>DATA!C299</f>
        <v>739</v>
      </c>
    </row>
    <row r="300" spans="1:8" x14ac:dyDescent="0.3">
      <c r="A300" t="s">
        <v>41</v>
      </c>
      <c r="B300" t="str">
        <f>DATA!R300</f>
        <v>1 Star</v>
      </c>
      <c r="G300">
        <v>91</v>
      </c>
      <c r="H300">
        <f>DATA!C300</f>
        <v>466</v>
      </c>
    </row>
    <row r="301" spans="1:8" x14ac:dyDescent="0.3">
      <c r="A301" t="s">
        <v>40</v>
      </c>
      <c r="B301" t="str">
        <f>DATA!R301</f>
        <v>2 Star</v>
      </c>
      <c r="G301">
        <v>68</v>
      </c>
      <c r="H301">
        <f>DATA!C301</f>
        <v>531</v>
      </c>
    </row>
    <row r="302" spans="1:8" x14ac:dyDescent="0.3">
      <c r="A302" t="s">
        <v>39</v>
      </c>
      <c r="B302" t="str">
        <f>DATA!R302</f>
        <v>2 Star</v>
      </c>
      <c r="G302">
        <v>35</v>
      </c>
      <c r="H302">
        <f>DATA!C302</f>
        <v>585</v>
      </c>
    </row>
    <row r="303" spans="1:8" x14ac:dyDescent="0.3">
      <c r="A303" t="s">
        <v>41</v>
      </c>
      <c r="B303" t="str">
        <f>DATA!R303</f>
        <v>2 Star</v>
      </c>
      <c r="G303">
        <v>89</v>
      </c>
      <c r="H303">
        <f>DATA!C303</f>
        <v>543</v>
      </c>
    </row>
    <row r="304" spans="1:8" x14ac:dyDescent="0.3">
      <c r="A304" t="s">
        <v>41</v>
      </c>
      <c r="B304" t="str">
        <f>DATA!R304</f>
        <v>3 Star</v>
      </c>
      <c r="G304">
        <v>74</v>
      </c>
      <c r="H304">
        <f>DATA!C304</f>
        <v>649</v>
      </c>
    </row>
    <row r="305" spans="1:8" x14ac:dyDescent="0.3">
      <c r="A305" t="s">
        <v>40</v>
      </c>
      <c r="B305" t="str">
        <f>DATA!R305</f>
        <v>1 Star</v>
      </c>
      <c r="G305">
        <v>53</v>
      </c>
      <c r="H305">
        <f>DATA!C305</f>
        <v>429</v>
      </c>
    </row>
    <row r="306" spans="1:8" x14ac:dyDescent="0.3">
      <c r="A306" t="s">
        <v>41</v>
      </c>
      <c r="B306" t="str">
        <f>DATA!R306</f>
        <v>1 Star</v>
      </c>
      <c r="G306">
        <v>91</v>
      </c>
      <c r="H306">
        <f>DATA!C306</f>
        <v>412</v>
      </c>
    </row>
    <row r="307" spans="1:8" x14ac:dyDescent="0.3">
      <c r="A307" t="s">
        <v>40</v>
      </c>
      <c r="B307" t="str">
        <f>DATA!R307</f>
        <v>3 Star</v>
      </c>
      <c r="G307">
        <v>65</v>
      </c>
      <c r="H307">
        <f>DATA!C307</f>
        <v>682</v>
      </c>
    </row>
    <row r="308" spans="1:8" x14ac:dyDescent="0.3">
      <c r="A308" t="s">
        <v>40</v>
      </c>
      <c r="B308" t="str">
        <f>DATA!R308</f>
        <v>1 Star</v>
      </c>
      <c r="G308">
        <v>66</v>
      </c>
      <c r="H308">
        <f>DATA!C308</f>
        <v>397</v>
      </c>
    </row>
    <row r="309" spans="1:8" x14ac:dyDescent="0.3">
      <c r="A309" t="s">
        <v>41</v>
      </c>
      <c r="B309" t="str">
        <f>DATA!R309</f>
        <v>1 Star</v>
      </c>
      <c r="G309">
        <v>89</v>
      </c>
      <c r="H309">
        <f>DATA!C309</f>
        <v>426</v>
      </c>
    </row>
    <row r="310" spans="1:8" x14ac:dyDescent="0.3">
      <c r="A310" t="s">
        <v>41</v>
      </c>
      <c r="B310" t="str">
        <f>DATA!R310</f>
        <v>1 Star</v>
      </c>
      <c r="G310">
        <v>85</v>
      </c>
      <c r="H310">
        <f>DATA!C310</f>
        <v>499</v>
      </c>
    </row>
    <row r="311" spans="1:8" x14ac:dyDescent="0.3">
      <c r="A311" t="s">
        <v>41</v>
      </c>
      <c r="B311" t="str">
        <f>DATA!R311</f>
        <v>1 Star</v>
      </c>
      <c r="G311">
        <v>89</v>
      </c>
      <c r="H311">
        <f>DATA!C311</f>
        <v>470</v>
      </c>
    </row>
    <row r="312" spans="1:8" x14ac:dyDescent="0.3">
      <c r="A312" t="s">
        <v>41</v>
      </c>
      <c r="B312" t="str">
        <f>DATA!R312</f>
        <v>3 Star</v>
      </c>
      <c r="G312">
        <v>80</v>
      </c>
      <c r="H312">
        <f>DATA!C312</f>
        <v>624</v>
      </c>
    </row>
    <row r="313" spans="1:8" x14ac:dyDescent="0.3">
      <c r="A313" t="s">
        <v>41</v>
      </c>
      <c r="B313" t="str">
        <f>DATA!R313</f>
        <v>3 Star</v>
      </c>
      <c r="G313">
        <v>90</v>
      </c>
      <c r="H313">
        <f>DATA!C313</f>
        <v>695</v>
      </c>
    </row>
    <row r="314" spans="1:8" x14ac:dyDescent="0.3">
      <c r="A314" t="s">
        <v>40</v>
      </c>
      <c r="B314" t="str">
        <f>DATA!R314</f>
        <v>1 Star</v>
      </c>
      <c r="G314">
        <v>55</v>
      </c>
      <c r="H314">
        <f>DATA!C314</f>
        <v>363</v>
      </c>
    </row>
    <row r="315" spans="1:8" x14ac:dyDescent="0.3">
      <c r="A315" t="s">
        <v>42</v>
      </c>
      <c r="B315" t="str">
        <f>DATA!R315</f>
        <v>2 Star</v>
      </c>
      <c r="G315">
        <v>23</v>
      </c>
      <c r="H315">
        <f>DATA!C315</f>
        <v>572</v>
      </c>
    </row>
    <row r="316" spans="1:8" x14ac:dyDescent="0.3">
      <c r="A316" t="s">
        <v>41</v>
      </c>
      <c r="B316" t="str">
        <f>DATA!R316</f>
        <v>1 Star</v>
      </c>
      <c r="G316">
        <v>73</v>
      </c>
      <c r="H316">
        <f>DATA!C316</f>
        <v>442</v>
      </c>
    </row>
    <row r="317" spans="1:8" x14ac:dyDescent="0.3">
      <c r="A317" t="s">
        <v>40</v>
      </c>
      <c r="B317" t="str">
        <f>DATA!R317</f>
        <v>2 Star</v>
      </c>
      <c r="G317">
        <v>64</v>
      </c>
      <c r="H317">
        <f>DATA!C317</f>
        <v>586</v>
      </c>
    </row>
    <row r="318" spans="1:8" x14ac:dyDescent="0.3">
      <c r="A318" t="s">
        <v>40</v>
      </c>
      <c r="B318" t="str">
        <f>DATA!R318</f>
        <v>1 Star</v>
      </c>
      <c r="G318">
        <v>56</v>
      </c>
      <c r="H318">
        <f>DATA!C318</f>
        <v>455</v>
      </c>
    </row>
    <row r="319" spans="1:8" x14ac:dyDescent="0.3">
      <c r="A319" t="s">
        <v>40</v>
      </c>
      <c r="B319" t="str">
        <f>DATA!R319</f>
        <v>2 Star</v>
      </c>
      <c r="G319">
        <v>67</v>
      </c>
      <c r="H319">
        <f>DATA!C319</f>
        <v>563</v>
      </c>
    </row>
    <row r="320" spans="1:8" x14ac:dyDescent="0.3">
      <c r="A320" t="s">
        <v>42</v>
      </c>
      <c r="B320" t="str">
        <f>DATA!R320</f>
        <v>1 Star</v>
      </c>
      <c r="G320">
        <v>26</v>
      </c>
      <c r="H320">
        <f>DATA!C320</f>
        <v>356</v>
      </c>
    </row>
    <row r="321" spans="1:8" x14ac:dyDescent="0.3">
      <c r="A321" t="s">
        <v>41</v>
      </c>
      <c r="B321" t="str">
        <f>DATA!R321</f>
        <v>1 Star</v>
      </c>
      <c r="G321">
        <v>83</v>
      </c>
      <c r="H321">
        <f>DATA!C321</f>
        <v>450</v>
      </c>
    </row>
    <row r="322" spans="1:8" x14ac:dyDescent="0.3">
      <c r="A322" t="s">
        <v>41</v>
      </c>
      <c r="B322" t="str">
        <f>DATA!R322</f>
        <v>1 Star</v>
      </c>
      <c r="G322">
        <v>84</v>
      </c>
      <c r="H322">
        <f>DATA!C322</f>
        <v>398</v>
      </c>
    </row>
    <row r="323" spans="1:8" x14ac:dyDescent="0.3">
      <c r="A323" t="s">
        <v>41</v>
      </c>
      <c r="B323" t="str">
        <f>DATA!R323</f>
        <v>1 Star</v>
      </c>
      <c r="G323">
        <v>80</v>
      </c>
      <c r="H323">
        <f>DATA!C323</f>
        <v>390</v>
      </c>
    </row>
    <row r="324" spans="1:8" x14ac:dyDescent="0.3">
      <c r="A324" t="s">
        <v>39</v>
      </c>
      <c r="B324" t="str">
        <f>DATA!R324</f>
        <v>5 Star</v>
      </c>
      <c r="G324">
        <v>34</v>
      </c>
      <c r="H324">
        <f>DATA!C324</f>
        <v>760</v>
      </c>
    </row>
    <row r="325" spans="1:8" x14ac:dyDescent="0.3">
      <c r="A325" t="s">
        <v>41</v>
      </c>
      <c r="B325" t="str">
        <f>DATA!R325</f>
        <v>1 Star</v>
      </c>
      <c r="G325">
        <v>79</v>
      </c>
      <c r="H325">
        <f>DATA!C325</f>
        <v>508</v>
      </c>
    </row>
    <row r="326" spans="1:8" x14ac:dyDescent="0.3">
      <c r="A326" t="s">
        <v>41</v>
      </c>
      <c r="B326" t="str">
        <f>DATA!R326</f>
        <v>4 Star</v>
      </c>
      <c r="G326">
        <v>84</v>
      </c>
      <c r="H326">
        <f>DATA!C326</f>
        <v>739</v>
      </c>
    </row>
    <row r="327" spans="1:8" x14ac:dyDescent="0.3">
      <c r="A327" t="s">
        <v>42</v>
      </c>
      <c r="B327" t="str">
        <f>DATA!R327</f>
        <v>1 Star</v>
      </c>
      <c r="G327">
        <v>29</v>
      </c>
      <c r="H327">
        <f>DATA!C327</f>
        <v>493</v>
      </c>
    </row>
    <row r="328" spans="1:8" x14ac:dyDescent="0.3">
      <c r="A328" t="s">
        <v>39</v>
      </c>
      <c r="B328" t="str">
        <f>DATA!R328</f>
        <v>5 Star</v>
      </c>
      <c r="G328">
        <v>49</v>
      </c>
      <c r="H328">
        <f>DATA!C328</f>
        <v>797</v>
      </c>
    </row>
    <row r="329" spans="1:8" x14ac:dyDescent="0.3">
      <c r="A329" t="s">
        <v>42</v>
      </c>
      <c r="B329" t="str">
        <f>DATA!R329</f>
        <v>5 Star</v>
      </c>
      <c r="G329">
        <v>28</v>
      </c>
      <c r="H329">
        <f>DATA!C329</f>
        <v>835</v>
      </c>
    </row>
    <row r="330" spans="1:8" x14ac:dyDescent="0.3">
      <c r="A330" t="s">
        <v>39</v>
      </c>
      <c r="B330" t="str">
        <f>DATA!R330</f>
        <v>1 Star</v>
      </c>
      <c r="G330">
        <v>38</v>
      </c>
      <c r="H330">
        <f>DATA!C330</f>
        <v>387</v>
      </c>
    </row>
    <row r="331" spans="1:8" x14ac:dyDescent="0.3">
      <c r="A331" t="s">
        <v>39</v>
      </c>
      <c r="B331" t="str">
        <f>DATA!R331</f>
        <v>1 Star</v>
      </c>
      <c r="G331">
        <v>32</v>
      </c>
      <c r="H331">
        <f>DATA!C331</f>
        <v>409</v>
      </c>
    </row>
    <row r="332" spans="1:8" x14ac:dyDescent="0.3">
      <c r="A332" t="s">
        <v>40</v>
      </c>
      <c r="B332" t="str">
        <f>DATA!R332</f>
        <v>1 Star</v>
      </c>
      <c r="G332">
        <v>70</v>
      </c>
      <c r="H332">
        <f>DATA!C332</f>
        <v>463</v>
      </c>
    </row>
    <row r="333" spans="1:8" x14ac:dyDescent="0.3">
      <c r="A333" t="s">
        <v>41</v>
      </c>
      <c r="B333" t="str">
        <f>DATA!R333</f>
        <v>1 Star</v>
      </c>
      <c r="G333">
        <v>89</v>
      </c>
      <c r="H333">
        <f>DATA!C333</f>
        <v>445</v>
      </c>
    </row>
    <row r="334" spans="1:8" x14ac:dyDescent="0.3">
      <c r="A334" t="s">
        <v>39</v>
      </c>
      <c r="B334" t="str">
        <f>DATA!R334</f>
        <v>4 Star</v>
      </c>
      <c r="G334">
        <v>47</v>
      </c>
      <c r="H334">
        <f>DATA!C334</f>
        <v>702</v>
      </c>
    </row>
    <row r="335" spans="1:8" x14ac:dyDescent="0.3">
      <c r="A335" t="s">
        <v>42</v>
      </c>
      <c r="B335" t="str">
        <f>DATA!R335</f>
        <v>5 Star</v>
      </c>
      <c r="G335">
        <v>23</v>
      </c>
      <c r="H335">
        <f>DATA!C335</f>
        <v>846</v>
      </c>
    </row>
    <row r="336" spans="1:8" x14ac:dyDescent="0.3">
      <c r="A336" t="s">
        <v>39</v>
      </c>
      <c r="B336" t="str">
        <f>DATA!R336</f>
        <v>2 Star</v>
      </c>
      <c r="G336">
        <v>32</v>
      </c>
      <c r="H336">
        <f>DATA!C336</f>
        <v>558</v>
      </c>
    </row>
    <row r="337" spans="1:8" x14ac:dyDescent="0.3">
      <c r="A337" t="s">
        <v>40</v>
      </c>
      <c r="B337" t="str">
        <f>DATA!R337</f>
        <v>3 Star</v>
      </c>
      <c r="G337">
        <v>69</v>
      </c>
      <c r="H337">
        <f>DATA!C337</f>
        <v>638</v>
      </c>
    </row>
    <row r="338" spans="1:8" x14ac:dyDescent="0.3">
      <c r="A338" t="s">
        <v>39</v>
      </c>
      <c r="B338" t="str">
        <f>DATA!R338</f>
        <v>1 Star</v>
      </c>
      <c r="G338">
        <v>50</v>
      </c>
      <c r="H338">
        <f>DATA!C338</f>
        <v>412</v>
      </c>
    </row>
    <row r="339" spans="1:8" x14ac:dyDescent="0.3">
      <c r="A339" t="s">
        <v>39</v>
      </c>
      <c r="B339" t="str">
        <f>DATA!R339</f>
        <v>4 Star</v>
      </c>
      <c r="G339">
        <v>41</v>
      </c>
      <c r="H339">
        <f>DATA!C339</f>
        <v>744</v>
      </c>
    </row>
    <row r="340" spans="1:8" x14ac:dyDescent="0.3">
      <c r="A340" t="s">
        <v>42</v>
      </c>
      <c r="B340" t="str">
        <f>DATA!R340</f>
        <v>4 Star</v>
      </c>
      <c r="G340">
        <v>24</v>
      </c>
      <c r="H340">
        <f>DATA!C340</f>
        <v>746</v>
      </c>
    </row>
    <row r="341" spans="1:8" x14ac:dyDescent="0.3">
      <c r="A341" t="s">
        <v>41</v>
      </c>
      <c r="B341" t="str">
        <f>DATA!R341</f>
        <v>1 Star</v>
      </c>
      <c r="G341">
        <v>91</v>
      </c>
      <c r="H341">
        <f>DATA!C341</f>
        <v>443</v>
      </c>
    </row>
    <row r="342" spans="1:8" x14ac:dyDescent="0.3">
      <c r="A342" t="s">
        <v>41</v>
      </c>
      <c r="B342" t="str">
        <f>DATA!R342</f>
        <v>3 Star</v>
      </c>
      <c r="G342">
        <v>83</v>
      </c>
      <c r="H342">
        <f>DATA!C342</f>
        <v>670</v>
      </c>
    </row>
    <row r="343" spans="1:8" x14ac:dyDescent="0.3">
      <c r="A343" t="s">
        <v>41</v>
      </c>
      <c r="B343" t="str">
        <f>DATA!R343</f>
        <v>5 Star</v>
      </c>
      <c r="G343">
        <v>88</v>
      </c>
      <c r="H343">
        <f>DATA!C343</f>
        <v>763</v>
      </c>
    </row>
    <row r="344" spans="1:8" x14ac:dyDescent="0.3">
      <c r="A344" t="s">
        <v>40</v>
      </c>
      <c r="B344" t="str">
        <f>DATA!R344</f>
        <v>3 Star</v>
      </c>
      <c r="G344">
        <v>58</v>
      </c>
      <c r="H344">
        <f>DATA!C344</f>
        <v>696</v>
      </c>
    </row>
    <row r="345" spans="1:8" x14ac:dyDescent="0.3">
      <c r="A345" t="s">
        <v>41</v>
      </c>
      <c r="B345" t="str">
        <f>DATA!R345</f>
        <v>5 Star</v>
      </c>
      <c r="G345">
        <v>78</v>
      </c>
      <c r="H345">
        <f>DATA!C345</f>
        <v>837</v>
      </c>
    </row>
    <row r="346" spans="1:8" x14ac:dyDescent="0.3">
      <c r="A346" t="s">
        <v>40</v>
      </c>
      <c r="B346" t="str">
        <f>DATA!R346</f>
        <v>1 Star</v>
      </c>
      <c r="G346">
        <v>54</v>
      </c>
      <c r="H346">
        <f>DATA!C346</f>
        <v>500</v>
      </c>
    </row>
    <row r="347" spans="1:8" x14ac:dyDescent="0.3">
      <c r="A347" t="s">
        <v>42</v>
      </c>
      <c r="B347" t="str">
        <f>DATA!R347</f>
        <v>5 Star</v>
      </c>
      <c r="G347">
        <v>30</v>
      </c>
      <c r="H347">
        <f>DATA!C347</f>
        <v>753</v>
      </c>
    </row>
    <row r="348" spans="1:8" x14ac:dyDescent="0.3">
      <c r="A348" t="s">
        <v>40</v>
      </c>
      <c r="B348" t="str">
        <f>DATA!R348</f>
        <v>4 Star</v>
      </c>
      <c r="G348">
        <v>53</v>
      </c>
      <c r="H348">
        <f>DATA!C348</f>
        <v>739</v>
      </c>
    </row>
    <row r="349" spans="1:8" x14ac:dyDescent="0.3">
      <c r="A349" t="s">
        <v>41</v>
      </c>
      <c r="B349" t="str">
        <f>DATA!R349</f>
        <v>3 Star</v>
      </c>
      <c r="G349">
        <v>80</v>
      </c>
      <c r="H349">
        <f>DATA!C349</f>
        <v>642</v>
      </c>
    </row>
    <row r="350" spans="1:8" x14ac:dyDescent="0.3">
      <c r="A350" t="s">
        <v>41</v>
      </c>
      <c r="B350" t="str">
        <f>DATA!R350</f>
        <v>1 Star</v>
      </c>
      <c r="G350">
        <v>87</v>
      </c>
      <c r="H350">
        <f>DATA!C350</f>
        <v>433</v>
      </c>
    </row>
    <row r="351" spans="1:8" x14ac:dyDescent="0.3">
      <c r="A351" t="s">
        <v>41</v>
      </c>
      <c r="B351" t="str">
        <f>DATA!R351</f>
        <v>1 Star</v>
      </c>
      <c r="G351">
        <v>80</v>
      </c>
      <c r="H351">
        <f>DATA!C351</f>
        <v>477</v>
      </c>
    </row>
    <row r="352" spans="1:8" x14ac:dyDescent="0.3">
      <c r="A352" t="s">
        <v>41</v>
      </c>
      <c r="B352" t="str">
        <f>DATA!R352</f>
        <v>5 Star</v>
      </c>
      <c r="G352">
        <v>76</v>
      </c>
      <c r="H352">
        <f>DATA!C352</f>
        <v>834</v>
      </c>
    </row>
    <row r="353" spans="1:8" x14ac:dyDescent="0.3">
      <c r="A353" t="s">
        <v>39</v>
      </c>
      <c r="B353" t="str">
        <f>DATA!R353</f>
        <v>3 Star</v>
      </c>
      <c r="G353">
        <v>36</v>
      </c>
      <c r="H353">
        <f>DATA!C353</f>
        <v>611</v>
      </c>
    </row>
    <row r="354" spans="1:8" x14ac:dyDescent="0.3">
      <c r="A354" t="s">
        <v>42</v>
      </c>
      <c r="B354" t="str">
        <f>DATA!R354</f>
        <v>3 Star</v>
      </c>
      <c r="G354">
        <v>18</v>
      </c>
      <c r="H354">
        <f>DATA!C354</f>
        <v>698</v>
      </c>
    </row>
    <row r="355" spans="1:8" x14ac:dyDescent="0.3">
      <c r="A355" t="s">
        <v>42</v>
      </c>
      <c r="B355" t="str">
        <f>DATA!R355</f>
        <v>5 Star</v>
      </c>
      <c r="G355">
        <v>19</v>
      </c>
      <c r="H355">
        <f>DATA!C355</f>
        <v>810</v>
      </c>
    </row>
    <row r="356" spans="1:8" x14ac:dyDescent="0.3">
      <c r="A356" t="s">
        <v>39</v>
      </c>
      <c r="B356" t="str">
        <f>DATA!R356</f>
        <v>1 Star</v>
      </c>
      <c r="G356">
        <v>39</v>
      </c>
      <c r="H356">
        <f>DATA!C356</f>
        <v>504</v>
      </c>
    </row>
    <row r="357" spans="1:8" x14ac:dyDescent="0.3">
      <c r="A357" t="s">
        <v>39</v>
      </c>
      <c r="B357" t="str">
        <f>DATA!R357</f>
        <v>2 Star</v>
      </c>
      <c r="G357">
        <v>31</v>
      </c>
      <c r="H357">
        <f>DATA!C357</f>
        <v>591</v>
      </c>
    </row>
    <row r="358" spans="1:8" x14ac:dyDescent="0.3">
      <c r="A358" t="s">
        <v>41</v>
      </c>
      <c r="B358" t="str">
        <f>DATA!R358</f>
        <v>1 Star</v>
      </c>
      <c r="G358">
        <v>85</v>
      </c>
      <c r="H358">
        <f>DATA!C358</f>
        <v>433</v>
      </c>
    </row>
    <row r="359" spans="1:8" x14ac:dyDescent="0.3">
      <c r="A359" t="s">
        <v>39</v>
      </c>
      <c r="B359" t="str">
        <f>DATA!R359</f>
        <v>4 Star</v>
      </c>
      <c r="G359">
        <v>35</v>
      </c>
      <c r="H359">
        <f>DATA!C359</f>
        <v>746</v>
      </c>
    </row>
    <row r="360" spans="1:8" x14ac:dyDescent="0.3">
      <c r="A360" t="s">
        <v>42</v>
      </c>
      <c r="B360" t="str">
        <f>DATA!R360</f>
        <v>5 Star</v>
      </c>
      <c r="G360">
        <v>23</v>
      </c>
      <c r="H360">
        <f>DATA!C360</f>
        <v>836</v>
      </c>
    </row>
    <row r="361" spans="1:8" x14ac:dyDescent="0.3">
      <c r="A361" t="s">
        <v>39</v>
      </c>
      <c r="B361" t="str">
        <f>DATA!R361</f>
        <v>1 Star</v>
      </c>
      <c r="G361">
        <v>44</v>
      </c>
      <c r="H361">
        <f>DATA!C361</f>
        <v>485</v>
      </c>
    </row>
    <row r="362" spans="1:8" x14ac:dyDescent="0.3">
      <c r="A362" t="s">
        <v>41</v>
      </c>
      <c r="B362" t="str">
        <f>DATA!R362</f>
        <v>2 Star</v>
      </c>
      <c r="G362">
        <v>81</v>
      </c>
      <c r="H362">
        <f>DATA!C362</f>
        <v>530</v>
      </c>
    </row>
    <row r="363" spans="1:8" x14ac:dyDescent="0.3">
      <c r="A363" t="s">
        <v>39</v>
      </c>
      <c r="B363" t="str">
        <f>DATA!R363</f>
        <v>1 Star</v>
      </c>
      <c r="G363">
        <v>45</v>
      </c>
      <c r="H363">
        <f>DATA!C363</f>
        <v>430</v>
      </c>
    </row>
    <row r="364" spans="1:8" x14ac:dyDescent="0.3">
      <c r="A364" t="s">
        <v>40</v>
      </c>
      <c r="B364" t="str">
        <f>DATA!R364</f>
        <v>5 Star</v>
      </c>
      <c r="G364">
        <v>59</v>
      </c>
      <c r="H364">
        <f>DATA!C364</f>
        <v>763</v>
      </c>
    </row>
    <row r="365" spans="1:8" x14ac:dyDescent="0.3">
      <c r="A365" t="s">
        <v>39</v>
      </c>
      <c r="B365" t="str">
        <f>DATA!R365</f>
        <v>1 Star</v>
      </c>
      <c r="G365">
        <v>31</v>
      </c>
      <c r="H365">
        <f>DATA!C365</f>
        <v>350</v>
      </c>
    </row>
    <row r="366" spans="1:8" x14ac:dyDescent="0.3">
      <c r="A366" t="s">
        <v>40</v>
      </c>
      <c r="B366" t="str">
        <f>DATA!R366</f>
        <v>2 Star</v>
      </c>
      <c r="G366">
        <v>63</v>
      </c>
      <c r="H366">
        <f>DATA!C366</f>
        <v>565</v>
      </c>
    </row>
    <row r="367" spans="1:8" x14ac:dyDescent="0.3">
      <c r="A367" t="s">
        <v>40</v>
      </c>
      <c r="B367" t="str">
        <f>DATA!R367</f>
        <v>2 Star</v>
      </c>
      <c r="G367">
        <v>66</v>
      </c>
      <c r="H367">
        <f>DATA!C367</f>
        <v>557</v>
      </c>
    </row>
    <row r="368" spans="1:8" x14ac:dyDescent="0.3">
      <c r="A368" t="s">
        <v>41</v>
      </c>
      <c r="B368" t="str">
        <f>DATA!R368</f>
        <v>3 Star</v>
      </c>
      <c r="G368">
        <v>74</v>
      </c>
      <c r="H368">
        <f>DATA!C368</f>
        <v>680</v>
      </c>
    </row>
    <row r="369" spans="1:8" x14ac:dyDescent="0.3">
      <c r="A369" t="s">
        <v>41</v>
      </c>
      <c r="B369" t="str">
        <f>DATA!R369</f>
        <v>3 Star</v>
      </c>
      <c r="G369">
        <v>76</v>
      </c>
      <c r="H369">
        <f>DATA!C369</f>
        <v>602</v>
      </c>
    </row>
    <row r="370" spans="1:8" x14ac:dyDescent="0.3">
      <c r="A370" t="s">
        <v>39</v>
      </c>
      <c r="B370" t="str">
        <f>DATA!R370</f>
        <v>1 Star</v>
      </c>
      <c r="G370">
        <v>35</v>
      </c>
      <c r="H370">
        <f>DATA!C370</f>
        <v>481</v>
      </c>
    </row>
    <row r="371" spans="1:8" x14ac:dyDescent="0.3">
      <c r="A371" t="s">
        <v>42</v>
      </c>
      <c r="B371" t="str">
        <f>DATA!R371</f>
        <v>1 Star</v>
      </c>
      <c r="G371">
        <v>25</v>
      </c>
      <c r="H371">
        <f>DATA!C371</f>
        <v>411</v>
      </c>
    </row>
    <row r="372" spans="1:8" x14ac:dyDescent="0.3">
      <c r="A372" t="s">
        <v>39</v>
      </c>
      <c r="B372" t="str">
        <f>DATA!R372</f>
        <v>3 Star</v>
      </c>
      <c r="G372">
        <v>44</v>
      </c>
      <c r="H372">
        <f>DATA!C372</f>
        <v>673</v>
      </c>
    </row>
    <row r="373" spans="1:8" x14ac:dyDescent="0.3">
      <c r="A373" t="s">
        <v>39</v>
      </c>
      <c r="B373" t="str">
        <f>DATA!R373</f>
        <v>1 Star</v>
      </c>
      <c r="G373">
        <v>35</v>
      </c>
      <c r="H373">
        <f>DATA!C373</f>
        <v>494</v>
      </c>
    </row>
    <row r="374" spans="1:8" x14ac:dyDescent="0.3">
      <c r="A374" t="s">
        <v>41</v>
      </c>
      <c r="B374" t="str">
        <f>DATA!R374</f>
        <v>4 Star</v>
      </c>
      <c r="G374">
        <v>86</v>
      </c>
      <c r="H374">
        <f>DATA!C374</f>
        <v>718</v>
      </c>
    </row>
    <row r="375" spans="1:8" x14ac:dyDescent="0.3">
      <c r="A375" t="s">
        <v>40</v>
      </c>
      <c r="B375" t="str">
        <f>DATA!R375</f>
        <v>5 Star</v>
      </c>
      <c r="G375">
        <v>61</v>
      </c>
      <c r="H375">
        <f>DATA!C375</f>
        <v>807</v>
      </c>
    </row>
    <row r="376" spans="1:8" x14ac:dyDescent="0.3">
      <c r="A376" t="s">
        <v>40</v>
      </c>
      <c r="B376" t="str">
        <f>DATA!R376</f>
        <v>1 Star</v>
      </c>
      <c r="G376">
        <v>65</v>
      </c>
      <c r="H376">
        <f>DATA!C376</f>
        <v>434</v>
      </c>
    </row>
    <row r="377" spans="1:8" x14ac:dyDescent="0.3">
      <c r="A377" t="s">
        <v>41</v>
      </c>
      <c r="B377" t="str">
        <f>DATA!R377</f>
        <v>1 Star</v>
      </c>
      <c r="G377">
        <v>90</v>
      </c>
      <c r="H377">
        <f>DATA!C377</f>
        <v>466</v>
      </c>
    </row>
    <row r="378" spans="1:8" x14ac:dyDescent="0.3">
      <c r="A378" t="s">
        <v>41</v>
      </c>
      <c r="B378" t="str">
        <f>DATA!R378</f>
        <v>2 Star</v>
      </c>
      <c r="G378">
        <v>76</v>
      </c>
      <c r="H378">
        <f>DATA!C378</f>
        <v>579</v>
      </c>
    </row>
    <row r="379" spans="1:8" x14ac:dyDescent="0.3">
      <c r="A379" t="s">
        <v>39</v>
      </c>
      <c r="B379" t="str">
        <f>DATA!R379</f>
        <v>3 Star</v>
      </c>
      <c r="G379">
        <v>45</v>
      </c>
      <c r="H379">
        <f>DATA!C379</f>
        <v>605</v>
      </c>
    </row>
    <row r="380" spans="1:8" x14ac:dyDescent="0.3">
      <c r="A380" t="s">
        <v>42</v>
      </c>
      <c r="B380" t="str">
        <f>DATA!R380</f>
        <v>3 Star</v>
      </c>
      <c r="G380">
        <v>24</v>
      </c>
      <c r="H380">
        <f>DATA!C380</f>
        <v>662</v>
      </c>
    </row>
    <row r="381" spans="1:8" x14ac:dyDescent="0.3">
      <c r="A381" t="s">
        <v>42</v>
      </c>
      <c r="B381" t="str">
        <f>DATA!R381</f>
        <v>3 Star</v>
      </c>
      <c r="G381">
        <v>25</v>
      </c>
      <c r="H381">
        <f>DATA!C381</f>
        <v>668</v>
      </c>
    </row>
    <row r="382" spans="1:8" x14ac:dyDescent="0.3">
      <c r="A382" t="s">
        <v>41</v>
      </c>
      <c r="B382" t="str">
        <f>DATA!R382</f>
        <v>5 Star</v>
      </c>
      <c r="G382">
        <v>71</v>
      </c>
      <c r="H382">
        <f>DATA!C382</f>
        <v>790</v>
      </c>
    </row>
    <row r="383" spans="1:8" x14ac:dyDescent="0.3">
      <c r="A383" t="s">
        <v>39</v>
      </c>
      <c r="B383" t="str">
        <f>DATA!R383</f>
        <v>1 Star</v>
      </c>
      <c r="G383">
        <v>44</v>
      </c>
      <c r="H383">
        <f>DATA!C383</f>
        <v>398</v>
      </c>
    </row>
    <row r="384" spans="1:8" x14ac:dyDescent="0.3">
      <c r="A384" t="s">
        <v>40</v>
      </c>
      <c r="B384" t="str">
        <f>DATA!R384</f>
        <v>1 Star</v>
      </c>
      <c r="G384">
        <v>55</v>
      </c>
      <c r="H384">
        <f>DATA!C384</f>
        <v>495</v>
      </c>
    </row>
    <row r="385" spans="1:8" x14ac:dyDescent="0.3">
      <c r="A385" t="s">
        <v>40</v>
      </c>
      <c r="B385" t="str">
        <f>DATA!R385</f>
        <v>4 Star</v>
      </c>
      <c r="G385">
        <v>67</v>
      </c>
      <c r="H385">
        <f>DATA!C385</f>
        <v>723</v>
      </c>
    </row>
    <row r="386" spans="1:8" x14ac:dyDescent="0.3">
      <c r="A386" t="s">
        <v>39</v>
      </c>
      <c r="B386" t="str">
        <f>DATA!R386</f>
        <v>5 Star</v>
      </c>
      <c r="G386">
        <v>38</v>
      </c>
      <c r="H386">
        <f>DATA!C386</f>
        <v>791</v>
      </c>
    </row>
    <row r="387" spans="1:8" x14ac:dyDescent="0.3">
      <c r="A387" t="s">
        <v>41</v>
      </c>
      <c r="B387" t="str">
        <f>DATA!R387</f>
        <v>1 Star</v>
      </c>
      <c r="G387">
        <v>74</v>
      </c>
      <c r="H387">
        <f>DATA!C387</f>
        <v>359</v>
      </c>
    </row>
    <row r="388" spans="1:8" x14ac:dyDescent="0.3">
      <c r="A388" t="s">
        <v>41</v>
      </c>
      <c r="B388" t="str">
        <f>DATA!R388</f>
        <v>5 Star</v>
      </c>
      <c r="G388">
        <v>79</v>
      </c>
      <c r="H388">
        <f>DATA!C388</f>
        <v>842</v>
      </c>
    </row>
    <row r="389" spans="1:8" x14ac:dyDescent="0.3">
      <c r="A389" t="s">
        <v>41</v>
      </c>
      <c r="B389" t="str">
        <f>DATA!R389</f>
        <v>2 Star</v>
      </c>
      <c r="G389">
        <v>73</v>
      </c>
      <c r="H389">
        <f>DATA!C389</f>
        <v>540</v>
      </c>
    </row>
    <row r="390" spans="1:8" x14ac:dyDescent="0.3">
      <c r="A390" t="s">
        <v>39</v>
      </c>
      <c r="B390" t="str">
        <f>DATA!R390</f>
        <v>1 Star</v>
      </c>
      <c r="G390">
        <v>41</v>
      </c>
      <c r="H390">
        <f>DATA!C390</f>
        <v>429</v>
      </c>
    </row>
    <row r="391" spans="1:8" x14ac:dyDescent="0.3">
      <c r="A391" t="s">
        <v>41</v>
      </c>
      <c r="B391" t="str">
        <f>DATA!R391</f>
        <v>2 Star</v>
      </c>
      <c r="G391">
        <v>75</v>
      </c>
      <c r="H391">
        <f>DATA!C391</f>
        <v>580</v>
      </c>
    </row>
    <row r="392" spans="1:8" x14ac:dyDescent="0.3">
      <c r="A392" t="s">
        <v>42</v>
      </c>
      <c r="B392" t="str">
        <f>DATA!R392</f>
        <v>2 Star</v>
      </c>
      <c r="G392">
        <v>27</v>
      </c>
      <c r="H392">
        <f>DATA!C392</f>
        <v>556</v>
      </c>
    </row>
    <row r="393" spans="1:8" x14ac:dyDescent="0.3">
      <c r="A393" t="s">
        <v>42</v>
      </c>
      <c r="B393" t="str">
        <f>DATA!R393</f>
        <v>5 Star</v>
      </c>
      <c r="G393">
        <v>18</v>
      </c>
      <c r="H393">
        <f>DATA!C393</f>
        <v>767</v>
      </c>
    </row>
    <row r="394" spans="1:8" x14ac:dyDescent="0.3">
      <c r="A394" t="s">
        <v>39</v>
      </c>
      <c r="B394" t="str">
        <f>DATA!R394</f>
        <v>4 Star</v>
      </c>
      <c r="G394">
        <v>37</v>
      </c>
      <c r="H394">
        <f>DATA!C394</f>
        <v>738</v>
      </c>
    </row>
    <row r="395" spans="1:8" x14ac:dyDescent="0.3">
      <c r="A395" t="s">
        <v>41</v>
      </c>
      <c r="B395" t="str">
        <f>DATA!R395</f>
        <v>4 Star</v>
      </c>
      <c r="G395">
        <v>89</v>
      </c>
      <c r="H395">
        <f>DATA!C395</f>
        <v>750</v>
      </c>
    </row>
    <row r="396" spans="1:8" x14ac:dyDescent="0.3">
      <c r="A396" t="s">
        <v>40</v>
      </c>
      <c r="B396" t="str">
        <f>DATA!R396</f>
        <v>2 Star</v>
      </c>
      <c r="G396">
        <v>68</v>
      </c>
      <c r="H396">
        <f>DATA!C396</f>
        <v>578</v>
      </c>
    </row>
    <row r="397" spans="1:8" x14ac:dyDescent="0.3">
      <c r="A397" t="s">
        <v>40</v>
      </c>
      <c r="B397" t="str">
        <f>DATA!R397</f>
        <v>3 Star</v>
      </c>
      <c r="G397">
        <v>56</v>
      </c>
      <c r="H397">
        <f>DATA!C397</f>
        <v>677</v>
      </c>
    </row>
    <row r="398" spans="1:8" x14ac:dyDescent="0.3">
      <c r="A398" t="s">
        <v>41</v>
      </c>
      <c r="B398" t="str">
        <f>DATA!R398</f>
        <v>3 Star</v>
      </c>
      <c r="G398">
        <v>85</v>
      </c>
      <c r="H398">
        <f>DATA!C398</f>
        <v>668</v>
      </c>
    </row>
    <row r="399" spans="1:8" x14ac:dyDescent="0.3">
      <c r="A399" t="s">
        <v>39</v>
      </c>
      <c r="B399" t="str">
        <f>DATA!R399</f>
        <v>3 Star</v>
      </c>
      <c r="G399">
        <v>48</v>
      </c>
      <c r="H399">
        <f>DATA!C399</f>
        <v>629</v>
      </c>
    </row>
    <row r="400" spans="1:8" x14ac:dyDescent="0.3">
      <c r="A400" t="s">
        <v>40</v>
      </c>
      <c r="B400" t="str">
        <f>DATA!R400</f>
        <v>3 Star</v>
      </c>
      <c r="G400">
        <v>55</v>
      </c>
      <c r="H400">
        <f>DATA!C400</f>
        <v>697</v>
      </c>
    </row>
    <row r="401" spans="1:8" x14ac:dyDescent="0.3">
      <c r="A401" t="s">
        <v>41</v>
      </c>
      <c r="B401" t="str">
        <f>DATA!R401</f>
        <v>4 Star</v>
      </c>
      <c r="G401">
        <v>74</v>
      </c>
      <c r="H401">
        <f>DATA!C401</f>
        <v>716</v>
      </c>
    </row>
    <row r="402" spans="1:8" x14ac:dyDescent="0.3">
      <c r="A402" t="s">
        <v>42</v>
      </c>
      <c r="B402" t="str">
        <f>DATA!R402</f>
        <v>1 Star</v>
      </c>
      <c r="G402">
        <v>23</v>
      </c>
      <c r="H402">
        <f>DATA!C402</f>
        <v>357</v>
      </c>
    </row>
    <row r="403" spans="1:8" x14ac:dyDescent="0.3">
      <c r="A403" t="s">
        <v>41</v>
      </c>
      <c r="B403" t="str">
        <f>DATA!R403</f>
        <v>3 Star</v>
      </c>
      <c r="G403">
        <v>77</v>
      </c>
      <c r="H403">
        <f>DATA!C403</f>
        <v>628</v>
      </c>
    </row>
    <row r="404" spans="1:8" x14ac:dyDescent="0.3">
      <c r="A404" t="s">
        <v>41</v>
      </c>
      <c r="B404" t="str">
        <f>DATA!R404</f>
        <v>4 Star</v>
      </c>
      <c r="G404">
        <v>79</v>
      </c>
      <c r="H404">
        <f>DATA!C404</f>
        <v>704</v>
      </c>
    </row>
    <row r="405" spans="1:8" x14ac:dyDescent="0.3">
      <c r="A405" t="s">
        <v>39</v>
      </c>
      <c r="B405" t="str">
        <f>DATA!R405</f>
        <v>1 Star</v>
      </c>
      <c r="G405">
        <v>49</v>
      </c>
      <c r="H405">
        <f>DATA!C405</f>
        <v>508</v>
      </c>
    </row>
    <row r="406" spans="1:8" x14ac:dyDescent="0.3">
      <c r="A406" t="s">
        <v>41</v>
      </c>
      <c r="B406" t="str">
        <f>DATA!R406</f>
        <v>2 Star</v>
      </c>
      <c r="G406">
        <v>88</v>
      </c>
      <c r="H406">
        <f>DATA!C406</f>
        <v>596</v>
      </c>
    </row>
    <row r="407" spans="1:8" x14ac:dyDescent="0.3">
      <c r="A407" t="s">
        <v>39</v>
      </c>
      <c r="B407" t="str">
        <f>DATA!R407</f>
        <v>1 Star</v>
      </c>
      <c r="G407">
        <v>35</v>
      </c>
      <c r="H407">
        <f>DATA!C407</f>
        <v>430</v>
      </c>
    </row>
    <row r="408" spans="1:8" x14ac:dyDescent="0.3">
      <c r="A408" t="s">
        <v>39</v>
      </c>
      <c r="B408" t="str">
        <f>DATA!R408</f>
        <v>1 Star</v>
      </c>
      <c r="G408">
        <v>49</v>
      </c>
      <c r="H408">
        <f>DATA!C408</f>
        <v>505</v>
      </c>
    </row>
    <row r="409" spans="1:8" x14ac:dyDescent="0.3">
      <c r="A409" t="s">
        <v>39</v>
      </c>
      <c r="B409" t="str">
        <f>DATA!R409</f>
        <v>1 Star</v>
      </c>
      <c r="G409">
        <v>49</v>
      </c>
      <c r="H409">
        <f>DATA!C409</f>
        <v>397</v>
      </c>
    </row>
    <row r="410" spans="1:8" x14ac:dyDescent="0.3">
      <c r="A410" t="s">
        <v>40</v>
      </c>
      <c r="B410" t="str">
        <f>DATA!R410</f>
        <v>5 Star</v>
      </c>
      <c r="G410">
        <v>57</v>
      </c>
      <c r="H410">
        <f>DATA!C410</f>
        <v>845</v>
      </c>
    </row>
    <row r="411" spans="1:8" x14ac:dyDescent="0.3">
      <c r="A411" t="s">
        <v>40</v>
      </c>
      <c r="B411" t="str">
        <f>DATA!R411</f>
        <v>1 Star</v>
      </c>
      <c r="G411">
        <v>68</v>
      </c>
      <c r="H411">
        <f>DATA!C411</f>
        <v>464</v>
      </c>
    </row>
    <row r="412" spans="1:8" x14ac:dyDescent="0.3">
      <c r="A412" t="s">
        <v>40</v>
      </c>
      <c r="B412" t="str">
        <f>DATA!R412</f>
        <v>1 Star</v>
      </c>
      <c r="G412">
        <v>56</v>
      </c>
      <c r="H412">
        <f>DATA!C412</f>
        <v>361</v>
      </c>
    </row>
    <row r="413" spans="1:8" x14ac:dyDescent="0.3">
      <c r="A413" t="s">
        <v>41</v>
      </c>
      <c r="B413" t="str">
        <f>DATA!R413</f>
        <v>5 Star</v>
      </c>
      <c r="G413">
        <v>86</v>
      </c>
      <c r="H413">
        <f>DATA!C413</f>
        <v>821</v>
      </c>
    </row>
    <row r="414" spans="1:8" x14ac:dyDescent="0.3">
      <c r="A414" t="s">
        <v>40</v>
      </c>
      <c r="B414" t="str">
        <f>DATA!R414</f>
        <v>3 Star</v>
      </c>
      <c r="G414">
        <v>57</v>
      </c>
      <c r="H414">
        <f>DATA!C414</f>
        <v>684</v>
      </c>
    </row>
    <row r="415" spans="1:8" x14ac:dyDescent="0.3">
      <c r="A415" t="s">
        <v>39</v>
      </c>
      <c r="B415" t="str">
        <f>DATA!R415</f>
        <v>5 Star</v>
      </c>
      <c r="G415">
        <v>31</v>
      </c>
      <c r="H415">
        <f>DATA!C415</f>
        <v>837</v>
      </c>
    </row>
    <row r="416" spans="1:8" x14ac:dyDescent="0.3">
      <c r="A416" t="s">
        <v>40</v>
      </c>
      <c r="B416" t="str">
        <f>DATA!R416</f>
        <v>3 Star</v>
      </c>
      <c r="G416">
        <v>53</v>
      </c>
      <c r="H416">
        <f>DATA!C416</f>
        <v>636</v>
      </c>
    </row>
    <row r="417" spans="1:8" x14ac:dyDescent="0.3">
      <c r="A417" t="s">
        <v>42</v>
      </c>
      <c r="B417" t="str">
        <f>DATA!R417</f>
        <v>1 Star</v>
      </c>
      <c r="G417">
        <v>29</v>
      </c>
      <c r="H417">
        <f>DATA!C417</f>
        <v>440</v>
      </c>
    </row>
    <row r="418" spans="1:8" x14ac:dyDescent="0.3">
      <c r="A418" t="s">
        <v>41</v>
      </c>
      <c r="B418" t="str">
        <f>DATA!R418</f>
        <v>3 Star</v>
      </c>
      <c r="G418">
        <v>72</v>
      </c>
      <c r="H418">
        <f>DATA!C418</f>
        <v>640</v>
      </c>
    </row>
    <row r="419" spans="1:8" x14ac:dyDescent="0.3">
      <c r="A419" t="s">
        <v>40</v>
      </c>
      <c r="B419" t="str">
        <f>DATA!R419</f>
        <v>1 Star</v>
      </c>
      <c r="G419">
        <v>54</v>
      </c>
      <c r="H419">
        <f>DATA!C419</f>
        <v>404</v>
      </c>
    </row>
    <row r="420" spans="1:8" x14ac:dyDescent="0.3">
      <c r="A420" t="s">
        <v>40</v>
      </c>
      <c r="B420" t="str">
        <f>DATA!R420</f>
        <v>3 Star</v>
      </c>
      <c r="G420">
        <v>69</v>
      </c>
      <c r="H420">
        <f>DATA!C420</f>
        <v>687</v>
      </c>
    </row>
    <row r="421" spans="1:8" x14ac:dyDescent="0.3">
      <c r="A421" t="s">
        <v>40</v>
      </c>
      <c r="B421" t="str">
        <f>DATA!R421</f>
        <v>1 Star</v>
      </c>
      <c r="G421">
        <v>52</v>
      </c>
      <c r="H421">
        <f>DATA!C421</f>
        <v>513</v>
      </c>
    </row>
    <row r="422" spans="1:8" x14ac:dyDescent="0.3">
      <c r="A422" t="s">
        <v>41</v>
      </c>
      <c r="B422" t="str">
        <f>DATA!R422</f>
        <v>1 Star</v>
      </c>
      <c r="G422">
        <v>76</v>
      </c>
      <c r="H422">
        <f>DATA!C422</f>
        <v>421</v>
      </c>
    </row>
    <row r="423" spans="1:8" x14ac:dyDescent="0.3">
      <c r="A423" t="s">
        <v>39</v>
      </c>
      <c r="B423" t="str">
        <f>DATA!R423</f>
        <v>4 Star</v>
      </c>
      <c r="G423">
        <v>46</v>
      </c>
      <c r="H423">
        <f>DATA!C423</f>
        <v>715</v>
      </c>
    </row>
    <row r="424" spans="1:8" x14ac:dyDescent="0.3">
      <c r="A424" t="s">
        <v>42</v>
      </c>
      <c r="B424" t="str">
        <f>DATA!R424</f>
        <v>3 Star</v>
      </c>
      <c r="G424">
        <v>27</v>
      </c>
      <c r="H424">
        <f>DATA!C424</f>
        <v>665</v>
      </c>
    </row>
    <row r="425" spans="1:8" x14ac:dyDescent="0.3">
      <c r="A425" t="s">
        <v>42</v>
      </c>
      <c r="B425" t="str">
        <f>DATA!R425</f>
        <v>1 Star</v>
      </c>
      <c r="G425">
        <v>26</v>
      </c>
      <c r="H425">
        <f>DATA!C425</f>
        <v>462</v>
      </c>
    </row>
    <row r="426" spans="1:8" x14ac:dyDescent="0.3">
      <c r="A426" t="s">
        <v>39</v>
      </c>
      <c r="B426" t="str">
        <f>DATA!R426</f>
        <v>5 Star</v>
      </c>
      <c r="G426">
        <v>35</v>
      </c>
      <c r="H426">
        <f>DATA!C426</f>
        <v>771</v>
      </c>
    </row>
    <row r="427" spans="1:8" x14ac:dyDescent="0.3">
      <c r="A427" t="s">
        <v>39</v>
      </c>
      <c r="B427" t="str">
        <f>DATA!R427</f>
        <v>1 Star</v>
      </c>
      <c r="G427">
        <v>43</v>
      </c>
      <c r="H427">
        <f>DATA!C427</f>
        <v>418</v>
      </c>
    </row>
    <row r="428" spans="1:8" x14ac:dyDescent="0.3">
      <c r="A428" t="s">
        <v>41</v>
      </c>
      <c r="B428" t="str">
        <f>DATA!R428</f>
        <v>5 Star</v>
      </c>
      <c r="G428">
        <v>77</v>
      </c>
      <c r="H428">
        <f>DATA!C428</f>
        <v>787</v>
      </c>
    </row>
    <row r="429" spans="1:8" x14ac:dyDescent="0.3">
      <c r="A429" t="s">
        <v>41</v>
      </c>
      <c r="B429" t="str">
        <f>DATA!R429</f>
        <v>1 Star</v>
      </c>
      <c r="G429">
        <v>77</v>
      </c>
      <c r="H429">
        <f>DATA!C429</f>
        <v>363</v>
      </c>
    </row>
    <row r="430" spans="1:8" x14ac:dyDescent="0.3">
      <c r="A430" t="s">
        <v>41</v>
      </c>
      <c r="B430" t="str">
        <f>DATA!R430</f>
        <v>1 Star</v>
      </c>
      <c r="G430">
        <v>76</v>
      </c>
      <c r="H430">
        <f>DATA!C430</f>
        <v>451</v>
      </c>
    </row>
    <row r="431" spans="1:8" x14ac:dyDescent="0.3">
      <c r="A431" t="s">
        <v>39</v>
      </c>
      <c r="B431" t="str">
        <f>DATA!R431</f>
        <v>3 Star</v>
      </c>
      <c r="G431">
        <v>36</v>
      </c>
      <c r="H431">
        <f>DATA!C431</f>
        <v>625</v>
      </c>
    </row>
    <row r="432" spans="1:8" x14ac:dyDescent="0.3">
      <c r="A432" t="s">
        <v>42</v>
      </c>
      <c r="B432" t="str">
        <f>DATA!R432</f>
        <v>4 Star</v>
      </c>
      <c r="G432">
        <v>30</v>
      </c>
      <c r="H432">
        <f>DATA!C432</f>
        <v>713</v>
      </c>
    </row>
    <row r="433" spans="1:8" x14ac:dyDescent="0.3">
      <c r="A433" t="s">
        <v>42</v>
      </c>
      <c r="B433" t="str">
        <f>DATA!R433</f>
        <v>3 Star</v>
      </c>
      <c r="G433">
        <v>19</v>
      </c>
      <c r="H433">
        <f>DATA!C433</f>
        <v>614</v>
      </c>
    </row>
    <row r="434" spans="1:8" x14ac:dyDescent="0.3">
      <c r="A434" t="s">
        <v>39</v>
      </c>
      <c r="B434" t="str">
        <f>DATA!R434</f>
        <v>4 Star</v>
      </c>
      <c r="G434">
        <v>45</v>
      </c>
      <c r="H434">
        <f>DATA!C434</f>
        <v>702</v>
      </c>
    </row>
    <row r="435" spans="1:8" x14ac:dyDescent="0.3">
      <c r="A435" t="s">
        <v>42</v>
      </c>
      <c r="B435" t="str">
        <f>DATA!R435</f>
        <v>2 Star</v>
      </c>
      <c r="G435">
        <v>28</v>
      </c>
      <c r="H435">
        <f>DATA!C435</f>
        <v>559</v>
      </c>
    </row>
    <row r="436" spans="1:8" x14ac:dyDescent="0.3">
      <c r="A436" t="s">
        <v>41</v>
      </c>
      <c r="B436" t="str">
        <f>DATA!R436</f>
        <v>2 Star</v>
      </c>
      <c r="G436">
        <v>85</v>
      </c>
      <c r="H436">
        <f>DATA!C436</f>
        <v>547</v>
      </c>
    </row>
    <row r="437" spans="1:8" x14ac:dyDescent="0.3">
      <c r="A437" t="s">
        <v>41</v>
      </c>
      <c r="B437" t="str">
        <f>DATA!R437</f>
        <v>4 Star</v>
      </c>
      <c r="G437">
        <v>79</v>
      </c>
      <c r="H437">
        <f>DATA!C437</f>
        <v>730</v>
      </c>
    </row>
    <row r="438" spans="1:8" x14ac:dyDescent="0.3">
      <c r="A438" t="s">
        <v>39</v>
      </c>
      <c r="B438" t="str">
        <f>DATA!R438</f>
        <v>1 Star</v>
      </c>
      <c r="G438">
        <v>34</v>
      </c>
      <c r="H438">
        <f>DATA!C438</f>
        <v>450</v>
      </c>
    </row>
    <row r="439" spans="1:8" x14ac:dyDescent="0.3">
      <c r="A439" t="s">
        <v>39</v>
      </c>
      <c r="B439" t="str">
        <f>DATA!R439</f>
        <v>4 Star</v>
      </c>
      <c r="G439">
        <v>45</v>
      </c>
      <c r="H439">
        <f>DATA!C439</f>
        <v>735</v>
      </c>
    </row>
    <row r="440" spans="1:8" x14ac:dyDescent="0.3">
      <c r="A440" t="s">
        <v>42</v>
      </c>
      <c r="B440" t="str">
        <f>DATA!R440</f>
        <v>3 Star</v>
      </c>
      <c r="G440">
        <v>24</v>
      </c>
      <c r="H440">
        <f>DATA!C440</f>
        <v>603</v>
      </c>
    </row>
    <row r="441" spans="1:8" x14ac:dyDescent="0.3">
      <c r="A441" t="s">
        <v>42</v>
      </c>
      <c r="B441" t="str">
        <f>DATA!R441</f>
        <v>1 Star</v>
      </c>
      <c r="G441">
        <v>18</v>
      </c>
      <c r="H441">
        <f>DATA!C441</f>
        <v>507</v>
      </c>
    </row>
    <row r="442" spans="1:8" x14ac:dyDescent="0.3">
      <c r="A442" t="s">
        <v>42</v>
      </c>
      <c r="B442" t="str">
        <f>DATA!R442</f>
        <v>4 Star</v>
      </c>
      <c r="G442">
        <v>25</v>
      </c>
      <c r="H442">
        <f>DATA!C442</f>
        <v>739</v>
      </c>
    </row>
    <row r="443" spans="1:8" x14ac:dyDescent="0.3">
      <c r="A443" t="s">
        <v>39</v>
      </c>
      <c r="B443" t="str">
        <f>DATA!R443</f>
        <v>5 Star</v>
      </c>
      <c r="G443">
        <v>43</v>
      </c>
      <c r="H443">
        <f>DATA!C443</f>
        <v>814</v>
      </c>
    </row>
    <row r="444" spans="1:8" x14ac:dyDescent="0.3">
      <c r="A444" t="s">
        <v>41</v>
      </c>
      <c r="B444" t="str">
        <f>DATA!R444</f>
        <v>2 Star</v>
      </c>
      <c r="G444">
        <v>85</v>
      </c>
      <c r="H444">
        <f>DATA!C444</f>
        <v>580</v>
      </c>
    </row>
    <row r="445" spans="1:8" x14ac:dyDescent="0.3">
      <c r="A445" t="s">
        <v>41</v>
      </c>
      <c r="B445" t="str">
        <f>DATA!R445</f>
        <v>5 Star</v>
      </c>
      <c r="G445">
        <v>77</v>
      </c>
      <c r="H445">
        <f>DATA!C445</f>
        <v>774</v>
      </c>
    </row>
    <row r="446" spans="1:8" x14ac:dyDescent="0.3">
      <c r="A446" t="s">
        <v>40</v>
      </c>
      <c r="B446" t="str">
        <f>DATA!R446</f>
        <v>1 Star</v>
      </c>
      <c r="G446">
        <v>54</v>
      </c>
      <c r="H446">
        <f>DATA!C446</f>
        <v>500</v>
      </c>
    </row>
    <row r="447" spans="1:8" x14ac:dyDescent="0.3">
      <c r="A447" t="s">
        <v>40</v>
      </c>
      <c r="B447" t="str">
        <f>DATA!R447</f>
        <v>1 Star</v>
      </c>
      <c r="G447">
        <v>62</v>
      </c>
      <c r="H447">
        <f>DATA!C447</f>
        <v>380</v>
      </c>
    </row>
    <row r="448" spans="1:8" x14ac:dyDescent="0.3">
      <c r="A448" t="s">
        <v>41</v>
      </c>
      <c r="B448" t="str">
        <f>DATA!R448</f>
        <v>3 Star</v>
      </c>
      <c r="G448">
        <v>90</v>
      </c>
      <c r="H448">
        <f>DATA!C448</f>
        <v>605</v>
      </c>
    </row>
    <row r="449" spans="1:8" x14ac:dyDescent="0.3">
      <c r="A449" t="s">
        <v>40</v>
      </c>
      <c r="B449" t="str">
        <f>DATA!R449</f>
        <v>1 Star</v>
      </c>
      <c r="G449">
        <v>56</v>
      </c>
      <c r="H449">
        <f>DATA!C449</f>
        <v>369</v>
      </c>
    </row>
    <row r="450" spans="1:8" x14ac:dyDescent="0.3">
      <c r="A450" t="s">
        <v>40</v>
      </c>
      <c r="B450" t="str">
        <f>DATA!R450</f>
        <v>3 Star</v>
      </c>
      <c r="G450">
        <v>60</v>
      </c>
      <c r="H450">
        <f>DATA!C450</f>
        <v>610</v>
      </c>
    </row>
    <row r="451" spans="1:8" x14ac:dyDescent="0.3">
      <c r="A451" t="s">
        <v>40</v>
      </c>
      <c r="B451" t="str">
        <f>DATA!R451</f>
        <v>1 Star</v>
      </c>
      <c r="G451">
        <v>54</v>
      </c>
      <c r="H451">
        <f>DATA!C451</f>
        <v>498</v>
      </c>
    </row>
    <row r="452" spans="1:8" x14ac:dyDescent="0.3">
      <c r="A452" t="s">
        <v>41</v>
      </c>
      <c r="B452" t="str">
        <f>DATA!R452</f>
        <v>4 Star</v>
      </c>
      <c r="G452">
        <v>86</v>
      </c>
      <c r="H452">
        <f>DATA!C452</f>
        <v>712</v>
      </c>
    </row>
    <row r="453" spans="1:8" x14ac:dyDescent="0.3">
      <c r="A453" t="s">
        <v>39</v>
      </c>
      <c r="B453" t="str">
        <f>DATA!R453</f>
        <v>1 Star</v>
      </c>
      <c r="G453">
        <v>31</v>
      </c>
      <c r="H453">
        <f>DATA!C453</f>
        <v>424</v>
      </c>
    </row>
    <row r="454" spans="1:8" x14ac:dyDescent="0.3">
      <c r="A454" t="s">
        <v>39</v>
      </c>
      <c r="B454" t="str">
        <f>DATA!R454</f>
        <v>1 Star</v>
      </c>
      <c r="G454">
        <v>31</v>
      </c>
      <c r="H454">
        <f>DATA!C454</f>
        <v>473</v>
      </c>
    </row>
    <row r="455" spans="1:8" x14ac:dyDescent="0.3">
      <c r="A455" t="s">
        <v>40</v>
      </c>
      <c r="B455" t="str">
        <f>DATA!R455</f>
        <v>5 Star</v>
      </c>
      <c r="G455">
        <v>59</v>
      </c>
      <c r="H455">
        <f>DATA!C455</f>
        <v>801</v>
      </c>
    </row>
    <row r="456" spans="1:8" x14ac:dyDescent="0.3">
      <c r="A456" t="s">
        <v>41</v>
      </c>
      <c r="B456" t="str">
        <f>DATA!R456</f>
        <v>2 Star</v>
      </c>
      <c r="G456">
        <v>90</v>
      </c>
      <c r="H456">
        <f>DATA!C456</f>
        <v>564</v>
      </c>
    </row>
    <row r="457" spans="1:8" x14ac:dyDescent="0.3">
      <c r="A457" t="s">
        <v>42</v>
      </c>
      <c r="B457" t="str">
        <f>DATA!R457</f>
        <v>3 Star</v>
      </c>
      <c r="G457">
        <v>24</v>
      </c>
      <c r="H457">
        <f>DATA!C457</f>
        <v>666</v>
      </c>
    </row>
    <row r="458" spans="1:8" x14ac:dyDescent="0.3">
      <c r="A458" t="s">
        <v>42</v>
      </c>
      <c r="B458" t="str">
        <f>DATA!R458</f>
        <v>2 Star</v>
      </c>
      <c r="G458">
        <v>30</v>
      </c>
      <c r="H458">
        <f>DATA!C458</f>
        <v>579</v>
      </c>
    </row>
    <row r="459" spans="1:8" x14ac:dyDescent="0.3">
      <c r="A459" t="s">
        <v>42</v>
      </c>
      <c r="B459" t="str">
        <f>DATA!R459</f>
        <v>2 Star</v>
      </c>
      <c r="G459">
        <v>21</v>
      </c>
      <c r="H459">
        <f>DATA!C459</f>
        <v>600</v>
      </c>
    </row>
    <row r="460" spans="1:8" x14ac:dyDescent="0.3">
      <c r="A460" t="s">
        <v>39</v>
      </c>
      <c r="B460" t="str">
        <f>DATA!R460</f>
        <v>1 Star</v>
      </c>
      <c r="G460">
        <v>34</v>
      </c>
      <c r="H460">
        <f>DATA!C460</f>
        <v>443</v>
      </c>
    </row>
    <row r="461" spans="1:8" x14ac:dyDescent="0.3">
      <c r="A461" t="s">
        <v>42</v>
      </c>
      <c r="B461" t="str">
        <f>DATA!R461</f>
        <v>1 Star</v>
      </c>
      <c r="G461">
        <v>23</v>
      </c>
      <c r="H461">
        <f>DATA!C461</f>
        <v>519</v>
      </c>
    </row>
    <row r="462" spans="1:8" x14ac:dyDescent="0.3">
      <c r="A462" t="s">
        <v>40</v>
      </c>
      <c r="B462" t="str">
        <f>DATA!R462</f>
        <v>1 Star</v>
      </c>
      <c r="G462">
        <v>58</v>
      </c>
      <c r="H462">
        <f>DATA!C462</f>
        <v>390</v>
      </c>
    </row>
    <row r="463" spans="1:8" x14ac:dyDescent="0.3">
      <c r="A463" t="s">
        <v>41</v>
      </c>
      <c r="B463" t="str">
        <f>DATA!R463</f>
        <v>2 Star</v>
      </c>
      <c r="G463">
        <v>73</v>
      </c>
      <c r="H463">
        <f>DATA!C463</f>
        <v>538</v>
      </c>
    </row>
    <row r="464" spans="1:8" x14ac:dyDescent="0.3">
      <c r="A464" t="s">
        <v>39</v>
      </c>
      <c r="B464" t="str">
        <f>DATA!R464</f>
        <v>2 Star</v>
      </c>
      <c r="G464">
        <v>47</v>
      </c>
      <c r="H464">
        <f>DATA!C464</f>
        <v>559</v>
      </c>
    </row>
    <row r="465" spans="1:8" x14ac:dyDescent="0.3">
      <c r="A465" t="s">
        <v>41</v>
      </c>
      <c r="B465" t="str">
        <f>DATA!R465</f>
        <v>2 Star</v>
      </c>
      <c r="G465">
        <v>71</v>
      </c>
      <c r="H465">
        <f>DATA!C465</f>
        <v>529</v>
      </c>
    </row>
    <row r="466" spans="1:8" x14ac:dyDescent="0.3">
      <c r="A466" t="s">
        <v>39</v>
      </c>
      <c r="B466" t="str">
        <f>DATA!R466</f>
        <v>3 Star</v>
      </c>
      <c r="G466">
        <v>40</v>
      </c>
      <c r="H466">
        <f>DATA!C466</f>
        <v>646</v>
      </c>
    </row>
    <row r="467" spans="1:8" x14ac:dyDescent="0.3">
      <c r="A467" t="s">
        <v>39</v>
      </c>
      <c r="B467" t="str">
        <f>DATA!R467</f>
        <v>1 Star</v>
      </c>
      <c r="G467">
        <v>41</v>
      </c>
      <c r="H467">
        <f>DATA!C467</f>
        <v>409</v>
      </c>
    </row>
    <row r="468" spans="1:8" x14ac:dyDescent="0.3">
      <c r="A468" t="s">
        <v>40</v>
      </c>
      <c r="B468" t="str">
        <f>DATA!R468</f>
        <v>5 Star</v>
      </c>
      <c r="G468">
        <v>54</v>
      </c>
      <c r="H468">
        <f>DATA!C468</f>
        <v>840</v>
      </c>
    </row>
    <row r="469" spans="1:8" x14ac:dyDescent="0.3">
      <c r="A469" t="s">
        <v>41</v>
      </c>
      <c r="B469" t="str">
        <f>DATA!R469</f>
        <v>5 Star</v>
      </c>
      <c r="G469">
        <v>77</v>
      </c>
      <c r="H469">
        <f>DATA!C469</f>
        <v>828</v>
      </c>
    </row>
    <row r="470" spans="1:8" x14ac:dyDescent="0.3">
      <c r="A470" t="s">
        <v>40</v>
      </c>
      <c r="B470" t="str">
        <f>DATA!R470</f>
        <v>1 Star</v>
      </c>
      <c r="G470">
        <v>52</v>
      </c>
      <c r="H470">
        <f>DATA!C470</f>
        <v>379</v>
      </c>
    </row>
    <row r="471" spans="1:8" x14ac:dyDescent="0.3">
      <c r="A471" t="s">
        <v>41</v>
      </c>
      <c r="B471" t="str">
        <f>DATA!R471</f>
        <v>2 Star</v>
      </c>
      <c r="G471">
        <v>88</v>
      </c>
      <c r="H471">
        <f>DATA!C471</f>
        <v>575</v>
      </c>
    </row>
    <row r="472" spans="1:8" x14ac:dyDescent="0.3">
      <c r="A472" t="s">
        <v>42</v>
      </c>
      <c r="B472" t="str">
        <f>DATA!R472</f>
        <v>1 Star</v>
      </c>
      <c r="G472">
        <v>24</v>
      </c>
      <c r="H472">
        <f>DATA!C472</f>
        <v>444</v>
      </c>
    </row>
    <row r="473" spans="1:8" x14ac:dyDescent="0.3">
      <c r="A473" t="s">
        <v>39</v>
      </c>
      <c r="B473" t="str">
        <f>DATA!R473</f>
        <v>2 Star</v>
      </c>
      <c r="G473">
        <v>35</v>
      </c>
      <c r="H473">
        <f>DATA!C473</f>
        <v>588</v>
      </c>
    </row>
    <row r="474" spans="1:8" x14ac:dyDescent="0.3">
      <c r="A474" t="s">
        <v>40</v>
      </c>
      <c r="B474" t="str">
        <f>DATA!R474</f>
        <v>1 Star</v>
      </c>
      <c r="G474">
        <v>66</v>
      </c>
      <c r="H474">
        <f>DATA!C474</f>
        <v>515</v>
      </c>
    </row>
    <row r="475" spans="1:8" x14ac:dyDescent="0.3">
      <c r="A475" t="s">
        <v>40</v>
      </c>
      <c r="B475" t="str">
        <f>DATA!R475</f>
        <v>4 Star</v>
      </c>
      <c r="G475">
        <v>55</v>
      </c>
      <c r="H475">
        <f>DATA!C475</f>
        <v>732</v>
      </c>
    </row>
    <row r="476" spans="1:8" x14ac:dyDescent="0.3">
      <c r="A476" t="s">
        <v>42</v>
      </c>
      <c r="B476" t="str">
        <f>DATA!R476</f>
        <v>2 Star</v>
      </c>
      <c r="G476">
        <v>18</v>
      </c>
      <c r="H476">
        <f>DATA!C476</f>
        <v>566</v>
      </c>
    </row>
    <row r="477" spans="1:8" x14ac:dyDescent="0.3">
      <c r="A477" t="s">
        <v>42</v>
      </c>
      <c r="B477" t="str">
        <f>DATA!R477</f>
        <v>3 Star</v>
      </c>
      <c r="G477">
        <v>22</v>
      </c>
      <c r="H477">
        <f>DATA!C477</f>
        <v>622</v>
      </c>
    </row>
    <row r="478" spans="1:8" x14ac:dyDescent="0.3">
      <c r="A478" t="s">
        <v>41</v>
      </c>
      <c r="B478" t="str">
        <f>DATA!R478</f>
        <v>4 Star</v>
      </c>
      <c r="G478">
        <v>78</v>
      </c>
      <c r="H478">
        <f>DATA!C478</f>
        <v>705</v>
      </c>
    </row>
    <row r="479" spans="1:8" x14ac:dyDescent="0.3">
      <c r="A479" t="s">
        <v>42</v>
      </c>
      <c r="B479" t="str">
        <f>DATA!R479</f>
        <v>1 Star</v>
      </c>
      <c r="G479">
        <v>28</v>
      </c>
      <c r="H479">
        <f>DATA!C479</f>
        <v>517</v>
      </c>
    </row>
    <row r="480" spans="1:8" x14ac:dyDescent="0.3">
      <c r="A480" t="s">
        <v>39</v>
      </c>
      <c r="B480" t="str">
        <f>DATA!R480</f>
        <v>1 Star</v>
      </c>
      <c r="G480">
        <v>47</v>
      </c>
      <c r="H480">
        <f>DATA!C480</f>
        <v>507</v>
      </c>
    </row>
    <row r="481" spans="1:8" x14ac:dyDescent="0.3">
      <c r="A481" t="s">
        <v>39</v>
      </c>
      <c r="B481" t="str">
        <f>DATA!R481</f>
        <v>1 Star</v>
      </c>
      <c r="G481">
        <v>31</v>
      </c>
      <c r="H481">
        <f>DATA!C481</f>
        <v>415</v>
      </c>
    </row>
    <row r="482" spans="1:8" x14ac:dyDescent="0.3">
      <c r="A482" t="s">
        <v>39</v>
      </c>
      <c r="B482" t="str">
        <f>DATA!R482</f>
        <v>3 Star</v>
      </c>
      <c r="G482">
        <v>37</v>
      </c>
      <c r="H482">
        <f>DATA!C482</f>
        <v>629</v>
      </c>
    </row>
    <row r="483" spans="1:8" x14ac:dyDescent="0.3">
      <c r="A483" t="s">
        <v>40</v>
      </c>
      <c r="B483" t="str">
        <f>DATA!R483</f>
        <v>2 Star</v>
      </c>
      <c r="G483">
        <v>59</v>
      </c>
      <c r="H483">
        <f>DATA!C483</f>
        <v>550</v>
      </c>
    </row>
    <row r="484" spans="1:8" x14ac:dyDescent="0.3">
      <c r="A484" t="s">
        <v>40</v>
      </c>
      <c r="B484" t="str">
        <f>DATA!R484</f>
        <v>4 Star</v>
      </c>
      <c r="G484">
        <v>62</v>
      </c>
      <c r="H484">
        <f>DATA!C484</f>
        <v>734</v>
      </c>
    </row>
    <row r="485" spans="1:8" x14ac:dyDescent="0.3">
      <c r="A485" t="s">
        <v>40</v>
      </c>
      <c r="B485" t="str">
        <f>DATA!R485</f>
        <v>1 Star</v>
      </c>
      <c r="G485">
        <v>69</v>
      </c>
      <c r="H485">
        <f>DATA!C485</f>
        <v>437</v>
      </c>
    </row>
    <row r="486" spans="1:8" x14ac:dyDescent="0.3">
      <c r="A486" t="s">
        <v>39</v>
      </c>
      <c r="B486" t="str">
        <f>DATA!R486</f>
        <v>3 Star</v>
      </c>
      <c r="G486">
        <v>34</v>
      </c>
      <c r="H486">
        <f>DATA!C486</f>
        <v>643</v>
      </c>
    </row>
    <row r="487" spans="1:8" x14ac:dyDescent="0.3">
      <c r="A487" t="s">
        <v>40</v>
      </c>
      <c r="B487" t="str">
        <f>DATA!R487</f>
        <v>4 Star</v>
      </c>
      <c r="G487">
        <v>55</v>
      </c>
      <c r="H487">
        <f>DATA!C487</f>
        <v>717</v>
      </c>
    </row>
    <row r="488" spans="1:8" x14ac:dyDescent="0.3">
      <c r="A488" t="s">
        <v>39</v>
      </c>
      <c r="B488" t="str">
        <f>DATA!R488</f>
        <v>5 Star</v>
      </c>
      <c r="G488">
        <v>32</v>
      </c>
      <c r="H488">
        <f>DATA!C488</f>
        <v>797</v>
      </c>
    </row>
    <row r="489" spans="1:8" x14ac:dyDescent="0.3">
      <c r="A489" t="s">
        <v>40</v>
      </c>
      <c r="B489" t="str">
        <f>DATA!R489</f>
        <v>5 Star</v>
      </c>
      <c r="G489">
        <v>54</v>
      </c>
      <c r="H489">
        <f>DATA!C489</f>
        <v>760</v>
      </c>
    </row>
    <row r="490" spans="1:8" x14ac:dyDescent="0.3">
      <c r="A490" t="s">
        <v>42</v>
      </c>
      <c r="B490" t="str">
        <f>DATA!R490</f>
        <v>2 Star</v>
      </c>
      <c r="G490">
        <v>22</v>
      </c>
      <c r="H490">
        <f>DATA!C490</f>
        <v>567</v>
      </c>
    </row>
    <row r="491" spans="1:8" x14ac:dyDescent="0.3">
      <c r="A491" t="s">
        <v>40</v>
      </c>
      <c r="B491" t="str">
        <f>DATA!R491</f>
        <v>3 Star</v>
      </c>
      <c r="G491">
        <v>65</v>
      </c>
      <c r="H491">
        <f>DATA!C491</f>
        <v>695</v>
      </c>
    </row>
    <row r="492" spans="1:8" x14ac:dyDescent="0.3">
      <c r="A492" t="s">
        <v>42</v>
      </c>
      <c r="B492" t="str">
        <f>DATA!R492</f>
        <v>1 Star</v>
      </c>
      <c r="G492">
        <v>18</v>
      </c>
      <c r="H492">
        <f>DATA!C492</f>
        <v>484</v>
      </c>
    </row>
    <row r="493" spans="1:8" x14ac:dyDescent="0.3">
      <c r="A493" t="s">
        <v>40</v>
      </c>
      <c r="B493" t="str">
        <f>DATA!R493</f>
        <v>2 Star</v>
      </c>
      <c r="G493">
        <v>67</v>
      </c>
      <c r="H493">
        <f>DATA!C493</f>
        <v>566</v>
      </c>
    </row>
    <row r="494" spans="1:8" x14ac:dyDescent="0.3">
      <c r="A494" t="s">
        <v>40</v>
      </c>
      <c r="B494" t="str">
        <f>DATA!R494</f>
        <v>5 Star</v>
      </c>
      <c r="G494">
        <v>55</v>
      </c>
      <c r="H494">
        <f>DATA!C494</f>
        <v>813</v>
      </c>
    </row>
    <row r="495" spans="1:8" x14ac:dyDescent="0.3">
      <c r="A495" t="s">
        <v>40</v>
      </c>
      <c r="B495" t="str">
        <f>DATA!R495</f>
        <v>1 Star</v>
      </c>
      <c r="G495">
        <v>62</v>
      </c>
      <c r="H495">
        <f>DATA!C495</f>
        <v>451</v>
      </c>
    </row>
    <row r="496" spans="1:8" x14ac:dyDescent="0.3">
      <c r="A496" t="s">
        <v>41</v>
      </c>
      <c r="B496" t="str">
        <f>DATA!R496</f>
        <v>3 Star</v>
      </c>
      <c r="G496">
        <v>87</v>
      </c>
      <c r="H496">
        <f>DATA!C496</f>
        <v>647</v>
      </c>
    </row>
    <row r="497" spans="1:8" x14ac:dyDescent="0.3">
      <c r="A497" t="s">
        <v>39</v>
      </c>
      <c r="B497" t="str">
        <f>DATA!R497</f>
        <v>5 Star</v>
      </c>
      <c r="G497">
        <v>34</v>
      </c>
      <c r="H497">
        <f>DATA!C497</f>
        <v>751</v>
      </c>
    </row>
    <row r="498" spans="1:8" x14ac:dyDescent="0.3">
      <c r="A498" t="s">
        <v>39</v>
      </c>
      <c r="B498" t="str">
        <f>DATA!R498</f>
        <v>5 Star</v>
      </c>
      <c r="G498">
        <v>34</v>
      </c>
      <c r="H498">
        <f>DATA!C498</f>
        <v>814</v>
      </c>
    </row>
    <row r="499" spans="1:8" x14ac:dyDescent="0.3">
      <c r="A499" t="s">
        <v>42</v>
      </c>
      <c r="B499" t="str">
        <f>DATA!R499</f>
        <v>4 Star</v>
      </c>
      <c r="G499">
        <v>28</v>
      </c>
      <c r="H499">
        <f>DATA!C499</f>
        <v>718</v>
      </c>
    </row>
    <row r="500" spans="1:8" x14ac:dyDescent="0.3">
      <c r="A500" t="s">
        <v>42</v>
      </c>
      <c r="B500" t="str">
        <f>DATA!R500</f>
        <v>1 Star</v>
      </c>
      <c r="G500">
        <v>23</v>
      </c>
      <c r="H500">
        <f>DATA!C500</f>
        <v>393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B9EF0-C106-4722-8171-5C27BC9391BD}">
  <dimension ref="A3:B25"/>
  <sheetViews>
    <sheetView workbookViewId="0">
      <selection activeCell="A14" sqref="A14"/>
    </sheetView>
  </sheetViews>
  <sheetFormatPr defaultRowHeight="14.4" x14ac:dyDescent="0.3"/>
  <cols>
    <col min="1" max="1" width="12.5546875" bestFit="1" customWidth="1"/>
    <col min="2" max="2" width="14" bestFit="1" customWidth="1"/>
    <col min="3" max="3" width="4" bestFit="1" customWidth="1"/>
    <col min="4" max="4" width="10.77734375" bestFit="1" customWidth="1"/>
    <col min="5" max="5" width="7.21875" bestFit="1" customWidth="1"/>
    <col min="6" max="6" width="4" bestFit="1" customWidth="1"/>
    <col min="7" max="7" width="9.88671875" bestFit="1" customWidth="1"/>
    <col min="8" max="8" width="10.77734375" bestFit="1" customWidth="1"/>
  </cols>
  <sheetData>
    <row r="3" spans="1:2" x14ac:dyDescent="0.3">
      <c r="A3" s="6" t="s">
        <v>34</v>
      </c>
      <c r="B3" t="s">
        <v>36</v>
      </c>
    </row>
    <row r="4" spans="1:2" x14ac:dyDescent="0.3">
      <c r="A4" s="7" t="s">
        <v>26</v>
      </c>
      <c r="B4" s="37">
        <v>258</v>
      </c>
    </row>
    <row r="5" spans="1:2" x14ac:dyDescent="0.3">
      <c r="A5" s="8">
        <v>0</v>
      </c>
      <c r="B5" s="37">
        <v>129</v>
      </c>
    </row>
    <row r="6" spans="1:2" x14ac:dyDescent="0.3">
      <c r="A6" s="8">
        <v>1</v>
      </c>
      <c r="B6" s="37">
        <v>129</v>
      </c>
    </row>
    <row r="7" spans="1:2" x14ac:dyDescent="0.3">
      <c r="A7" s="7" t="s">
        <v>60</v>
      </c>
      <c r="B7" s="37">
        <v>241</v>
      </c>
    </row>
    <row r="8" spans="1:2" x14ac:dyDescent="0.3">
      <c r="A8" s="8">
        <v>0</v>
      </c>
      <c r="B8" s="37">
        <v>98</v>
      </c>
    </row>
    <row r="9" spans="1:2" x14ac:dyDescent="0.3">
      <c r="A9" s="8">
        <v>1</v>
      </c>
      <c r="B9" s="37">
        <v>143</v>
      </c>
    </row>
    <row r="10" spans="1:2" x14ac:dyDescent="0.3">
      <c r="A10" s="7" t="s">
        <v>35</v>
      </c>
      <c r="B10" s="37">
        <v>499</v>
      </c>
    </row>
    <row r="13" spans="1:2" x14ac:dyDescent="0.3">
      <c r="A13" s="6" t="s">
        <v>34</v>
      </c>
      <c r="B13" t="s">
        <v>36</v>
      </c>
    </row>
    <row r="14" spans="1:2" x14ac:dyDescent="0.3">
      <c r="A14" s="7" t="s">
        <v>24</v>
      </c>
      <c r="B14" s="37">
        <v>171</v>
      </c>
    </row>
    <row r="15" spans="1:2" x14ac:dyDescent="0.3">
      <c r="A15" s="8">
        <v>0</v>
      </c>
      <c r="B15" s="37">
        <v>69</v>
      </c>
    </row>
    <row r="16" spans="1:2" x14ac:dyDescent="0.3">
      <c r="A16" s="8">
        <v>1</v>
      </c>
      <c r="B16" s="37">
        <v>102</v>
      </c>
    </row>
    <row r="17" spans="1:2" x14ac:dyDescent="0.3">
      <c r="A17" s="7" t="s">
        <v>35</v>
      </c>
      <c r="B17" s="37">
        <v>171</v>
      </c>
    </row>
    <row r="21" spans="1:2" x14ac:dyDescent="0.3">
      <c r="A21" s="6" t="s">
        <v>34</v>
      </c>
      <c r="B21" t="s">
        <v>36</v>
      </c>
    </row>
    <row r="22" spans="1:2" x14ac:dyDescent="0.3">
      <c r="A22" s="7" t="s">
        <v>41</v>
      </c>
      <c r="B22">
        <v>144</v>
      </c>
    </row>
    <row r="23" spans="1:2" x14ac:dyDescent="0.3">
      <c r="A23" s="8">
        <v>0</v>
      </c>
      <c r="B23">
        <v>62</v>
      </c>
    </row>
    <row r="24" spans="1:2" x14ac:dyDescent="0.3">
      <c r="A24" s="8">
        <v>1</v>
      </c>
      <c r="B24">
        <v>82</v>
      </c>
    </row>
    <row r="25" spans="1:2" x14ac:dyDescent="0.3">
      <c r="A25" s="7" t="s">
        <v>35</v>
      </c>
      <c r="B25">
        <v>144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64CCD-2935-44F5-881C-2917E2CDB6D6}">
  <dimension ref="A1:B34"/>
  <sheetViews>
    <sheetView topLeftCell="A10" workbookViewId="0">
      <selection activeCell="B2" sqref="B2"/>
    </sheetView>
  </sheetViews>
  <sheetFormatPr defaultRowHeight="14.4" x14ac:dyDescent="0.3"/>
  <cols>
    <col min="1" max="1" width="18.44140625" bestFit="1" customWidth="1"/>
    <col min="2" max="2" width="14" bestFit="1" customWidth="1"/>
    <col min="3" max="3" width="12.5546875" bestFit="1" customWidth="1"/>
  </cols>
  <sheetData>
    <row r="1" spans="1:2" x14ac:dyDescent="0.3">
      <c r="A1" s="6" t="s">
        <v>43</v>
      </c>
      <c r="B1" t="s">
        <v>36</v>
      </c>
    </row>
    <row r="2" spans="1:2" x14ac:dyDescent="0.3">
      <c r="A2" s="7">
        <v>0</v>
      </c>
      <c r="B2" s="37">
        <v>262</v>
      </c>
    </row>
    <row r="3" spans="1:2" x14ac:dyDescent="0.3">
      <c r="A3" s="7">
        <v>1</v>
      </c>
      <c r="B3" s="37">
        <v>237</v>
      </c>
    </row>
    <row r="4" spans="1:2" x14ac:dyDescent="0.3">
      <c r="A4" s="7" t="s">
        <v>35</v>
      </c>
      <c r="B4" s="37">
        <v>499</v>
      </c>
    </row>
    <row r="11" spans="1:2" x14ac:dyDescent="0.3">
      <c r="A11" s="6" t="s">
        <v>44</v>
      </c>
      <c r="B11" t="s">
        <v>36</v>
      </c>
    </row>
    <row r="12" spans="1:2" x14ac:dyDescent="0.3">
      <c r="A12" s="7">
        <v>0</v>
      </c>
      <c r="B12">
        <v>252</v>
      </c>
    </row>
    <row r="13" spans="1:2" x14ac:dyDescent="0.3">
      <c r="A13" s="8">
        <v>0</v>
      </c>
      <c r="B13">
        <v>111</v>
      </c>
    </row>
    <row r="14" spans="1:2" x14ac:dyDescent="0.3">
      <c r="A14" s="8">
        <v>1</v>
      </c>
      <c r="B14">
        <v>141</v>
      </c>
    </row>
    <row r="15" spans="1:2" x14ac:dyDescent="0.3">
      <c r="A15" s="7">
        <v>1</v>
      </c>
      <c r="B15">
        <v>247</v>
      </c>
    </row>
    <row r="16" spans="1:2" x14ac:dyDescent="0.3">
      <c r="A16" s="8">
        <v>0</v>
      </c>
      <c r="B16">
        <v>116</v>
      </c>
    </row>
    <row r="17" spans="1:2" x14ac:dyDescent="0.3">
      <c r="A17" s="8">
        <v>1</v>
      </c>
      <c r="B17">
        <v>131</v>
      </c>
    </row>
    <row r="18" spans="1:2" x14ac:dyDescent="0.3">
      <c r="A18" s="7" t="s">
        <v>35</v>
      </c>
      <c r="B18">
        <v>499</v>
      </c>
    </row>
    <row r="21" spans="1:2" x14ac:dyDescent="0.3">
      <c r="A21" s="6" t="s">
        <v>45</v>
      </c>
      <c r="B21" t="s">
        <v>36</v>
      </c>
    </row>
    <row r="22" spans="1:2" x14ac:dyDescent="0.3">
      <c r="A22" s="9">
        <v>1</v>
      </c>
      <c r="B22">
        <v>125</v>
      </c>
    </row>
    <row r="23" spans="1:2" x14ac:dyDescent="0.3">
      <c r="A23" s="8">
        <v>0</v>
      </c>
      <c r="B23">
        <v>56</v>
      </c>
    </row>
    <row r="24" spans="1:2" x14ac:dyDescent="0.3">
      <c r="A24" s="8">
        <v>1</v>
      </c>
      <c r="B24">
        <v>69</v>
      </c>
    </row>
    <row r="25" spans="1:2" x14ac:dyDescent="0.3">
      <c r="A25" s="9">
        <v>2</v>
      </c>
      <c r="B25">
        <v>134</v>
      </c>
    </row>
    <row r="26" spans="1:2" x14ac:dyDescent="0.3">
      <c r="A26" s="8">
        <v>0</v>
      </c>
      <c r="B26">
        <v>60</v>
      </c>
    </row>
    <row r="27" spans="1:2" x14ac:dyDescent="0.3">
      <c r="A27" s="8">
        <v>1</v>
      </c>
      <c r="B27">
        <v>74</v>
      </c>
    </row>
    <row r="28" spans="1:2" x14ac:dyDescent="0.3">
      <c r="A28" s="9">
        <v>3</v>
      </c>
      <c r="B28">
        <v>118</v>
      </c>
    </row>
    <row r="29" spans="1:2" x14ac:dyDescent="0.3">
      <c r="A29" s="8">
        <v>0</v>
      </c>
      <c r="B29">
        <v>53</v>
      </c>
    </row>
    <row r="30" spans="1:2" x14ac:dyDescent="0.3">
      <c r="A30" s="8">
        <v>1</v>
      </c>
      <c r="B30">
        <v>65</v>
      </c>
    </row>
    <row r="31" spans="1:2" x14ac:dyDescent="0.3">
      <c r="A31" s="9">
        <v>4</v>
      </c>
      <c r="B31">
        <v>122</v>
      </c>
    </row>
    <row r="32" spans="1:2" x14ac:dyDescent="0.3">
      <c r="A32" s="8">
        <v>0</v>
      </c>
      <c r="B32">
        <v>58</v>
      </c>
    </row>
    <row r="33" spans="1:2" x14ac:dyDescent="0.3">
      <c r="A33" s="8">
        <v>1</v>
      </c>
      <c r="B33">
        <v>64</v>
      </c>
    </row>
    <row r="34" spans="1:2" x14ac:dyDescent="0.3">
      <c r="A34" s="9" t="s">
        <v>35</v>
      </c>
      <c r="B34">
        <v>499</v>
      </c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E2859-FB38-4523-B082-C2227A4D3D8A}">
  <dimension ref="A1:J26"/>
  <sheetViews>
    <sheetView workbookViewId="0">
      <selection activeCell="Q29" sqref="Q29"/>
    </sheetView>
  </sheetViews>
  <sheetFormatPr defaultRowHeight="14.4" x14ac:dyDescent="0.3"/>
  <cols>
    <col min="1" max="1" width="20" bestFit="1" customWidth="1"/>
    <col min="2" max="2" width="14" bestFit="1" customWidth="1"/>
    <col min="3" max="3" width="6.5546875" bestFit="1" customWidth="1"/>
    <col min="4" max="4" width="14" bestFit="1" customWidth="1"/>
    <col min="5" max="5" width="15.5546875" bestFit="1" customWidth="1"/>
    <col min="6" max="6" width="4" bestFit="1" customWidth="1"/>
    <col min="7" max="7" width="10.77734375" bestFit="1" customWidth="1"/>
  </cols>
  <sheetData>
    <row r="1" spans="1:10" x14ac:dyDescent="0.3">
      <c r="A1" s="6" t="s">
        <v>46</v>
      </c>
      <c r="B1" t="s">
        <v>36</v>
      </c>
      <c r="D1" s="6" t="s">
        <v>36</v>
      </c>
      <c r="E1" s="6" t="s">
        <v>37</v>
      </c>
    </row>
    <row r="2" spans="1:10" x14ac:dyDescent="0.3">
      <c r="A2" s="7" t="s">
        <v>47</v>
      </c>
      <c r="B2">
        <v>147</v>
      </c>
      <c r="D2" s="6" t="s">
        <v>6</v>
      </c>
      <c r="E2">
        <v>0</v>
      </c>
      <c r="F2">
        <v>1</v>
      </c>
      <c r="G2" t="s">
        <v>35</v>
      </c>
    </row>
    <row r="3" spans="1:10" x14ac:dyDescent="0.3">
      <c r="A3" s="8">
        <v>0</v>
      </c>
      <c r="B3">
        <v>64</v>
      </c>
      <c r="D3" s="9">
        <v>0</v>
      </c>
      <c r="E3">
        <v>26</v>
      </c>
      <c r="F3">
        <v>17</v>
      </c>
      <c r="G3">
        <v>43</v>
      </c>
    </row>
    <row r="4" spans="1:10" x14ac:dyDescent="0.3">
      <c r="A4" s="8">
        <v>1</v>
      </c>
      <c r="B4">
        <v>83</v>
      </c>
      <c r="D4" s="9">
        <v>1</v>
      </c>
      <c r="E4">
        <v>20</v>
      </c>
      <c r="F4">
        <v>24</v>
      </c>
      <c r="G4">
        <v>44</v>
      </c>
    </row>
    <row r="5" spans="1:10" x14ac:dyDescent="0.3">
      <c r="A5" s="7" t="s">
        <v>35</v>
      </c>
      <c r="B5">
        <v>147</v>
      </c>
      <c r="D5" s="9">
        <v>2</v>
      </c>
      <c r="E5">
        <v>22</v>
      </c>
      <c r="F5">
        <v>25</v>
      </c>
      <c r="G5">
        <v>47</v>
      </c>
    </row>
    <row r="6" spans="1:10" x14ac:dyDescent="0.3">
      <c r="D6" s="9">
        <v>3</v>
      </c>
      <c r="E6">
        <v>16</v>
      </c>
      <c r="F6">
        <v>24</v>
      </c>
      <c r="G6">
        <v>40</v>
      </c>
    </row>
    <row r="7" spans="1:10" x14ac:dyDescent="0.3">
      <c r="D7" s="9">
        <v>4</v>
      </c>
      <c r="E7">
        <v>23</v>
      </c>
      <c r="F7">
        <v>21</v>
      </c>
      <c r="G7">
        <v>44</v>
      </c>
    </row>
    <row r="8" spans="1:10" x14ac:dyDescent="0.3">
      <c r="D8" s="9">
        <v>5</v>
      </c>
      <c r="E8">
        <v>20</v>
      </c>
      <c r="F8">
        <v>24</v>
      </c>
      <c r="G8">
        <v>44</v>
      </c>
    </row>
    <row r="9" spans="1:10" x14ac:dyDescent="0.3">
      <c r="D9" s="9">
        <v>6</v>
      </c>
      <c r="E9">
        <v>19</v>
      </c>
      <c r="F9">
        <v>28</v>
      </c>
      <c r="G9">
        <v>47</v>
      </c>
      <c r="J9" t="s">
        <v>51</v>
      </c>
    </row>
    <row r="10" spans="1:10" x14ac:dyDescent="0.3">
      <c r="D10" s="9">
        <v>7</v>
      </c>
      <c r="E10">
        <v>17</v>
      </c>
      <c r="F10">
        <v>26</v>
      </c>
      <c r="G10">
        <v>43</v>
      </c>
    </row>
    <row r="11" spans="1:10" x14ac:dyDescent="0.3">
      <c r="D11" s="9">
        <v>8</v>
      </c>
      <c r="E11">
        <v>15</v>
      </c>
      <c r="F11">
        <v>24</v>
      </c>
      <c r="G11">
        <v>39</v>
      </c>
    </row>
    <row r="12" spans="1:10" x14ac:dyDescent="0.3">
      <c r="D12" s="9">
        <v>9</v>
      </c>
      <c r="E12">
        <v>20</v>
      </c>
      <c r="F12">
        <v>33</v>
      </c>
      <c r="G12">
        <v>53</v>
      </c>
    </row>
    <row r="13" spans="1:10" x14ac:dyDescent="0.3">
      <c r="D13" s="9">
        <v>10</v>
      </c>
      <c r="E13">
        <v>29</v>
      </c>
      <c r="F13">
        <v>26</v>
      </c>
      <c r="G13">
        <v>55</v>
      </c>
    </row>
    <row r="14" spans="1:10" x14ac:dyDescent="0.3">
      <c r="D14" s="9" t="s">
        <v>35</v>
      </c>
      <c r="E14">
        <v>227</v>
      </c>
      <c r="F14">
        <v>272</v>
      </c>
      <c r="G14">
        <v>499</v>
      </c>
    </row>
    <row r="15" spans="1:10" x14ac:dyDescent="0.3">
      <c r="A15" s="7"/>
      <c r="D15" s="9"/>
    </row>
    <row r="16" spans="1:10" x14ac:dyDescent="0.3">
      <c r="A16" s="7"/>
      <c r="D16" s="9"/>
    </row>
    <row r="19" spans="1:5" x14ac:dyDescent="0.3">
      <c r="A19" s="6" t="s">
        <v>36</v>
      </c>
      <c r="B19" s="6" t="s">
        <v>37</v>
      </c>
    </row>
    <row r="20" spans="1:5" x14ac:dyDescent="0.3">
      <c r="A20" s="6" t="s">
        <v>34</v>
      </c>
      <c r="B20">
        <v>0</v>
      </c>
      <c r="C20">
        <v>1</v>
      </c>
      <c r="D20" t="s">
        <v>35</v>
      </c>
      <c r="E20" s="10"/>
    </row>
    <row r="21" spans="1:5" x14ac:dyDescent="0.3">
      <c r="A21" s="7" t="s">
        <v>55</v>
      </c>
      <c r="B21" s="5">
        <v>83</v>
      </c>
      <c r="C21" s="5">
        <v>106</v>
      </c>
      <c r="D21" s="5">
        <v>189</v>
      </c>
      <c r="E21" s="11"/>
    </row>
    <row r="22" spans="1:5" x14ac:dyDescent="0.3">
      <c r="A22" s="7" t="s">
        <v>56</v>
      </c>
      <c r="B22" s="5">
        <v>36</v>
      </c>
      <c r="C22" s="5">
        <v>44</v>
      </c>
      <c r="D22" s="5">
        <v>80</v>
      </c>
      <c r="E22" s="11"/>
    </row>
    <row r="23" spans="1:5" x14ac:dyDescent="0.3">
      <c r="A23" s="7" t="s">
        <v>57</v>
      </c>
      <c r="B23" s="5">
        <v>42</v>
      </c>
      <c r="C23" s="5">
        <v>54</v>
      </c>
      <c r="D23" s="5">
        <v>96</v>
      </c>
      <c r="E23" s="11"/>
    </row>
    <row r="24" spans="1:5" x14ac:dyDescent="0.3">
      <c r="A24" s="7" t="s">
        <v>58</v>
      </c>
      <c r="B24" s="5">
        <v>30</v>
      </c>
      <c r="C24" s="5">
        <v>28</v>
      </c>
      <c r="D24" s="5">
        <v>58</v>
      </c>
      <c r="E24" s="11"/>
    </row>
    <row r="25" spans="1:5" x14ac:dyDescent="0.3">
      <c r="A25" s="7" t="s">
        <v>59</v>
      </c>
      <c r="B25" s="5">
        <v>36</v>
      </c>
      <c r="C25" s="5">
        <v>40</v>
      </c>
      <c r="D25" s="5">
        <v>76</v>
      </c>
      <c r="E25" s="11"/>
    </row>
    <row r="26" spans="1:5" x14ac:dyDescent="0.3">
      <c r="A26" s="7" t="s">
        <v>35</v>
      </c>
      <c r="B26" s="5">
        <v>227</v>
      </c>
      <c r="C26" s="5">
        <v>272</v>
      </c>
      <c r="D26" s="5">
        <v>499</v>
      </c>
    </row>
  </sheetData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68D09-6C41-4061-80FE-E2130C593280}">
  <dimension ref="A1:V500"/>
  <sheetViews>
    <sheetView workbookViewId="0">
      <selection activeCell="D1" sqref="D1"/>
    </sheetView>
  </sheetViews>
  <sheetFormatPr defaultRowHeight="14.4" x14ac:dyDescent="0.3"/>
  <cols>
    <col min="1" max="1" width="15.21875" bestFit="1" customWidth="1"/>
    <col min="2" max="2" width="18.44140625" bestFit="1" customWidth="1"/>
    <col min="7" max="7" width="17.77734375" bestFit="1" customWidth="1"/>
    <col min="8" max="8" width="12.6640625" bestFit="1" customWidth="1"/>
  </cols>
  <sheetData>
    <row r="1" spans="1:22" s="10" customFormat="1" x14ac:dyDescent="0.3">
      <c r="A1" s="10" t="str" cm="1">
        <f t="array" ref="A1:A500">DATA!S1:S500</f>
        <v>Gender Category</v>
      </c>
      <c r="B1" s="10" t="str">
        <f>DATA!T1</f>
        <v>Geography Category</v>
      </c>
      <c r="C1" s="10" t="str">
        <f>DATA!F1</f>
        <v>Age</v>
      </c>
      <c r="D1" s="10" t="str">
        <f>DATA!M1</f>
        <v>Churn</v>
      </c>
    </row>
    <row r="2" spans="1:22" x14ac:dyDescent="0.3">
      <c r="A2">
        <v>1</v>
      </c>
      <c r="B2" s="12">
        <f>DATA!T2</f>
        <v>2</v>
      </c>
      <c r="C2" s="12">
        <f>DATA!F2</f>
        <v>20</v>
      </c>
      <c r="D2" s="12">
        <f>DATA!M2</f>
        <v>0</v>
      </c>
      <c r="G2" t="s">
        <v>63</v>
      </c>
    </row>
    <row r="3" spans="1:22" ht="15" thickBot="1" x14ac:dyDescent="0.35">
      <c r="A3">
        <v>2</v>
      </c>
      <c r="B3" s="12">
        <f>DATA!T3</f>
        <v>3</v>
      </c>
      <c r="C3" s="12">
        <f>DATA!F3</f>
        <v>64</v>
      </c>
      <c r="D3" s="12">
        <f>DATA!M3</f>
        <v>0</v>
      </c>
    </row>
    <row r="4" spans="1:22" ht="15" thickBot="1" x14ac:dyDescent="0.35">
      <c r="A4">
        <v>1</v>
      </c>
      <c r="B4" s="12">
        <f>DATA!T4</f>
        <v>2</v>
      </c>
      <c r="C4" s="12">
        <f>DATA!F4</f>
        <v>69</v>
      </c>
      <c r="D4" s="12">
        <f>DATA!M4</f>
        <v>0</v>
      </c>
      <c r="G4" s="15" t="s">
        <v>64</v>
      </c>
      <c r="H4" s="15"/>
    </row>
    <row r="5" spans="1:22" x14ac:dyDescent="0.3">
      <c r="A5">
        <v>2</v>
      </c>
      <c r="B5" s="12">
        <f>DATA!T5</f>
        <v>2</v>
      </c>
      <c r="C5" s="12">
        <f>DATA!F5</f>
        <v>59</v>
      </c>
      <c r="D5" s="12">
        <f>DATA!M5</f>
        <v>0</v>
      </c>
      <c r="G5" t="s">
        <v>65</v>
      </c>
      <c r="H5" s="4">
        <v>0.11719686030134006</v>
      </c>
      <c r="Q5" s="15"/>
      <c r="R5" s="15"/>
    </row>
    <row r="6" spans="1:22" x14ac:dyDescent="0.3">
      <c r="A6">
        <v>2</v>
      </c>
      <c r="B6" s="12">
        <f>DATA!T6</f>
        <v>3</v>
      </c>
      <c r="C6" s="12">
        <f>DATA!F6</f>
        <v>21</v>
      </c>
      <c r="D6" s="12">
        <f>DATA!M6</f>
        <v>0</v>
      </c>
      <c r="G6" t="s">
        <v>66</v>
      </c>
      <c r="H6" s="18">
        <v>1.3735104064491818E-2</v>
      </c>
    </row>
    <row r="7" spans="1:22" x14ac:dyDescent="0.3">
      <c r="A7">
        <v>2</v>
      </c>
      <c r="B7" s="12">
        <f>DATA!T7</f>
        <v>3</v>
      </c>
      <c r="C7" s="12">
        <f>DATA!F7</f>
        <v>34</v>
      </c>
      <c r="D7" s="12">
        <f>DATA!M7</f>
        <v>0</v>
      </c>
      <c r="G7" t="s">
        <v>67</v>
      </c>
      <c r="H7" s="4">
        <v>7.7577410588220716E-3</v>
      </c>
    </row>
    <row r="8" spans="1:22" x14ac:dyDescent="0.3">
      <c r="A8">
        <v>2</v>
      </c>
      <c r="B8" s="12">
        <f>DATA!T8</f>
        <v>2</v>
      </c>
      <c r="C8" s="12">
        <f>DATA!F8</f>
        <v>81</v>
      </c>
      <c r="D8" s="12">
        <f>DATA!M8</f>
        <v>0</v>
      </c>
      <c r="G8" t="s">
        <v>68</v>
      </c>
      <c r="H8" s="4">
        <v>0.4965252012728531</v>
      </c>
    </row>
    <row r="9" spans="1:22" ht="15" thickBot="1" x14ac:dyDescent="0.35">
      <c r="A9">
        <v>1</v>
      </c>
      <c r="B9" s="12">
        <f>DATA!T9</f>
        <v>1</v>
      </c>
      <c r="C9" s="12">
        <f>DATA!F9</f>
        <v>82</v>
      </c>
      <c r="D9" s="12">
        <f>DATA!M9</f>
        <v>1</v>
      </c>
      <c r="G9" s="13" t="s">
        <v>69</v>
      </c>
      <c r="H9" s="16">
        <v>499</v>
      </c>
    </row>
    <row r="10" spans="1:22" ht="15" thickBot="1" x14ac:dyDescent="0.35">
      <c r="A10">
        <v>2</v>
      </c>
      <c r="B10" s="12">
        <f>DATA!T10</f>
        <v>2</v>
      </c>
      <c r="C10" s="12">
        <f>DATA!F10</f>
        <v>31</v>
      </c>
      <c r="D10" s="12">
        <f>DATA!M10</f>
        <v>1</v>
      </c>
      <c r="Q10" s="13"/>
    </row>
    <row r="11" spans="1:22" ht="15" thickBot="1" x14ac:dyDescent="0.35">
      <c r="A11">
        <v>2</v>
      </c>
      <c r="B11" s="12">
        <f>DATA!T11</f>
        <v>1</v>
      </c>
      <c r="C11" s="12">
        <f>DATA!F11</f>
        <v>56</v>
      </c>
      <c r="D11" s="12">
        <f>DATA!M11</f>
        <v>1</v>
      </c>
      <c r="G11" t="s">
        <v>70</v>
      </c>
    </row>
    <row r="12" spans="1:22" ht="15" thickBot="1" x14ac:dyDescent="0.35">
      <c r="A12">
        <v>2</v>
      </c>
      <c r="B12" s="12">
        <f>DATA!T12</f>
        <v>1</v>
      </c>
      <c r="C12" s="12">
        <f>DATA!F12</f>
        <v>22</v>
      </c>
      <c r="D12" s="12">
        <f>DATA!M12</f>
        <v>1</v>
      </c>
      <c r="G12" s="14"/>
      <c r="H12" s="14" t="s">
        <v>75</v>
      </c>
      <c r="I12" s="14" t="s">
        <v>76</v>
      </c>
      <c r="J12" s="14" t="s">
        <v>77</v>
      </c>
      <c r="K12" s="14" t="s">
        <v>78</v>
      </c>
      <c r="L12" s="14" t="s">
        <v>79</v>
      </c>
      <c r="R12" s="13"/>
    </row>
    <row r="13" spans="1:22" x14ac:dyDescent="0.3">
      <c r="A13">
        <v>1</v>
      </c>
      <c r="B13" s="12">
        <f>DATA!T13</f>
        <v>2</v>
      </c>
      <c r="C13" s="12">
        <f>DATA!F13</f>
        <v>21</v>
      </c>
      <c r="D13" s="12">
        <f>DATA!M13</f>
        <v>1</v>
      </c>
      <c r="G13" t="s">
        <v>71</v>
      </c>
      <c r="H13" s="4">
        <v>3</v>
      </c>
      <c r="I13" s="4">
        <v>1.6995195698556813</v>
      </c>
      <c r="J13" s="4">
        <v>0.5665065232852271</v>
      </c>
      <c r="K13" s="4">
        <v>2.2978534265801778</v>
      </c>
      <c r="L13" s="4">
        <v>7.6737061445266125E-2</v>
      </c>
      <c r="Q13" s="14"/>
      <c r="R13" s="14"/>
      <c r="S13" s="14"/>
      <c r="T13" s="14"/>
      <c r="U13" s="14"/>
      <c r="V13" s="14"/>
    </row>
    <row r="14" spans="1:22" x14ac:dyDescent="0.3">
      <c r="A14">
        <v>2</v>
      </c>
      <c r="B14" s="12">
        <f>DATA!T14</f>
        <v>3</v>
      </c>
      <c r="C14" s="12">
        <f>DATA!F14</f>
        <v>37</v>
      </c>
      <c r="D14" s="12">
        <f>DATA!M14</f>
        <v>0</v>
      </c>
      <c r="G14" t="s">
        <v>72</v>
      </c>
      <c r="H14" s="4">
        <v>495</v>
      </c>
      <c r="I14" s="4">
        <v>122.03595137202841</v>
      </c>
      <c r="J14" s="4">
        <v>0.24653727549904728</v>
      </c>
      <c r="K14" s="4"/>
      <c r="L14" s="4"/>
    </row>
    <row r="15" spans="1:22" ht="15" thickBot="1" x14ac:dyDescent="0.35">
      <c r="A15">
        <v>1</v>
      </c>
      <c r="B15" s="12">
        <f>DATA!T15</f>
        <v>2</v>
      </c>
      <c r="C15" s="12">
        <f>DATA!F15</f>
        <v>34</v>
      </c>
      <c r="D15" s="12">
        <f>DATA!M15</f>
        <v>1</v>
      </c>
      <c r="G15" s="13" t="s">
        <v>73</v>
      </c>
      <c r="H15" s="16">
        <v>498</v>
      </c>
      <c r="I15" s="16">
        <v>123.73547094188409</v>
      </c>
      <c r="J15" s="16"/>
      <c r="K15" s="16"/>
      <c r="L15" s="16"/>
    </row>
    <row r="16" spans="1:22" ht="15" thickBot="1" x14ac:dyDescent="0.35">
      <c r="A16">
        <v>1</v>
      </c>
      <c r="B16" s="12">
        <f>DATA!T16</f>
        <v>2</v>
      </c>
      <c r="C16" s="12">
        <f>DATA!F16</f>
        <v>89</v>
      </c>
      <c r="D16" s="12">
        <f>DATA!M16</f>
        <v>0</v>
      </c>
      <c r="Q16" s="13"/>
      <c r="R16" s="13"/>
      <c r="S16" s="13"/>
      <c r="T16" s="13"/>
      <c r="U16" s="13"/>
      <c r="V16" s="13"/>
    </row>
    <row r="17" spans="1:15" x14ac:dyDescent="0.3">
      <c r="A17">
        <v>2</v>
      </c>
      <c r="B17" s="12">
        <f>DATA!T17</f>
        <v>1</v>
      </c>
      <c r="C17" s="12">
        <f>DATA!F17</f>
        <v>42</v>
      </c>
      <c r="D17" s="12">
        <f>DATA!M17</f>
        <v>1</v>
      </c>
      <c r="G17" s="14"/>
      <c r="H17" s="14" t="s">
        <v>80</v>
      </c>
      <c r="I17" s="14" t="s">
        <v>68</v>
      </c>
      <c r="J17" s="14" t="s">
        <v>81</v>
      </c>
      <c r="K17" s="14" t="s">
        <v>82</v>
      </c>
      <c r="L17" s="14" t="s">
        <v>83</v>
      </c>
      <c r="M17" s="14" t="s">
        <v>84</v>
      </c>
      <c r="N17" s="14" t="s">
        <v>85</v>
      </c>
      <c r="O17" s="14" t="s">
        <v>86</v>
      </c>
    </row>
    <row r="18" spans="1:15" x14ac:dyDescent="0.3">
      <c r="A18">
        <v>1</v>
      </c>
      <c r="B18" s="12">
        <f>DATA!T18</f>
        <v>2</v>
      </c>
      <c r="C18" s="12">
        <f>DATA!F18</f>
        <v>29</v>
      </c>
      <c r="D18" s="12">
        <f>DATA!M18</f>
        <v>1</v>
      </c>
      <c r="G18" t="s">
        <v>74</v>
      </c>
      <c r="H18" s="4">
        <v>0.7700989132350381</v>
      </c>
      <c r="I18" s="4">
        <v>0.10675438905487072</v>
      </c>
      <c r="J18" s="4">
        <v>7.2137447467308791</v>
      </c>
      <c r="K18" s="4">
        <v>2.0547140175224094E-12</v>
      </c>
      <c r="L18" s="4">
        <v>0.56035130661470067</v>
      </c>
      <c r="M18" s="4">
        <v>0.97984651985537552</v>
      </c>
      <c r="N18" s="4">
        <v>0.56035130661470067</v>
      </c>
      <c r="O18" s="4">
        <v>0.97984651985537552</v>
      </c>
    </row>
    <row r="19" spans="1:15" x14ac:dyDescent="0.3">
      <c r="A19">
        <v>1</v>
      </c>
      <c r="B19" s="12">
        <f>DATA!T19</f>
        <v>3</v>
      </c>
      <c r="C19" s="12">
        <f>DATA!F19</f>
        <v>40</v>
      </c>
      <c r="D19" s="12">
        <f>DATA!M19</f>
        <v>0</v>
      </c>
      <c r="G19" t="s">
        <v>61</v>
      </c>
      <c r="H19" s="4">
        <v>-9.4980831852217285E-2</v>
      </c>
      <c r="I19" s="4">
        <v>4.4509276091668507E-2</v>
      </c>
      <c r="J19" s="4">
        <v>-2.133955889477976</v>
      </c>
      <c r="K19" s="19">
        <v>3.3337236867033819E-2</v>
      </c>
      <c r="L19" s="4">
        <v>-0.18243123286414017</v>
      </c>
      <c r="M19" s="4">
        <v>-7.5304308402943942E-3</v>
      </c>
      <c r="N19" s="4">
        <v>-0.18243123286414017</v>
      </c>
      <c r="O19" s="4">
        <v>-7.5304308402943942E-3</v>
      </c>
    </row>
    <row r="20" spans="1:15" x14ac:dyDescent="0.3">
      <c r="A20">
        <v>2</v>
      </c>
      <c r="B20" s="12">
        <f>DATA!T20</f>
        <v>2</v>
      </c>
      <c r="C20" s="12">
        <f>DATA!F20</f>
        <v>78</v>
      </c>
      <c r="D20" s="12">
        <f>DATA!M20</f>
        <v>1</v>
      </c>
      <c r="G20" t="s">
        <v>62</v>
      </c>
      <c r="H20" s="4">
        <v>-4.2320460562271192E-2</v>
      </c>
      <c r="I20" s="4">
        <v>2.6856988718304546E-2</v>
      </c>
      <c r="J20" s="4">
        <v>-1.5757708731294742</v>
      </c>
      <c r="K20" s="21">
        <v>0.11571747856293288</v>
      </c>
      <c r="L20" s="4">
        <v>-9.508821235745385E-2</v>
      </c>
      <c r="M20" s="4">
        <v>1.0447291232911465E-2</v>
      </c>
      <c r="N20" s="4">
        <v>-9.508821235745385E-2</v>
      </c>
      <c r="O20" s="4">
        <v>1.0447291232911465E-2</v>
      </c>
    </row>
    <row r="21" spans="1:15" ht="15" thickBot="1" x14ac:dyDescent="0.35">
      <c r="A21">
        <v>2</v>
      </c>
      <c r="B21" s="12">
        <f>DATA!T21</f>
        <v>2</v>
      </c>
      <c r="C21" s="12">
        <f>DATA!F21</f>
        <v>20</v>
      </c>
      <c r="D21" s="12">
        <f>DATA!M21</f>
        <v>0</v>
      </c>
      <c r="G21" s="13" t="s">
        <v>5</v>
      </c>
      <c r="H21" s="16">
        <v>6.8770892859458698E-5</v>
      </c>
      <c r="I21" s="16">
        <v>1.0237606619518159E-3</v>
      </c>
      <c r="J21" s="16">
        <v>6.7174775721842939E-2</v>
      </c>
      <c r="K21" s="20">
        <v>0.94646968934671794</v>
      </c>
      <c r="L21" s="16">
        <v>-1.9426812872104017E-3</v>
      </c>
      <c r="M21" s="16">
        <v>2.0802230729293192E-3</v>
      </c>
      <c r="N21" s="16">
        <v>-1.9426812872104017E-3</v>
      </c>
      <c r="O21" s="16">
        <v>2.0802230729293192E-3</v>
      </c>
    </row>
    <row r="22" spans="1:15" x14ac:dyDescent="0.3">
      <c r="A22">
        <v>1</v>
      </c>
      <c r="B22" s="12">
        <f>DATA!T22</f>
        <v>1</v>
      </c>
      <c r="C22" s="12">
        <f>DATA!F22</f>
        <v>26</v>
      </c>
      <c r="D22" s="12">
        <f>DATA!M22</f>
        <v>1</v>
      </c>
    </row>
    <row r="23" spans="1:15" x14ac:dyDescent="0.3">
      <c r="A23">
        <v>2</v>
      </c>
      <c r="B23" s="12">
        <f>DATA!T23</f>
        <v>3</v>
      </c>
      <c r="C23" s="12">
        <f>DATA!F23</f>
        <v>90</v>
      </c>
      <c r="D23" s="12">
        <f>DATA!M23</f>
        <v>0</v>
      </c>
    </row>
    <row r="24" spans="1:15" x14ac:dyDescent="0.3">
      <c r="A24">
        <v>1</v>
      </c>
      <c r="B24" s="12">
        <f>DATA!T24</f>
        <v>3</v>
      </c>
      <c r="C24" s="12">
        <f>DATA!F24</f>
        <v>56</v>
      </c>
      <c r="D24" s="12">
        <f>DATA!M24</f>
        <v>1</v>
      </c>
    </row>
    <row r="25" spans="1:15" x14ac:dyDescent="0.3">
      <c r="A25">
        <v>2</v>
      </c>
      <c r="B25" s="12">
        <f>DATA!T25</f>
        <v>1</v>
      </c>
      <c r="C25" s="12">
        <f>DATA!F25</f>
        <v>70</v>
      </c>
      <c r="D25" s="12">
        <f>DATA!M25</f>
        <v>0</v>
      </c>
    </row>
    <row r="26" spans="1:15" x14ac:dyDescent="0.3">
      <c r="A26">
        <v>2</v>
      </c>
      <c r="B26" s="12">
        <f>DATA!T26</f>
        <v>3</v>
      </c>
      <c r="C26" s="12">
        <f>DATA!F26</f>
        <v>81</v>
      </c>
      <c r="D26" s="12">
        <f>DATA!M26</f>
        <v>0</v>
      </c>
    </row>
    <row r="27" spans="1:15" x14ac:dyDescent="0.3">
      <c r="A27">
        <v>2</v>
      </c>
      <c r="B27" s="12">
        <f>DATA!T27</f>
        <v>3</v>
      </c>
      <c r="C27" s="12">
        <f>DATA!F27</f>
        <v>39</v>
      </c>
      <c r="D27" s="12">
        <f>DATA!M27</f>
        <v>0</v>
      </c>
    </row>
    <row r="28" spans="1:15" x14ac:dyDescent="0.3">
      <c r="A28">
        <v>1</v>
      </c>
      <c r="B28" s="12">
        <f>DATA!T28</f>
        <v>2</v>
      </c>
      <c r="C28" s="12">
        <f>DATA!F28</f>
        <v>22</v>
      </c>
      <c r="D28" s="12">
        <f>DATA!M28</f>
        <v>1</v>
      </c>
      <c r="K28" t="s">
        <v>60</v>
      </c>
    </row>
    <row r="29" spans="1:15" x14ac:dyDescent="0.3">
      <c r="A29">
        <v>1</v>
      </c>
      <c r="B29" s="12">
        <f>DATA!T29</f>
        <v>1</v>
      </c>
      <c r="C29" s="12">
        <f>DATA!F29</f>
        <v>49</v>
      </c>
      <c r="D29" s="12">
        <f>DATA!M29</f>
        <v>0</v>
      </c>
    </row>
    <row r="30" spans="1:15" x14ac:dyDescent="0.3">
      <c r="A30">
        <v>1</v>
      </c>
      <c r="B30" s="12">
        <f>DATA!T30</f>
        <v>3</v>
      </c>
      <c r="C30" s="12">
        <f>DATA!F30</f>
        <v>55</v>
      </c>
      <c r="D30" s="12">
        <f>DATA!M30</f>
        <v>1</v>
      </c>
    </row>
    <row r="31" spans="1:15" x14ac:dyDescent="0.3">
      <c r="A31">
        <v>2</v>
      </c>
      <c r="B31" s="12">
        <f>DATA!T31</f>
        <v>1</v>
      </c>
      <c r="C31" s="12">
        <f>DATA!F31</f>
        <v>25</v>
      </c>
      <c r="D31" s="12">
        <f>DATA!M31</f>
        <v>1</v>
      </c>
    </row>
    <row r="32" spans="1:15" x14ac:dyDescent="0.3">
      <c r="A32">
        <v>1</v>
      </c>
      <c r="B32" s="12">
        <f>DATA!T32</f>
        <v>2</v>
      </c>
      <c r="C32" s="12">
        <f>DATA!F32</f>
        <v>40</v>
      </c>
      <c r="D32" s="12">
        <f>DATA!M32</f>
        <v>1</v>
      </c>
    </row>
    <row r="33" spans="1:4" x14ac:dyDescent="0.3">
      <c r="A33">
        <v>2</v>
      </c>
      <c r="B33" s="12">
        <f>DATA!T33</f>
        <v>3</v>
      </c>
      <c r="C33" s="12">
        <f>DATA!F33</f>
        <v>60</v>
      </c>
      <c r="D33" s="12">
        <f>DATA!M33</f>
        <v>1</v>
      </c>
    </row>
    <row r="34" spans="1:4" x14ac:dyDescent="0.3">
      <c r="A34">
        <v>2</v>
      </c>
      <c r="B34" s="12">
        <f>DATA!T34</f>
        <v>1</v>
      </c>
      <c r="C34" s="12">
        <f>DATA!F34</f>
        <v>77</v>
      </c>
      <c r="D34" s="12">
        <f>DATA!M34</f>
        <v>1</v>
      </c>
    </row>
    <row r="35" spans="1:4" x14ac:dyDescent="0.3">
      <c r="A35">
        <v>1</v>
      </c>
      <c r="B35" s="12">
        <f>DATA!T35</f>
        <v>3</v>
      </c>
      <c r="C35" s="12">
        <f>DATA!F35</f>
        <v>72</v>
      </c>
      <c r="D35" s="12">
        <f>DATA!M35</f>
        <v>0</v>
      </c>
    </row>
    <row r="36" spans="1:4" x14ac:dyDescent="0.3">
      <c r="A36">
        <v>2</v>
      </c>
      <c r="B36" s="12">
        <f>DATA!T36</f>
        <v>1</v>
      </c>
      <c r="C36" s="12">
        <f>DATA!F36</f>
        <v>91</v>
      </c>
      <c r="D36" s="12">
        <f>DATA!M36</f>
        <v>1</v>
      </c>
    </row>
    <row r="37" spans="1:4" x14ac:dyDescent="0.3">
      <c r="A37">
        <v>1</v>
      </c>
      <c r="B37" s="12">
        <f>DATA!T37</f>
        <v>2</v>
      </c>
      <c r="C37" s="12">
        <f>DATA!F37</f>
        <v>69</v>
      </c>
      <c r="D37" s="12">
        <f>DATA!M37</f>
        <v>1</v>
      </c>
    </row>
    <row r="38" spans="1:4" x14ac:dyDescent="0.3">
      <c r="A38">
        <v>2</v>
      </c>
      <c r="B38" s="12">
        <f>DATA!T38</f>
        <v>2</v>
      </c>
      <c r="C38" s="12">
        <f>DATA!F38</f>
        <v>41</v>
      </c>
      <c r="D38" s="12">
        <f>DATA!M38</f>
        <v>0</v>
      </c>
    </row>
    <row r="39" spans="1:4" x14ac:dyDescent="0.3">
      <c r="A39">
        <v>1</v>
      </c>
      <c r="B39" s="12">
        <f>DATA!T39</f>
        <v>3</v>
      </c>
      <c r="C39" s="12">
        <f>DATA!F39</f>
        <v>43</v>
      </c>
      <c r="D39" s="12">
        <f>DATA!M39</f>
        <v>0</v>
      </c>
    </row>
    <row r="40" spans="1:4" x14ac:dyDescent="0.3">
      <c r="A40">
        <v>2</v>
      </c>
      <c r="B40" s="12">
        <f>DATA!T40</f>
        <v>3</v>
      </c>
      <c r="C40" s="12">
        <f>DATA!F40</f>
        <v>75</v>
      </c>
      <c r="D40" s="12">
        <f>DATA!M40</f>
        <v>1</v>
      </c>
    </row>
    <row r="41" spans="1:4" x14ac:dyDescent="0.3">
      <c r="A41">
        <v>2</v>
      </c>
      <c r="B41" s="12">
        <f>DATA!T41</f>
        <v>1</v>
      </c>
      <c r="C41" s="12">
        <f>DATA!F41</f>
        <v>87</v>
      </c>
      <c r="D41" s="12">
        <f>DATA!M41</f>
        <v>0</v>
      </c>
    </row>
    <row r="42" spans="1:4" x14ac:dyDescent="0.3">
      <c r="A42">
        <v>1</v>
      </c>
      <c r="B42" s="12">
        <f>DATA!T42</f>
        <v>3</v>
      </c>
      <c r="C42" s="12">
        <f>DATA!F42</f>
        <v>63</v>
      </c>
      <c r="D42" s="12">
        <f>DATA!M42</f>
        <v>1</v>
      </c>
    </row>
    <row r="43" spans="1:4" x14ac:dyDescent="0.3">
      <c r="A43">
        <v>1</v>
      </c>
      <c r="B43" s="12">
        <f>DATA!T43</f>
        <v>2</v>
      </c>
      <c r="C43" s="12">
        <f>DATA!F43</f>
        <v>69</v>
      </c>
      <c r="D43" s="12">
        <f>DATA!M43</f>
        <v>0</v>
      </c>
    </row>
    <row r="44" spans="1:4" x14ac:dyDescent="0.3">
      <c r="A44">
        <v>2</v>
      </c>
      <c r="B44" s="12">
        <f>DATA!T44</f>
        <v>2</v>
      </c>
      <c r="C44" s="12">
        <f>DATA!F44</f>
        <v>77</v>
      </c>
      <c r="D44" s="12">
        <f>DATA!M44</f>
        <v>1</v>
      </c>
    </row>
    <row r="45" spans="1:4" x14ac:dyDescent="0.3">
      <c r="A45">
        <v>1</v>
      </c>
      <c r="B45" s="12">
        <f>DATA!T45</f>
        <v>2</v>
      </c>
      <c r="C45" s="12">
        <f>DATA!F45</f>
        <v>62</v>
      </c>
      <c r="D45" s="12">
        <f>DATA!M45</f>
        <v>0</v>
      </c>
    </row>
    <row r="46" spans="1:4" x14ac:dyDescent="0.3">
      <c r="A46">
        <v>2</v>
      </c>
      <c r="B46" s="12">
        <f>DATA!T46</f>
        <v>3</v>
      </c>
      <c r="C46" s="12">
        <f>DATA!F46</f>
        <v>44</v>
      </c>
      <c r="D46" s="12">
        <f>DATA!M46</f>
        <v>0</v>
      </c>
    </row>
    <row r="47" spans="1:4" x14ac:dyDescent="0.3">
      <c r="A47">
        <v>2</v>
      </c>
      <c r="B47" s="12">
        <f>DATA!T47</f>
        <v>1</v>
      </c>
      <c r="C47" s="12">
        <f>DATA!F47</f>
        <v>61</v>
      </c>
      <c r="D47" s="12">
        <f>DATA!M47</f>
        <v>1</v>
      </c>
    </row>
    <row r="48" spans="1:4" x14ac:dyDescent="0.3">
      <c r="A48">
        <v>2</v>
      </c>
      <c r="B48" s="12">
        <f>DATA!T48</f>
        <v>2</v>
      </c>
      <c r="C48" s="12">
        <f>DATA!F48</f>
        <v>50</v>
      </c>
      <c r="D48" s="12">
        <f>DATA!M48</f>
        <v>0</v>
      </c>
    </row>
    <row r="49" spans="1:4" x14ac:dyDescent="0.3">
      <c r="A49">
        <v>2</v>
      </c>
      <c r="B49" s="12">
        <f>DATA!T49</f>
        <v>2</v>
      </c>
      <c r="C49" s="12">
        <f>DATA!F49</f>
        <v>48</v>
      </c>
      <c r="D49" s="12">
        <f>DATA!M49</f>
        <v>1</v>
      </c>
    </row>
    <row r="50" spans="1:4" x14ac:dyDescent="0.3">
      <c r="A50">
        <v>2</v>
      </c>
      <c r="B50" s="12">
        <f>DATA!T50</f>
        <v>3</v>
      </c>
      <c r="C50" s="12">
        <f>DATA!F50</f>
        <v>32</v>
      </c>
      <c r="D50" s="12">
        <f>DATA!M50</f>
        <v>1</v>
      </c>
    </row>
    <row r="51" spans="1:4" x14ac:dyDescent="0.3">
      <c r="A51">
        <v>1</v>
      </c>
      <c r="B51" s="12">
        <f>DATA!T51</f>
        <v>3</v>
      </c>
      <c r="C51" s="12">
        <f>DATA!F51</f>
        <v>89</v>
      </c>
      <c r="D51" s="12">
        <f>DATA!M51</f>
        <v>0</v>
      </c>
    </row>
    <row r="52" spans="1:4" x14ac:dyDescent="0.3">
      <c r="A52">
        <v>1</v>
      </c>
      <c r="B52" s="12">
        <f>DATA!T52</f>
        <v>3</v>
      </c>
      <c r="C52" s="12">
        <f>DATA!F52</f>
        <v>79</v>
      </c>
      <c r="D52" s="12">
        <f>DATA!M52</f>
        <v>1</v>
      </c>
    </row>
    <row r="53" spans="1:4" x14ac:dyDescent="0.3">
      <c r="A53">
        <v>1</v>
      </c>
      <c r="B53" s="12">
        <f>DATA!T53</f>
        <v>3</v>
      </c>
      <c r="C53" s="12">
        <f>DATA!F53</f>
        <v>19</v>
      </c>
      <c r="D53" s="12">
        <f>DATA!M53</f>
        <v>0</v>
      </c>
    </row>
    <row r="54" spans="1:4" x14ac:dyDescent="0.3">
      <c r="A54">
        <v>2</v>
      </c>
      <c r="B54" s="12">
        <f>DATA!T54</f>
        <v>1</v>
      </c>
      <c r="C54" s="12">
        <f>DATA!F54</f>
        <v>65</v>
      </c>
      <c r="D54" s="12">
        <f>DATA!M54</f>
        <v>0</v>
      </c>
    </row>
    <row r="55" spans="1:4" x14ac:dyDescent="0.3">
      <c r="A55">
        <v>1</v>
      </c>
      <c r="B55" s="12">
        <f>DATA!T55</f>
        <v>3</v>
      </c>
      <c r="C55" s="12">
        <f>DATA!F55</f>
        <v>61</v>
      </c>
      <c r="D55" s="12">
        <f>DATA!M55</f>
        <v>1</v>
      </c>
    </row>
    <row r="56" spans="1:4" x14ac:dyDescent="0.3">
      <c r="A56">
        <v>1</v>
      </c>
      <c r="B56" s="12">
        <f>DATA!T56</f>
        <v>1</v>
      </c>
      <c r="C56" s="12">
        <f>DATA!F56</f>
        <v>33</v>
      </c>
      <c r="D56" s="12">
        <f>DATA!M56</f>
        <v>0</v>
      </c>
    </row>
    <row r="57" spans="1:4" x14ac:dyDescent="0.3">
      <c r="A57">
        <v>1</v>
      </c>
      <c r="B57" s="12">
        <f>DATA!T57</f>
        <v>1</v>
      </c>
      <c r="C57" s="12">
        <f>DATA!F57</f>
        <v>86</v>
      </c>
      <c r="D57" s="12">
        <f>DATA!M57</f>
        <v>1</v>
      </c>
    </row>
    <row r="58" spans="1:4" x14ac:dyDescent="0.3">
      <c r="A58">
        <v>2</v>
      </c>
      <c r="B58" s="12">
        <f>DATA!T58</f>
        <v>2</v>
      </c>
      <c r="C58" s="12">
        <f>DATA!F58</f>
        <v>57</v>
      </c>
      <c r="D58" s="12">
        <f>DATA!M58</f>
        <v>1</v>
      </c>
    </row>
    <row r="59" spans="1:4" x14ac:dyDescent="0.3">
      <c r="A59">
        <v>1</v>
      </c>
      <c r="B59" s="12">
        <f>DATA!T59</f>
        <v>2</v>
      </c>
      <c r="C59" s="12">
        <f>DATA!F59</f>
        <v>18</v>
      </c>
      <c r="D59" s="12">
        <f>DATA!M59</f>
        <v>1</v>
      </c>
    </row>
    <row r="60" spans="1:4" x14ac:dyDescent="0.3">
      <c r="A60">
        <v>1</v>
      </c>
      <c r="B60" s="12">
        <f>DATA!T60</f>
        <v>3</v>
      </c>
      <c r="C60" s="12">
        <f>DATA!F60</f>
        <v>76</v>
      </c>
      <c r="D60" s="12">
        <f>DATA!M60</f>
        <v>0</v>
      </c>
    </row>
    <row r="61" spans="1:4" x14ac:dyDescent="0.3">
      <c r="A61">
        <v>1</v>
      </c>
      <c r="B61" s="12">
        <f>DATA!T61</f>
        <v>2</v>
      </c>
      <c r="C61" s="12">
        <f>DATA!F61</f>
        <v>30</v>
      </c>
      <c r="D61" s="12">
        <f>DATA!M61</f>
        <v>1</v>
      </c>
    </row>
    <row r="62" spans="1:4" x14ac:dyDescent="0.3">
      <c r="A62">
        <v>2</v>
      </c>
      <c r="B62" s="12">
        <f>DATA!T62</f>
        <v>1</v>
      </c>
      <c r="C62" s="12">
        <f>DATA!F62</f>
        <v>61</v>
      </c>
      <c r="D62" s="12">
        <f>DATA!M62</f>
        <v>0</v>
      </c>
    </row>
    <row r="63" spans="1:4" x14ac:dyDescent="0.3">
      <c r="A63">
        <v>1</v>
      </c>
      <c r="B63" s="12">
        <f>DATA!T63</f>
        <v>3</v>
      </c>
      <c r="C63" s="12">
        <f>DATA!F63</f>
        <v>72</v>
      </c>
      <c r="D63" s="12">
        <f>DATA!M63</f>
        <v>1</v>
      </c>
    </row>
    <row r="64" spans="1:4" x14ac:dyDescent="0.3">
      <c r="A64">
        <v>2</v>
      </c>
      <c r="B64" s="12">
        <f>DATA!T64</f>
        <v>3</v>
      </c>
      <c r="C64" s="12">
        <f>DATA!F64</f>
        <v>65</v>
      </c>
      <c r="D64" s="12">
        <f>DATA!M64</f>
        <v>1</v>
      </c>
    </row>
    <row r="65" spans="1:4" x14ac:dyDescent="0.3">
      <c r="A65">
        <v>2</v>
      </c>
      <c r="B65" s="12">
        <f>DATA!T65</f>
        <v>3</v>
      </c>
      <c r="C65" s="12">
        <f>DATA!F65</f>
        <v>40</v>
      </c>
      <c r="D65" s="12">
        <f>DATA!M65</f>
        <v>0</v>
      </c>
    </row>
    <row r="66" spans="1:4" x14ac:dyDescent="0.3">
      <c r="A66">
        <v>1</v>
      </c>
      <c r="B66" s="12">
        <f>DATA!T66</f>
        <v>3</v>
      </c>
      <c r="C66" s="12">
        <f>DATA!F66</f>
        <v>49</v>
      </c>
      <c r="D66" s="12">
        <f>DATA!M66</f>
        <v>1</v>
      </c>
    </row>
    <row r="67" spans="1:4" x14ac:dyDescent="0.3">
      <c r="A67">
        <v>2</v>
      </c>
      <c r="B67" s="12">
        <f>DATA!T67</f>
        <v>2</v>
      </c>
      <c r="C67" s="12">
        <f>DATA!F67</f>
        <v>52</v>
      </c>
      <c r="D67" s="12">
        <f>DATA!M67</f>
        <v>0</v>
      </c>
    </row>
    <row r="68" spans="1:4" x14ac:dyDescent="0.3">
      <c r="A68">
        <v>1</v>
      </c>
      <c r="B68" s="12">
        <f>DATA!T68</f>
        <v>3</v>
      </c>
      <c r="C68" s="12">
        <f>DATA!F68</f>
        <v>60</v>
      </c>
      <c r="D68" s="12">
        <f>DATA!M68</f>
        <v>1</v>
      </c>
    </row>
    <row r="69" spans="1:4" x14ac:dyDescent="0.3">
      <c r="A69">
        <v>2</v>
      </c>
      <c r="B69" s="12">
        <f>DATA!T69</f>
        <v>1</v>
      </c>
      <c r="C69" s="12">
        <f>DATA!F69</f>
        <v>86</v>
      </c>
      <c r="D69" s="12">
        <f>DATA!M69</f>
        <v>0</v>
      </c>
    </row>
    <row r="70" spans="1:4" x14ac:dyDescent="0.3">
      <c r="A70">
        <v>1</v>
      </c>
      <c r="B70" s="12">
        <f>DATA!T70</f>
        <v>2</v>
      </c>
      <c r="C70" s="12">
        <f>DATA!F70</f>
        <v>54</v>
      </c>
      <c r="D70" s="12">
        <f>DATA!M70</f>
        <v>1</v>
      </c>
    </row>
    <row r="71" spans="1:4" x14ac:dyDescent="0.3">
      <c r="A71">
        <v>2</v>
      </c>
      <c r="B71" s="12">
        <f>DATA!T71</f>
        <v>1</v>
      </c>
      <c r="C71" s="12">
        <f>DATA!F71</f>
        <v>62</v>
      </c>
      <c r="D71" s="12">
        <f>DATA!M71</f>
        <v>1</v>
      </c>
    </row>
    <row r="72" spans="1:4" x14ac:dyDescent="0.3">
      <c r="A72">
        <v>1</v>
      </c>
      <c r="B72" s="12">
        <f>DATA!T72</f>
        <v>2</v>
      </c>
      <c r="C72" s="12">
        <f>DATA!F72</f>
        <v>88</v>
      </c>
      <c r="D72" s="12">
        <f>DATA!M72</f>
        <v>1</v>
      </c>
    </row>
    <row r="73" spans="1:4" x14ac:dyDescent="0.3">
      <c r="A73">
        <v>2</v>
      </c>
      <c r="B73" s="12">
        <f>DATA!T73</f>
        <v>2</v>
      </c>
      <c r="C73" s="12">
        <f>DATA!F73</f>
        <v>24</v>
      </c>
      <c r="D73" s="12">
        <f>DATA!M73</f>
        <v>0</v>
      </c>
    </row>
    <row r="74" spans="1:4" x14ac:dyDescent="0.3">
      <c r="A74">
        <v>1</v>
      </c>
      <c r="B74" s="12">
        <f>DATA!T74</f>
        <v>2</v>
      </c>
      <c r="C74" s="12">
        <f>DATA!F74</f>
        <v>66</v>
      </c>
      <c r="D74" s="12">
        <f>DATA!M74</f>
        <v>0</v>
      </c>
    </row>
    <row r="75" spans="1:4" x14ac:dyDescent="0.3">
      <c r="A75">
        <v>2</v>
      </c>
      <c r="B75" s="12">
        <f>DATA!T75</f>
        <v>2</v>
      </c>
      <c r="C75" s="12">
        <f>DATA!F75</f>
        <v>27</v>
      </c>
      <c r="D75" s="12">
        <f>DATA!M75</f>
        <v>0</v>
      </c>
    </row>
    <row r="76" spans="1:4" x14ac:dyDescent="0.3">
      <c r="A76">
        <v>2</v>
      </c>
      <c r="B76" s="12">
        <f>DATA!T76</f>
        <v>3</v>
      </c>
      <c r="C76" s="12">
        <f>DATA!F76</f>
        <v>46</v>
      </c>
      <c r="D76" s="12">
        <f>DATA!M76</f>
        <v>0</v>
      </c>
    </row>
    <row r="77" spans="1:4" x14ac:dyDescent="0.3">
      <c r="A77">
        <v>2</v>
      </c>
      <c r="B77" s="12">
        <f>DATA!T77</f>
        <v>2</v>
      </c>
      <c r="C77" s="12">
        <f>DATA!F77</f>
        <v>74</v>
      </c>
      <c r="D77" s="12">
        <f>DATA!M77</f>
        <v>0</v>
      </c>
    </row>
    <row r="78" spans="1:4" x14ac:dyDescent="0.3">
      <c r="A78">
        <v>2</v>
      </c>
      <c r="B78" s="12">
        <f>DATA!T78</f>
        <v>3</v>
      </c>
      <c r="C78" s="12">
        <f>DATA!F78</f>
        <v>27</v>
      </c>
      <c r="D78" s="12">
        <f>DATA!M78</f>
        <v>0</v>
      </c>
    </row>
    <row r="79" spans="1:4" x14ac:dyDescent="0.3">
      <c r="A79">
        <v>2</v>
      </c>
      <c r="B79" s="12">
        <f>DATA!T79</f>
        <v>3</v>
      </c>
      <c r="C79" s="12">
        <f>DATA!F79</f>
        <v>84</v>
      </c>
      <c r="D79" s="12">
        <f>DATA!M79</f>
        <v>0</v>
      </c>
    </row>
    <row r="80" spans="1:4" x14ac:dyDescent="0.3">
      <c r="A80">
        <v>1</v>
      </c>
      <c r="B80" s="12">
        <f>DATA!T80</f>
        <v>2</v>
      </c>
      <c r="C80" s="12">
        <f>DATA!F80</f>
        <v>27</v>
      </c>
      <c r="D80" s="12">
        <f>DATA!M80</f>
        <v>1</v>
      </c>
    </row>
    <row r="81" spans="1:4" x14ac:dyDescent="0.3">
      <c r="A81">
        <v>1</v>
      </c>
      <c r="B81" s="12">
        <f>DATA!T81</f>
        <v>1</v>
      </c>
      <c r="C81" s="12">
        <f>DATA!F81</f>
        <v>54</v>
      </c>
      <c r="D81" s="12">
        <f>DATA!M81</f>
        <v>0</v>
      </c>
    </row>
    <row r="82" spans="1:4" x14ac:dyDescent="0.3">
      <c r="A82">
        <v>2</v>
      </c>
      <c r="B82" s="12">
        <f>DATA!T82</f>
        <v>2</v>
      </c>
      <c r="C82" s="12">
        <f>DATA!F82</f>
        <v>46</v>
      </c>
      <c r="D82" s="12">
        <f>DATA!M82</f>
        <v>0</v>
      </c>
    </row>
    <row r="83" spans="1:4" x14ac:dyDescent="0.3">
      <c r="A83">
        <v>1</v>
      </c>
      <c r="B83" s="12">
        <f>DATA!T83</f>
        <v>2</v>
      </c>
      <c r="C83" s="12">
        <f>DATA!F83</f>
        <v>82</v>
      </c>
      <c r="D83" s="12">
        <f>DATA!M83</f>
        <v>1</v>
      </c>
    </row>
    <row r="84" spans="1:4" x14ac:dyDescent="0.3">
      <c r="A84">
        <v>1</v>
      </c>
      <c r="B84" s="12">
        <f>DATA!T84</f>
        <v>3</v>
      </c>
      <c r="C84" s="12">
        <f>DATA!F84</f>
        <v>31</v>
      </c>
      <c r="D84" s="12">
        <f>DATA!M84</f>
        <v>1</v>
      </c>
    </row>
    <row r="85" spans="1:4" x14ac:dyDescent="0.3">
      <c r="A85">
        <v>2</v>
      </c>
      <c r="B85" s="12">
        <f>DATA!T85</f>
        <v>3</v>
      </c>
      <c r="C85" s="12">
        <f>DATA!F85</f>
        <v>20</v>
      </c>
      <c r="D85" s="12">
        <f>DATA!M85</f>
        <v>0</v>
      </c>
    </row>
    <row r="86" spans="1:4" x14ac:dyDescent="0.3">
      <c r="A86">
        <v>2</v>
      </c>
      <c r="B86" s="12">
        <f>DATA!T86</f>
        <v>3</v>
      </c>
      <c r="C86" s="12">
        <f>DATA!F86</f>
        <v>55</v>
      </c>
      <c r="D86" s="12">
        <f>DATA!M86</f>
        <v>0</v>
      </c>
    </row>
    <row r="87" spans="1:4" x14ac:dyDescent="0.3">
      <c r="A87">
        <v>2</v>
      </c>
      <c r="B87" s="12">
        <f>DATA!T87</f>
        <v>3</v>
      </c>
      <c r="C87" s="12">
        <f>DATA!F87</f>
        <v>89</v>
      </c>
      <c r="D87" s="12">
        <f>DATA!M87</f>
        <v>1</v>
      </c>
    </row>
    <row r="88" spans="1:4" x14ac:dyDescent="0.3">
      <c r="A88">
        <v>2</v>
      </c>
      <c r="B88" s="12">
        <f>DATA!T88</f>
        <v>2</v>
      </c>
      <c r="C88" s="12">
        <f>DATA!F88</f>
        <v>21</v>
      </c>
      <c r="D88" s="12">
        <f>DATA!M88</f>
        <v>0</v>
      </c>
    </row>
    <row r="89" spans="1:4" x14ac:dyDescent="0.3">
      <c r="A89">
        <v>1</v>
      </c>
      <c r="B89" s="12">
        <f>DATA!T89</f>
        <v>1</v>
      </c>
      <c r="C89" s="12">
        <f>DATA!F89</f>
        <v>68</v>
      </c>
      <c r="D89" s="12">
        <f>DATA!M89</f>
        <v>1</v>
      </c>
    </row>
    <row r="90" spans="1:4" x14ac:dyDescent="0.3">
      <c r="A90">
        <v>1</v>
      </c>
      <c r="B90" s="12">
        <f>DATA!T90</f>
        <v>1</v>
      </c>
      <c r="C90" s="12">
        <f>DATA!F90</f>
        <v>79</v>
      </c>
      <c r="D90" s="12">
        <f>DATA!M90</f>
        <v>1</v>
      </c>
    </row>
    <row r="91" spans="1:4" x14ac:dyDescent="0.3">
      <c r="A91">
        <v>2</v>
      </c>
      <c r="B91" s="12">
        <f>DATA!T91</f>
        <v>1</v>
      </c>
      <c r="C91" s="12">
        <f>DATA!F91</f>
        <v>46</v>
      </c>
      <c r="D91" s="12">
        <f>DATA!M91</f>
        <v>0</v>
      </c>
    </row>
    <row r="92" spans="1:4" x14ac:dyDescent="0.3">
      <c r="A92">
        <v>1</v>
      </c>
      <c r="B92" s="12">
        <f>DATA!T92</f>
        <v>1</v>
      </c>
      <c r="C92" s="12">
        <f>DATA!F92</f>
        <v>53</v>
      </c>
      <c r="D92" s="12">
        <f>DATA!M92</f>
        <v>0</v>
      </c>
    </row>
    <row r="93" spans="1:4" x14ac:dyDescent="0.3">
      <c r="A93">
        <v>1</v>
      </c>
      <c r="B93" s="12">
        <f>DATA!T93</f>
        <v>3</v>
      </c>
      <c r="C93" s="12">
        <f>DATA!F93</f>
        <v>71</v>
      </c>
      <c r="D93" s="12">
        <f>DATA!M93</f>
        <v>1</v>
      </c>
    </row>
    <row r="94" spans="1:4" x14ac:dyDescent="0.3">
      <c r="A94">
        <v>2</v>
      </c>
      <c r="B94" s="12">
        <f>DATA!T94</f>
        <v>2</v>
      </c>
      <c r="C94" s="12">
        <f>DATA!F94</f>
        <v>44</v>
      </c>
      <c r="D94" s="12">
        <f>DATA!M94</f>
        <v>0</v>
      </c>
    </row>
    <row r="95" spans="1:4" x14ac:dyDescent="0.3">
      <c r="A95">
        <v>1</v>
      </c>
      <c r="B95" s="12">
        <f>DATA!T95</f>
        <v>3</v>
      </c>
      <c r="C95" s="12">
        <f>DATA!F95</f>
        <v>60</v>
      </c>
      <c r="D95" s="12">
        <f>DATA!M95</f>
        <v>0</v>
      </c>
    </row>
    <row r="96" spans="1:4" x14ac:dyDescent="0.3">
      <c r="A96">
        <v>1</v>
      </c>
      <c r="B96" s="12">
        <f>DATA!T96</f>
        <v>3</v>
      </c>
      <c r="C96" s="12">
        <f>DATA!F96</f>
        <v>64</v>
      </c>
      <c r="D96" s="12">
        <f>DATA!M96</f>
        <v>1</v>
      </c>
    </row>
    <row r="97" spans="1:4" x14ac:dyDescent="0.3">
      <c r="A97">
        <v>2</v>
      </c>
      <c r="B97" s="12">
        <f>DATA!T97</f>
        <v>2</v>
      </c>
      <c r="C97" s="12">
        <f>DATA!F97</f>
        <v>87</v>
      </c>
      <c r="D97" s="12">
        <f>DATA!M97</f>
        <v>1</v>
      </c>
    </row>
    <row r="98" spans="1:4" x14ac:dyDescent="0.3">
      <c r="A98">
        <v>1</v>
      </c>
      <c r="B98" s="12">
        <f>DATA!T98</f>
        <v>2</v>
      </c>
      <c r="C98" s="12">
        <f>DATA!F98</f>
        <v>46</v>
      </c>
      <c r="D98" s="12">
        <f>DATA!M98</f>
        <v>0</v>
      </c>
    </row>
    <row r="99" spans="1:4" x14ac:dyDescent="0.3">
      <c r="A99">
        <v>1</v>
      </c>
      <c r="B99" s="12">
        <f>DATA!T99</f>
        <v>2</v>
      </c>
      <c r="C99" s="12">
        <f>DATA!F99</f>
        <v>61</v>
      </c>
      <c r="D99" s="12">
        <f>DATA!M99</f>
        <v>0</v>
      </c>
    </row>
    <row r="100" spans="1:4" x14ac:dyDescent="0.3">
      <c r="A100">
        <v>1</v>
      </c>
      <c r="B100" s="12">
        <f>DATA!T100</f>
        <v>3</v>
      </c>
      <c r="C100" s="12">
        <f>DATA!F100</f>
        <v>80</v>
      </c>
      <c r="D100" s="12">
        <f>DATA!M100</f>
        <v>1</v>
      </c>
    </row>
    <row r="101" spans="1:4" x14ac:dyDescent="0.3">
      <c r="A101">
        <v>2</v>
      </c>
      <c r="B101" s="12">
        <f>DATA!T101</f>
        <v>1</v>
      </c>
      <c r="C101" s="12">
        <f>DATA!F101</f>
        <v>27</v>
      </c>
      <c r="D101" s="12">
        <f>DATA!M101</f>
        <v>1</v>
      </c>
    </row>
    <row r="102" spans="1:4" x14ac:dyDescent="0.3">
      <c r="A102">
        <v>2</v>
      </c>
      <c r="B102" s="12">
        <f>DATA!T102</f>
        <v>3</v>
      </c>
      <c r="C102" s="12">
        <f>DATA!F102</f>
        <v>56</v>
      </c>
      <c r="D102" s="12">
        <f>DATA!M102</f>
        <v>0</v>
      </c>
    </row>
    <row r="103" spans="1:4" x14ac:dyDescent="0.3">
      <c r="A103">
        <v>1</v>
      </c>
      <c r="B103" s="12">
        <f>DATA!T103</f>
        <v>3</v>
      </c>
      <c r="C103" s="12">
        <f>DATA!F103</f>
        <v>49</v>
      </c>
      <c r="D103" s="12">
        <f>DATA!M103</f>
        <v>0</v>
      </c>
    </row>
    <row r="104" spans="1:4" x14ac:dyDescent="0.3">
      <c r="A104">
        <v>2</v>
      </c>
      <c r="B104" s="12">
        <f>DATA!T104</f>
        <v>2</v>
      </c>
      <c r="C104" s="12">
        <f>DATA!F104</f>
        <v>40</v>
      </c>
      <c r="D104" s="12">
        <f>DATA!M104</f>
        <v>1</v>
      </c>
    </row>
    <row r="105" spans="1:4" x14ac:dyDescent="0.3">
      <c r="A105">
        <v>1</v>
      </c>
      <c r="B105" s="12">
        <f>DATA!T105</f>
        <v>3</v>
      </c>
      <c r="C105" s="12">
        <f>DATA!F105</f>
        <v>75</v>
      </c>
      <c r="D105" s="12">
        <f>DATA!M105</f>
        <v>1</v>
      </c>
    </row>
    <row r="106" spans="1:4" x14ac:dyDescent="0.3">
      <c r="A106">
        <v>2</v>
      </c>
      <c r="B106" s="12">
        <f>DATA!T106</f>
        <v>1</v>
      </c>
      <c r="C106" s="12">
        <f>DATA!F106</f>
        <v>39</v>
      </c>
      <c r="D106" s="12">
        <f>DATA!M106</f>
        <v>1</v>
      </c>
    </row>
    <row r="107" spans="1:4" x14ac:dyDescent="0.3">
      <c r="A107">
        <v>1</v>
      </c>
      <c r="B107" s="12">
        <f>DATA!T107</f>
        <v>1</v>
      </c>
      <c r="C107" s="12">
        <f>DATA!F107</f>
        <v>79</v>
      </c>
      <c r="D107" s="12">
        <f>DATA!M107</f>
        <v>1</v>
      </c>
    </row>
    <row r="108" spans="1:4" x14ac:dyDescent="0.3">
      <c r="A108">
        <v>2</v>
      </c>
      <c r="B108" s="12">
        <f>DATA!T108</f>
        <v>3</v>
      </c>
      <c r="C108" s="12">
        <f>DATA!F108</f>
        <v>59</v>
      </c>
      <c r="D108" s="12">
        <f>DATA!M108</f>
        <v>0</v>
      </c>
    </row>
    <row r="109" spans="1:4" x14ac:dyDescent="0.3">
      <c r="A109">
        <v>1</v>
      </c>
      <c r="B109" s="12">
        <f>DATA!T109</f>
        <v>2</v>
      </c>
      <c r="C109" s="12">
        <f>DATA!F109</f>
        <v>59</v>
      </c>
      <c r="D109" s="12">
        <f>DATA!M109</f>
        <v>1</v>
      </c>
    </row>
    <row r="110" spans="1:4" x14ac:dyDescent="0.3">
      <c r="A110">
        <v>1</v>
      </c>
      <c r="B110" s="12">
        <f>DATA!T110</f>
        <v>3</v>
      </c>
      <c r="C110" s="12">
        <f>DATA!F110</f>
        <v>41</v>
      </c>
      <c r="D110" s="12">
        <f>DATA!M110</f>
        <v>0</v>
      </c>
    </row>
    <row r="111" spans="1:4" x14ac:dyDescent="0.3">
      <c r="A111">
        <v>2</v>
      </c>
      <c r="B111" s="12">
        <f>DATA!T111</f>
        <v>1</v>
      </c>
      <c r="C111" s="12">
        <f>DATA!F111</f>
        <v>70</v>
      </c>
      <c r="D111" s="12">
        <f>DATA!M111</f>
        <v>1</v>
      </c>
    </row>
    <row r="112" spans="1:4" x14ac:dyDescent="0.3">
      <c r="A112">
        <v>1</v>
      </c>
      <c r="B112" s="12">
        <f>DATA!T112</f>
        <v>1</v>
      </c>
      <c r="C112" s="12">
        <f>DATA!F112</f>
        <v>41</v>
      </c>
      <c r="D112" s="12">
        <f>DATA!M112</f>
        <v>0</v>
      </c>
    </row>
    <row r="113" spans="1:4" x14ac:dyDescent="0.3">
      <c r="A113">
        <v>1</v>
      </c>
      <c r="B113" s="12">
        <f>DATA!T113</f>
        <v>3</v>
      </c>
      <c r="C113" s="12">
        <f>DATA!F113</f>
        <v>90</v>
      </c>
      <c r="D113" s="12">
        <f>DATA!M113</f>
        <v>0</v>
      </c>
    </row>
    <row r="114" spans="1:4" x14ac:dyDescent="0.3">
      <c r="A114">
        <v>2</v>
      </c>
      <c r="B114" s="12">
        <f>DATA!T114</f>
        <v>1</v>
      </c>
      <c r="C114" s="12">
        <f>DATA!F114</f>
        <v>59</v>
      </c>
      <c r="D114" s="12">
        <f>DATA!M114</f>
        <v>0</v>
      </c>
    </row>
    <row r="115" spans="1:4" x14ac:dyDescent="0.3">
      <c r="A115">
        <v>2</v>
      </c>
      <c r="B115" s="12">
        <f>DATA!T115</f>
        <v>3</v>
      </c>
      <c r="C115" s="12">
        <f>DATA!F115</f>
        <v>78</v>
      </c>
      <c r="D115" s="12">
        <f>DATA!M115</f>
        <v>0</v>
      </c>
    </row>
    <row r="116" spans="1:4" x14ac:dyDescent="0.3">
      <c r="A116">
        <v>1</v>
      </c>
      <c r="B116" s="12">
        <f>DATA!T116</f>
        <v>1</v>
      </c>
      <c r="C116" s="12">
        <f>DATA!F116</f>
        <v>65</v>
      </c>
      <c r="D116" s="12">
        <f>DATA!M116</f>
        <v>1</v>
      </c>
    </row>
    <row r="117" spans="1:4" x14ac:dyDescent="0.3">
      <c r="A117">
        <v>1</v>
      </c>
      <c r="B117" s="12">
        <f>DATA!T117</f>
        <v>2</v>
      </c>
      <c r="C117" s="12">
        <f>DATA!F117</f>
        <v>33</v>
      </c>
      <c r="D117" s="12">
        <f>DATA!M117</f>
        <v>1</v>
      </c>
    </row>
    <row r="118" spans="1:4" x14ac:dyDescent="0.3">
      <c r="A118">
        <v>1</v>
      </c>
      <c r="B118" s="12">
        <f>DATA!T118</f>
        <v>1</v>
      </c>
      <c r="C118" s="12">
        <f>DATA!F118</f>
        <v>54</v>
      </c>
      <c r="D118" s="12">
        <f>DATA!M118</f>
        <v>1</v>
      </c>
    </row>
    <row r="119" spans="1:4" x14ac:dyDescent="0.3">
      <c r="A119">
        <v>2</v>
      </c>
      <c r="B119" s="12">
        <f>DATA!T119</f>
        <v>3</v>
      </c>
      <c r="C119" s="12">
        <f>DATA!F119</f>
        <v>83</v>
      </c>
      <c r="D119" s="12">
        <f>DATA!M119</f>
        <v>0</v>
      </c>
    </row>
    <row r="120" spans="1:4" x14ac:dyDescent="0.3">
      <c r="A120">
        <v>2</v>
      </c>
      <c r="B120" s="12">
        <f>DATA!T120</f>
        <v>3</v>
      </c>
      <c r="C120" s="12">
        <f>DATA!F120</f>
        <v>60</v>
      </c>
      <c r="D120" s="12">
        <f>DATA!M120</f>
        <v>0</v>
      </c>
    </row>
    <row r="121" spans="1:4" x14ac:dyDescent="0.3">
      <c r="A121">
        <v>1</v>
      </c>
      <c r="B121" s="12">
        <f>DATA!T121</f>
        <v>2</v>
      </c>
      <c r="C121" s="12">
        <f>DATA!F121</f>
        <v>18</v>
      </c>
      <c r="D121" s="12">
        <f>DATA!M121</f>
        <v>1</v>
      </c>
    </row>
    <row r="122" spans="1:4" x14ac:dyDescent="0.3">
      <c r="A122">
        <v>1</v>
      </c>
      <c r="B122" s="12">
        <f>DATA!T122</f>
        <v>1</v>
      </c>
      <c r="C122" s="12">
        <f>DATA!F122</f>
        <v>24</v>
      </c>
      <c r="D122" s="12">
        <f>DATA!M122</f>
        <v>1</v>
      </c>
    </row>
    <row r="123" spans="1:4" x14ac:dyDescent="0.3">
      <c r="A123">
        <v>1</v>
      </c>
      <c r="B123" s="12">
        <f>DATA!T123</f>
        <v>3</v>
      </c>
      <c r="C123" s="12">
        <f>DATA!F123</f>
        <v>85</v>
      </c>
      <c r="D123" s="12">
        <f>DATA!M123</f>
        <v>0</v>
      </c>
    </row>
    <row r="124" spans="1:4" x14ac:dyDescent="0.3">
      <c r="A124">
        <v>1</v>
      </c>
      <c r="B124" s="12">
        <f>DATA!T124</f>
        <v>1</v>
      </c>
      <c r="C124" s="12">
        <f>DATA!F124</f>
        <v>49</v>
      </c>
      <c r="D124" s="12">
        <f>DATA!M124</f>
        <v>1</v>
      </c>
    </row>
    <row r="125" spans="1:4" x14ac:dyDescent="0.3">
      <c r="A125">
        <v>2</v>
      </c>
      <c r="B125" s="12">
        <f>DATA!T125</f>
        <v>2</v>
      </c>
      <c r="C125" s="12">
        <f>DATA!F125</f>
        <v>47</v>
      </c>
      <c r="D125" s="12">
        <f>DATA!M125</f>
        <v>1</v>
      </c>
    </row>
    <row r="126" spans="1:4" x14ac:dyDescent="0.3">
      <c r="A126">
        <v>1</v>
      </c>
      <c r="B126" s="12">
        <f>DATA!T126</f>
        <v>3</v>
      </c>
      <c r="C126" s="12">
        <f>DATA!F126</f>
        <v>34</v>
      </c>
      <c r="D126" s="12">
        <f>DATA!M126</f>
        <v>0</v>
      </c>
    </row>
    <row r="127" spans="1:4" x14ac:dyDescent="0.3">
      <c r="A127">
        <v>1</v>
      </c>
      <c r="B127" s="12">
        <f>DATA!T127</f>
        <v>2</v>
      </c>
      <c r="C127" s="12">
        <f>DATA!F127</f>
        <v>85</v>
      </c>
      <c r="D127" s="12">
        <f>DATA!M127</f>
        <v>0</v>
      </c>
    </row>
    <row r="128" spans="1:4" x14ac:dyDescent="0.3">
      <c r="A128">
        <v>2</v>
      </c>
      <c r="B128" s="12">
        <f>DATA!T128</f>
        <v>3</v>
      </c>
      <c r="C128" s="12">
        <f>DATA!F128</f>
        <v>44</v>
      </c>
      <c r="D128" s="12">
        <f>DATA!M128</f>
        <v>1</v>
      </c>
    </row>
    <row r="129" spans="1:4" x14ac:dyDescent="0.3">
      <c r="A129">
        <v>2</v>
      </c>
      <c r="B129" s="12">
        <f>DATA!T129</f>
        <v>1</v>
      </c>
      <c r="C129" s="12">
        <f>DATA!F129</f>
        <v>24</v>
      </c>
      <c r="D129" s="12">
        <f>DATA!M129</f>
        <v>0</v>
      </c>
    </row>
    <row r="130" spans="1:4" x14ac:dyDescent="0.3">
      <c r="A130">
        <v>2</v>
      </c>
      <c r="B130" s="12">
        <f>DATA!T130</f>
        <v>3</v>
      </c>
      <c r="C130" s="12">
        <f>DATA!F130</f>
        <v>29</v>
      </c>
      <c r="D130" s="12">
        <f>DATA!M130</f>
        <v>0</v>
      </c>
    </row>
    <row r="131" spans="1:4" x14ac:dyDescent="0.3">
      <c r="A131">
        <v>2</v>
      </c>
      <c r="B131" s="12">
        <f>DATA!T131</f>
        <v>2</v>
      </c>
      <c r="C131" s="12">
        <f>DATA!F131</f>
        <v>73</v>
      </c>
      <c r="D131" s="12">
        <f>DATA!M131</f>
        <v>0</v>
      </c>
    </row>
    <row r="132" spans="1:4" x14ac:dyDescent="0.3">
      <c r="A132">
        <v>1</v>
      </c>
      <c r="B132" s="12">
        <f>DATA!T132</f>
        <v>3</v>
      </c>
      <c r="C132" s="12">
        <f>DATA!F132</f>
        <v>61</v>
      </c>
      <c r="D132" s="12">
        <f>DATA!M132</f>
        <v>1</v>
      </c>
    </row>
    <row r="133" spans="1:4" x14ac:dyDescent="0.3">
      <c r="A133">
        <v>1</v>
      </c>
      <c r="B133" s="12">
        <f>DATA!T133</f>
        <v>2</v>
      </c>
      <c r="C133" s="12">
        <f>DATA!F133</f>
        <v>85</v>
      </c>
      <c r="D133" s="12">
        <f>DATA!M133</f>
        <v>0</v>
      </c>
    </row>
    <row r="134" spans="1:4" x14ac:dyDescent="0.3">
      <c r="A134">
        <v>2</v>
      </c>
      <c r="B134" s="12">
        <f>DATA!T134</f>
        <v>3</v>
      </c>
      <c r="C134" s="12">
        <f>DATA!F134</f>
        <v>38</v>
      </c>
      <c r="D134" s="12">
        <f>DATA!M134</f>
        <v>1</v>
      </c>
    </row>
    <row r="135" spans="1:4" x14ac:dyDescent="0.3">
      <c r="A135">
        <v>2</v>
      </c>
      <c r="B135" s="12">
        <f>DATA!T135</f>
        <v>2</v>
      </c>
      <c r="C135" s="12">
        <f>DATA!F135</f>
        <v>32</v>
      </c>
      <c r="D135" s="12">
        <f>DATA!M135</f>
        <v>1</v>
      </c>
    </row>
    <row r="136" spans="1:4" x14ac:dyDescent="0.3">
      <c r="A136">
        <v>1</v>
      </c>
      <c r="B136" s="12">
        <f>DATA!T136</f>
        <v>1</v>
      </c>
      <c r="C136" s="12">
        <f>DATA!F136</f>
        <v>32</v>
      </c>
      <c r="D136" s="12">
        <f>DATA!M136</f>
        <v>1</v>
      </c>
    </row>
    <row r="137" spans="1:4" x14ac:dyDescent="0.3">
      <c r="A137">
        <v>1</v>
      </c>
      <c r="B137" s="12">
        <f>DATA!T137</f>
        <v>3</v>
      </c>
      <c r="C137" s="12">
        <f>DATA!F137</f>
        <v>81</v>
      </c>
      <c r="D137" s="12">
        <f>DATA!M137</f>
        <v>1</v>
      </c>
    </row>
    <row r="138" spans="1:4" x14ac:dyDescent="0.3">
      <c r="A138">
        <v>1</v>
      </c>
      <c r="B138" s="12">
        <f>DATA!T138</f>
        <v>1</v>
      </c>
      <c r="C138" s="12">
        <f>DATA!F138</f>
        <v>61</v>
      </c>
      <c r="D138" s="12">
        <f>DATA!M138</f>
        <v>0</v>
      </c>
    </row>
    <row r="139" spans="1:4" x14ac:dyDescent="0.3">
      <c r="A139">
        <v>2</v>
      </c>
      <c r="B139" s="12">
        <f>DATA!T139</f>
        <v>3</v>
      </c>
      <c r="C139" s="12">
        <f>DATA!F139</f>
        <v>45</v>
      </c>
      <c r="D139" s="12">
        <f>DATA!M139</f>
        <v>1</v>
      </c>
    </row>
    <row r="140" spans="1:4" x14ac:dyDescent="0.3">
      <c r="A140">
        <v>2</v>
      </c>
      <c r="B140" s="12">
        <f>DATA!T140</f>
        <v>3</v>
      </c>
      <c r="C140" s="12">
        <f>DATA!F140</f>
        <v>38</v>
      </c>
      <c r="D140" s="12">
        <f>DATA!M140</f>
        <v>0</v>
      </c>
    </row>
    <row r="141" spans="1:4" x14ac:dyDescent="0.3">
      <c r="A141">
        <v>2</v>
      </c>
      <c r="B141" s="12">
        <f>DATA!T141</f>
        <v>1</v>
      </c>
      <c r="C141" s="12">
        <f>DATA!F141</f>
        <v>41</v>
      </c>
      <c r="D141" s="12">
        <f>DATA!M141</f>
        <v>1</v>
      </c>
    </row>
    <row r="142" spans="1:4" x14ac:dyDescent="0.3">
      <c r="A142">
        <v>1</v>
      </c>
      <c r="B142" s="12">
        <f>DATA!T142</f>
        <v>2</v>
      </c>
      <c r="C142" s="12">
        <f>DATA!F142</f>
        <v>52</v>
      </c>
      <c r="D142" s="12">
        <f>DATA!M142</f>
        <v>1</v>
      </c>
    </row>
    <row r="143" spans="1:4" x14ac:dyDescent="0.3">
      <c r="A143">
        <v>1</v>
      </c>
      <c r="B143" s="12">
        <f>DATA!T143</f>
        <v>1</v>
      </c>
      <c r="C143" s="12">
        <f>DATA!F143</f>
        <v>50</v>
      </c>
      <c r="D143" s="12">
        <f>DATA!M143</f>
        <v>0</v>
      </c>
    </row>
    <row r="144" spans="1:4" x14ac:dyDescent="0.3">
      <c r="A144">
        <v>1</v>
      </c>
      <c r="B144" s="12">
        <f>DATA!T144</f>
        <v>1</v>
      </c>
      <c r="C144" s="12">
        <f>DATA!F144</f>
        <v>83</v>
      </c>
      <c r="D144" s="12">
        <f>DATA!M144</f>
        <v>1</v>
      </c>
    </row>
    <row r="145" spans="1:4" x14ac:dyDescent="0.3">
      <c r="A145">
        <v>2</v>
      </c>
      <c r="B145" s="12">
        <f>DATA!T145</f>
        <v>3</v>
      </c>
      <c r="C145" s="12">
        <f>DATA!F145</f>
        <v>40</v>
      </c>
      <c r="D145" s="12">
        <f>DATA!M145</f>
        <v>0</v>
      </c>
    </row>
    <row r="146" spans="1:4" x14ac:dyDescent="0.3">
      <c r="A146">
        <v>2</v>
      </c>
      <c r="B146" s="12">
        <f>DATA!T146</f>
        <v>2</v>
      </c>
      <c r="C146" s="12">
        <f>DATA!F146</f>
        <v>39</v>
      </c>
      <c r="D146" s="12">
        <f>DATA!M146</f>
        <v>0</v>
      </c>
    </row>
    <row r="147" spans="1:4" x14ac:dyDescent="0.3">
      <c r="A147">
        <v>1</v>
      </c>
      <c r="B147" s="12">
        <f>DATA!T147</f>
        <v>2</v>
      </c>
      <c r="C147" s="12">
        <f>DATA!F147</f>
        <v>75</v>
      </c>
      <c r="D147" s="12">
        <f>DATA!M147</f>
        <v>0</v>
      </c>
    </row>
    <row r="148" spans="1:4" x14ac:dyDescent="0.3">
      <c r="A148">
        <v>1</v>
      </c>
      <c r="B148" s="12">
        <f>DATA!T148</f>
        <v>1</v>
      </c>
      <c r="C148" s="12">
        <f>DATA!F148</f>
        <v>86</v>
      </c>
      <c r="D148" s="12">
        <f>DATA!M148</f>
        <v>1</v>
      </c>
    </row>
    <row r="149" spans="1:4" x14ac:dyDescent="0.3">
      <c r="A149">
        <v>2</v>
      </c>
      <c r="B149" s="12">
        <f>DATA!T149</f>
        <v>1</v>
      </c>
      <c r="C149" s="12">
        <f>DATA!F149</f>
        <v>63</v>
      </c>
      <c r="D149" s="12">
        <f>DATA!M149</f>
        <v>1</v>
      </c>
    </row>
    <row r="150" spans="1:4" x14ac:dyDescent="0.3">
      <c r="A150">
        <v>2</v>
      </c>
      <c r="B150" s="12">
        <f>DATA!T150</f>
        <v>2</v>
      </c>
      <c r="C150" s="12">
        <f>DATA!F150</f>
        <v>57</v>
      </c>
      <c r="D150" s="12">
        <f>DATA!M150</f>
        <v>1</v>
      </c>
    </row>
    <row r="151" spans="1:4" x14ac:dyDescent="0.3">
      <c r="A151">
        <v>2</v>
      </c>
      <c r="B151" s="12">
        <f>DATA!T151</f>
        <v>1</v>
      </c>
      <c r="C151" s="12">
        <f>DATA!F151</f>
        <v>42</v>
      </c>
      <c r="D151" s="12">
        <f>DATA!M151</f>
        <v>0</v>
      </c>
    </row>
    <row r="152" spans="1:4" x14ac:dyDescent="0.3">
      <c r="A152">
        <v>1</v>
      </c>
      <c r="B152" s="12">
        <f>DATA!T152</f>
        <v>3</v>
      </c>
      <c r="C152" s="12">
        <f>DATA!F152</f>
        <v>35</v>
      </c>
      <c r="D152" s="12">
        <f>DATA!M152</f>
        <v>0</v>
      </c>
    </row>
    <row r="153" spans="1:4" x14ac:dyDescent="0.3">
      <c r="A153">
        <v>1</v>
      </c>
      <c r="B153" s="12">
        <f>DATA!T153</f>
        <v>3</v>
      </c>
      <c r="C153" s="12">
        <f>DATA!F153</f>
        <v>70</v>
      </c>
      <c r="D153" s="12">
        <f>DATA!M153</f>
        <v>1</v>
      </c>
    </row>
    <row r="154" spans="1:4" x14ac:dyDescent="0.3">
      <c r="A154">
        <v>2</v>
      </c>
      <c r="B154" s="12">
        <f>DATA!T154</f>
        <v>1</v>
      </c>
      <c r="C154" s="12">
        <f>DATA!F154</f>
        <v>26</v>
      </c>
      <c r="D154" s="12">
        <f>DATA!M154</f>
        <v>1</v>
      </c>
    </row>
    <row r="155" spans="1:4" x14ac:dyDescent="0.3">
      <c r="A155">
        <v>1</v>
      </c>
      <c r="B155" s="12">
        <f>DATA!T155</f>
        <v>3</v>
      </c>
      <c r="C155" s="12">
        <f>DATA!F155</f>
        <v>23</v>
      </c>
      <c r="D155" s="12">
        <f>DATA!M155</f>
        <v>1</v>
      </c>
    </row>
    <row r="156" spans="1:4" x14ac:dyDescent="0.3">
      <c r="A156">
        <v>2</v>
      </c>
      <c r="B156" s="12">
        <f>DATA!T156</f>
        <v>2</v>
      </c>
      <c r="C156" s="12">
        <f>DATA!F156</f>
        <v>28</v>
      </c>
      <c r="D156" s="12">
        <f>DATA!M156</f>
        <v>0</v>
      </c>
    </row>
    <row r="157" spans="1:4" x14ac:dyDescent="0.3">
      <c r="A157">
        <v>1</v>
      </c>
      <c r="B157" s="12">
        <f>DATA!T157</f>
        <v>1</v>
      </c>
      <c r="C157" s="12">
        <f>DATA!F157</f>
        <v>80</v>
      </c>
      <c r="D157" s="12">
        <f>DATA!M157</f>
        <v>1</v>
      </c>
    </row>
    <row r="158" spans="1:4" x14ac:dyDescent="0.3">
      <c r="A158">
        <v>1</v>
      </c>
      <c r="B158" s="12">
        <f>DATA!T158</f>
        <v>3</v>
      </c>
      <c r="C158" s="12">
        <f>DATA!F158</f>
        <v>47</v>
      </c>
      <c r="D158" s="12">
        <f>DATA!M158</f>
        <v>0</v>
      </c>
    </row>
    <row r="159" spans="1:4" x14ac:dyDescent="0.3">
      <c r="A159">
        <v>1</v>
      </c>
      <c r="B159" s="12">
        <f>DATA!T159</f>
        <v>1</v>
      </c>
      <c r="C159" s="12">
        <f>DATA!F159</f>
        <v>29</v>
      </c>
      <c r="D159" s="12">
        <f>DATA!M159</f>
        <v>1</v>
      </c>
    </row>
    <row r="160" spans="1:4" x14ac:dyDescent="0.3">
      <c r="A160">
        <v>2</v>
      </c>
      <c r="B160" s="12">
        <f>DATA!T160</f>
        <v>2</v>
      </c>
      <c r="C160" s="12">
        <f>DATA!F160</f>
        <v>48</v>
      </c>
      <c r="D160" s="12">
        <f>DATA!M160</f>
        <v>1</v>
      </c>
    </row>
    <row r="161" spans="1:4" x14ac:dyDescent="0.3">
      <c r="A161">
        <v>1</v>
      </c>
      <c r="B161" s="12">
        <f>DATA!T161</f>
        <v>3</v>
      </c>
      <c r="C161" s="12">
        <f>DATA!F161</f>
        <v>89</v>
      </c>
      <c r="D161" s="12">
        <f>DATA!M161</f>
        <v>1</v>
      </c>
    </row>
    <row r="162" spans="1:4" x14ac:dyDescent="0.3">
      <c r="A162">
        <v>2</v>
      </c>
      <c r="B162" s="12">
        <f>DATA!T162</f>
        <v>2</v>
      </c>
      <c r="C162" s="12">
        <f>DATA!F162</f>
        <v>76</v>
      </c>
      <c r="D162" s="12">
        <f>DATA!M162</f>
        <v>0</v>
      </c>
    </row>
    <row r="163" spans="1:4" x14ac:dyDescent="0.3">
      <c r="A163">
        <v>1</v>
      </c>
      <c r="B163" s="12">
        <f>DATA!T163</f>
        <v>1</v>
      </c>
      <c r="C163" s="12">
        <f>DATA!F163</f>
        <v>60</v>
      </c>
      <c r="D163" s="12">
        <f>DATA!M163</f>
        <v>0</v>
      </c>
    </row>
    <row r="164" spans="1:4" x14ac:dyDescent="0.3">
      <c r="A164">
        <v>2</v>
      </c>
      <c r="B164" s="12">
        <f>DATA!T164</f>
        <v>1</v>
      </c>
      <c r="C164" s="12">
        <f>DATA!F164</f>
        <v>89</v>
      </c>
      <c r="D164" s="12">
        <f>DATA!M164</f>
        <v>1</v>
      </c>
    </row>
    <row r="165" spans="1:4" x14ac:dyDescent="0.3">
      <c r="A165">
        <v>2</v>
      </c>
      <c r="B165" s="12">
        <f>DATA!T165</f>
        <v>3</v>
      </c>
      <c r="C165" s="12">
        <f>DATA!F165</f>
        <v>43</v>
      </c>
      <c r="D165" s="12">
        <f>DATA!M165</f>
        <v>1</v>
      </c>
    </row>
    <row r="166" spans="1:4" x14ac:dyDescent="0.3">
      <c r="A166">
        <v>2</v>
      </c>
      <c r="B166" s="12">
        <f>DATA!T166</f>
        <v>2</v>
      </c>
      <c r="C166" s="12">
        <f>DATA!F166</f>
        <v>72</v>
      </c>
      <c r="D166" s="12">
        <f>DATA!M166</f>
        <v>0</v>
      </c>
    </row>
    <row r="167" spans="1:4" x14ac:dyDescent="0.3">
      <c r="A167">
        <v>2</v>
      </c>
      <c r="B167" s="12">
        <f>DATA!T167</f>
        <v>1</v>
      </c>
      <c r="C167" s="12">
        <f>DATA!F167</f>
        <v>43</v>
      </c>
      <c r="D167" s="12">
        <f>DATA!M167</f>
        <v>1</v>
      </c>
    </row>
    <row r="168" spans="1:4" x14ac:dyDescent="0.3">
      <c r="A168">
        <v>2</v>
      </c>
      <c r="B168" s="12">
        <f>DATA!T168</f>
        <v>2</v>
      </c>
      <c r="C168" s="12">
        <f>DATA!F168</f>
        <v>63</v>
      </c>
      <c r="D168" s="12">
        <f>DATA!M168</f>
        <v>1</v>
      </c>
    </row>
    <row r="169" spans="1:4" x14ac:dyDescent="0.3">
      <c r="A169">
        <v>1</v>
      </c>
      <c r="B169" s="12">
        <f>DATA!T169</f>
        <v>2</v>
      </c>
      <c r="C169" s="12">
        <f>DATA!F169</f>
        <v>21</v>
      </c>
      <c r="D169" s="12">
        <f>DATA!M169</f>
        <v>0</v>
      </c>
    </row>
    <row r="170" spans="1:4" x14ac:dyDescent="0.3">
      <c r="A170">
        <v>1</v>
      </c>
      <c r="B170" s="12">
        <f>DATA!T170</f>
        <v>3</v>
      </c>
      <c r="C170" s="12">
        <f>DATA!F170</f>
        <v>55</v>
      </c>
      <c r="D170" s="12">
        <f>DATA!M170</f>
        <v>0</v>
      </c>
    </row>
    <row r="171" spans="1:4" x14ac:dyDescent="0.3">
      <c r="A171">
        <v>2</v>
      </c>
      <c r="B171" s="12">
        <f>DATA!T171</f>
        <v>2</v>
      </c>
      <c r="C171" s="12">
        <f>DATA!F171</f>
        <v>51</v>
      </c>
      <c r="D171" s="12">
        <f>DATA!M171</f>
        <v>0</v>
      </c>
    </row>
    <row r="172" spans="1:4" x14ac:dyDescent="0.3">
      <c r="A172">
        <v>2</v>
      </c>
      <c r="B172" s="12">
        <f>DATA!T172</f>
        <v>1</v>
      </c>
      <c r="C172" s="12">
        <f>DATA!F172</f>
        <v>78</v>
      </c>
      <c r="D172" s="12">
        <f>DATA!M172</f>
        <v>1</v>
      </c>
    </row>
    <row r="173" spans="1:4" x14ac:dyDescent="0.3">
      <c r="A173">
        <v>2</v>
      </c>
      <c r="B173" s="12">
        <f>DATA!T173</f>
        <v>1</v>
      </c>
      <c r="C173" s="12">
        <f>DATA!F173</f>
        <v>25</v>
      </c>
      <c r="D173" s="12">
        <f>DATA!M173</f>
        <v>0</v>
      </c>
    </row>
    <row r="174" spans="1:4" x14ac:dyDescent="0.3">
      <c r="A174">
        <v>1</v>
      </c>
      <c r="B174" s="12">
        <f>DATA!T174</f>
        <v>3</v>
      </c>
      <c r="C174" s="12">
        <f>DATA!F174</f>
        <v>78</v>
      </c>
      <c r="D174" s="12">
        <f>DATA!M174</f>
        <v>1</v>
      </c>
    </row>
    <row r="175" spans="1:4" x14ac:dyDescent="0.3">
      <c r="A175">
        <v>2</v>
      </c>
      <c r="B175" s="12">
        <f>DATA!T175</f>
        <v>2</v>
      </c>
      <c r="C175" s="12">
        <f>DATA!F175</f>
        <v>55</v>
      </c>
      <c r="D175" s="12">
        <f>DATA!M175</f>
        <v>1</v>
      </c>
    </row>
    <row r="176" spans="1:4" x14ac:dyDescent="0.3">
      <c r="A176">
        <v>1</v>
      </c>
      <c r="B176" s="12">
        <f>DATA!T176</f>
        <v>1</v>
      </c>
      <c r="C176" s="12">
        <f>DATA!F176</f>
        <v>34</v>
      </c>
      <c r="D176" s="12">
        <f>DATA!M176</f>
        <v>1</v>
      </c>
    </row>
    <row r="177" spans="1:4" x14ac:dyDescent="0.3">
      <c r="A177">
        <v>2</v>
      </c>
      <c r="B177" s="12">
        <f>DATA!T177</f>
        <v>1</v>
      </c>
      <c r="C177" s="12">
        <f>DATA!F177</f>
        <v>63</v>
      </c>
      <c r="D177" s="12">
        <f>DATA!M177</f>
        <v>1</v>
      </c>
    </row>
    <row r="178" spans="1:4" x14ac:dyDescent="0.3">
      <c r="A178">
        <v>1</v>
      </c>
      <c r="B178" s="12">
        <f>DATA!T178</f>
        <v>3</v>
      </c>
      <c r="C178" s="12">
        <f>DATA!F178</f>
        <v>57</v>
      </c>
      <c r="D178" s="12">
        <f>DATA!M178</f>
        <v>0</v>
      </c>
    </row>
    <row r="179" spans="1:4" x14ac:dyDescent="0.3">
      <c r="A179">
        <v>2</v>
      </c>
      <c r="B179" s="12">
        <f>DATA!T179</f>
        <v>2</v>
      </c>
      <c r="C179" s="12">
        <f>DATA!F179</f>
        <v>51</v>
      </c>
      <c r="D179" s="12">
        <f>DATA!M179</f>
        <v>1</v>
      </c>
    </row>
    <row r="180" spans="1:4" x14ac:dyDescent="0.3">
      <c r="A180">
        <v>1</v>
      </c>
      <c r="B180" s="12">
        <f>DATA!T180</f>
        <v>2</v>
      </c>
      <c r="C180" s="12">
        <f>DATA!F180</f>
        <v>83</v>
      </c>
      <c r="D180" s="12">
        <f>DATA!M180</f>
        <v>1</v>
      </c>
    </row>
    <row r="181" spans="1:4" x14ac:dyDescent="0.3">
      <c r="A181">
        <v>1</v>
      </c>
      <c r="B181" s="12">
        <f>DATA!T181</f>
        <v>2</v>
      </c>
      <c r="C181" s="12">
        <f>DATA!F181</f>
        <v>91</v>
      </c>
      <c r="D181" s="12">
        <f>DATA!M181</f>
        <v>0</v>
      </c>
    </row>
    <row r="182" spans="1:4" x14ac:dyDescent="0.3">
      <c r="A182">
        <v>2</v>
      </c>
      <c r="B182" s="12">
        <f>DATA!T182</f>
        <v>1</v>
      </c>
      <c r="C182" s="12">
        <f>DATA!F182</f>
        <v>86</v>
      </c>
      <c r="D182" s="12">
        <f>DATA!M182</f>
        <v>1</v>
      </c>
    </row>
    <row r="183" spans="1:4" x14ac:dyDescent="0.3">
      <c r="A183">
        <v>2</v>
      </c>
      <c r="B183" s="12">
        <f>DATA!T183</f>
        <v>1</v>
      </c>
      <c r="C183" s="12">
        <f>DATA!F183</f>
        <v>42</v>
      </c>
      <c r="D183" s="12">
        <f>DATA!M183</f>
        <v>0</v>
      </c>
    </row>
    <row r="184" spans="1:4" x14ac:dyDescent="0.3">
      <c r="A184">
        <v>2</v>
      </c>
      <c r="B184" s="12">
        <f>DATA!T184</f>
        <v>3</v>
      </c>
      <c r="C184" s="12">
        <f>DATA!F184</f>
        <v>24</v>
      </c>
      <c r="D184" s="12">
        <f>DATA!M184</f>
        <v>0</v>
      </c>
    </row>
    <row r="185" spans="1:4" x14ac:dyDescent="0.3">
      <c r="A185">
        <v>2</v>
      </c>
      <c r="B185" s="12">
        <f>DATA!T185</f>
        <v>1</v>
      </c>
      <c r="C185" s="12">
        <f>DATA!F185</f>
        <v>78</v>
      </c>
      <c r="D185" s="12">
        <f>DATA!M185</f>
        <v>0</v>
      </c>
    </row>
    <row r="186" spans="1:4" x14ac:dyDescent="0.3">
      <c r="A186">
        <v>1</v>
      </c>
      <c r="B186" s="12">
        <f>DATA!T186</f>
        <v>3</v>
      </c>
      <c r="C186" s="12">
        <f>DATA!F186</f>
        <v>79</v>
      </c>
      <c r="D186" s="12">
        <f>DATA!M186</f>
        <v>0</v>
      </c>
    </row>
    <row r="187" spans="1:4" x14ac:dyDescent="0.3">
      <c r="A187">
        <v>1</v>
      </c>
      <c r="B187" s="12">
        <f>DATA!T187</f>
        <v>3</v>
      </c>
      <c r="C187" s="12">
        <f>DATA!F187</f>
        <v>77</v>
      </c>
      <c r="D187" s="12">
        <f>DATA!M187</f>
        <v>1</v>
      </c>
    </row>
    <row r="188" spans="1:4" x14ac:dyDescent="0.3">
      <c r="A188">
        <v>1</v>
      </c>
      <c r="B188" s="12">
        <f>DATA!T188</f>
        <v>2</v>
      </c>
      <c r="C188" s="12">
        <f>DATA!F188</f>
        <v>47</v>
      </c>
      <c r="D188" s="12">
        <f>DATA!M188</f>
        <v>1</v>
      </c>
    </row>
    <row r="189" spans="1:4" x14ac:dyDescent="0.3">
      <c r="A189">
        <v>1</v>
      </c>
      <c r="B189" s="12">
        <f>DATA!T189</f>
        <v>3</v>
      </c>
      <c r="C189" s="12">
        <f>DATA!F189</f>
        <v>46</v>
      </c>
      <c r="D189" s="12">
        <f>DATA!M189</f>
        <v>0</v>
      </c>
    </row>
    <row r="190" spans="1:4" x14ac:dyDescent="0.3">
      <c r="A190">
        <v>1</v>
      </c>
      <c r="B190" s="12">
        <f>DATA!T190</f>
        <v>2</v>
      </c>
      <c r="C190" s="12">
        <f>DATA!F190</f>
        <v>42</v>
      </c>
      <c r="D190" s="12">
        <f>DATA!M190</f>
        <v>1</v>
      </c>
    </row>
    <row r="191" spans="1:4" x14ac:dyDescent="0.3">
      <c r="A191">
        <v>1</v>
      </c>
      <c r="B191" s="12">
        <f>DATA!T191</f>
        <v>2</v>
      </c>
      <c r="C191" s="12">
        <f>DATA!F191</f>
        <v>21</v>
      </c>
      <c r="D191" s="12">
        <f>DATA!M191</f>
        <v>1</v>
      </c>
    </row>
    <row r="192" spans="1:4" x14ac:dyDescent="0.3">
      <c r="A192">
        <v>2</v>
      </c>
      <c r="B192" s="12">
        <f>DATA!T192</f>
        <v>1</v>
      </c>
      <c r="C192" s="12">
        <f>DATA!F192</f>
        <v>39</v>
      </c>
      <c r="D192" s="12">
        <f>DATA!M192</f>
        <v>0</v>
      </c>
    </row>
    <row r="193" spans="1:4" x14ac:dyDescent="0.3">
      <c r="A193">
        <v>1</v>
      </c>
      <c r="B193" s="12">
        <f>DATA!T193</f>
        <v>1</v>
      </c>
      <c r="C193" s="12">
        <f>DATA!F193</f>
        <v>24</v>
      </c>
      <c r="D193" s="12">
        <f>DATA!M193</f>
        <v>0</v>
      </c>
    </row>
    <row r="194" spans="1:4" x14ac:dyDescent="0.3">
      <c r="A194">
        <v>1</v>
      </c>
      <c r="B194" s="12">
        <f>DATA!T194</f>
        <v>3</v>
      </c>
      <c r="C194" s="12">
        <f>DATA!F194</f>
        <v>39</v>
      </c>
      <c r="D194" s="12">
        <f>DATA!M194</f>
        <v>1</v>
      </c>
    </row>
    <row r="195" spans="1:4" x14ac:dyDescent="0.3">
      <c r="A195">
        <v>1</v>
      </c>
      <c r="B195" s="12">
        <f>DATA!T195</f>
        <v>3</v>
      </c>
      <c r="C195" s="12">
        <f>DATA!F195</f>
        <v>45</v>
      </c>
      <c r="D195" s="12">
        <f>DATA!M195</f>
        <v>1</v>
      </c>
    </row>
    <row r="196" spans="1:4" x14ac:dyDescent="0.3">
      <c r="A196">
        <v>2</v>
      </c>
      <c r="B196" s="12">
        <f>DATA!T196</f>
        <v>3</v>
      </c>
      <c r="C196" s="12">
        <f>DATA!F196</f>
        <v>44</v>
      </c>
      <c r="D196" s="12">
        <f>DATA!M196</f>
        <v>1</v>
      </c>
    </row>
    <row r="197" spans="1:4" x14ac:dyDescent="0.3">
      <c r="A197">
        <v>1</v>
      </c>
      <c r="B197" s="12">
        <f>DATA!T197</f>
        <v>3</v>
      </c>
      <c r="C197" s="12">
        <f>DATA!F197</f>
        <v>82</v>
      </c>
      <c r="D197" s="12">
        <f>DATA!M197</f>
        <v>0</v>
      </c>
    </row>
    <row r="198" spans="1:4" x14ac:dyDescent="0.3">
      <c r="A198">
        <v>2</v>
      </c>
      <c r="B198" s="12">
        <f>DATA!T198</f>
        <v>1</v>
      </c>
      <c r="C198" s="12">
        <f>DATA!F198</f>
        <v>21</v>
      </c>
      <c r="D198" s="12">
        <f>DATA!M198</f>
        <v>0</v>
      </c>
    </row>
    <row r="199" spans="1:4" x14ac:dyDescent="0.3">
      <c r="A199">
        <v>1</v>
      </c>
      <c r="B199" s="12">
        <f>DATA!T199</f>
        <v>3</v>
      </c>
      <c r="C199" s="12">
        <f>DATA!F199</f>
        <v>71</v>
      </c>
      <c r="D199" s="12">
        <f>DATA!M199</f>
        <v>1</v>
      </c>
    </row>
    <row r="200" spans="1:4" x14ac:dyDescent="0.3">
      <c r="A200">
        <v>1</v>
      </c>
      <c r="B200" s="12">
        <f>DATA!T200</f>
        <v>2</v>
      </c>
      <c r="C200" s="12">
        <f>DATA!F200</f>
        <v>55</v>
      </c>
      <c r="D200" s="12">
        <f>DATA!M200</f>
        <v>1</v>
      </c>
    </row>
    <row r="201" spans="1:4" x14ac:dyDescent="0.3">
      <c r="A201">
        <v>2</v>
      </c>
      <c r="B201" s="12">
        <f>DATA!T201</f>
        <v>1</v>
      </c>
      <c r="C201" s="12">
        <f>DATA!F201</f>
        <v>25</v>
      </c>
      <c r="D201" s="12">
        <f>DATA!M201</f>
        <v>1</v>
      </c>
    </row>
    <row r="202" spans="1:4" x14ac:dyDescent="0.3">
      <c r="A202">
        <v>1</v>
      </c>
      <c r="B202" s="12">
        <f>DATA!T202</f>
        <v>2</v>
      </c>
      <c r="C202" s="12">
        <f>DATA!F202</f>
        <v>29</v>
      </c>
      <c r="D202" s="12">
        <f>DATA!M202</f>
        <v>0</v>
      </c>
    </row>
    <row r="203" spans="1:4" x14ac:dyDescent="0.3">
      <c r="A203">
        <v>1</v>
      </c>
      <c r="B203" s="12">
        <f>DATA!T203</f>
        <v>3</v>
      </c>
      <c r="C203" s="12">
        <f>DATA!F203</f>
        <v>20</v>
      </c>
      <c r="D203" s="12">
        <f>DATA!M203</f>
        <v>1</v>
      </c>
    </row>
    <row r="204" spans="1:4" x14ac:dyDescent="0.3">
      <c r="A204">
        <v>2</v>
      </c>
      <c r="B204" s="12">
        <f>DATA!T204</f>
        <v>1</v>
      </c>
      <c r="C204" s="12">
        <f>DATA!F204</f>
        <v>72</v>
      </c>
      <c r="D204" s="12">
        <f>DATA!M204</f>
        <v>1</v>
      </c>
    </row>
    <row r="205" spans="1:4" x14ac:dyDescent="0.3">
      <c r="A205">
        <v>2</v>
      </c>
      <c r="B205" s="12">
        <f>DATA!T205</f>
        <v>2</v>
      </c>
      <c r="C205" s="12">
        <f>DATA!F205</f>
        <v>23</v>
      </c>
      <c r="D205" s="12">
        <f>DATA!M205</f>
        <v>0</v>
      </c>
    </row>
    <row r="206" spans="1:4" x14ac:dyDescent="0.3">
      <c r="A206">
        <v>1</v>
      </c>
      <c r="B206" s="12">
        <f>DATA!T206</f>
        <v>1</v>
      </c>
      <c r="C206" s="12">
        <f>DATA!F206</f>
        <v>35</v>
      </c>
      <c r="D206" s="12">
        <f>DATA!M206</f>
        <v>1</v>
      </c>
    </row>
    <row r="207" spans="1:4" x14ac:dyDescent="0.3">
      <c r="A207">
        <v>1</v>
      </c>
      <c r="B207" s="12">
        <f>DATA!T207</f>
        <v>2</v>
      </c>
      <c r="C207" s="12">
        <f>DATA!F207</f>
        <v>23</v>
      </c>
      <c r="D207" s="12">
        <f>DATA!M207</f>
        <v>1</v>
      </c>
    </row>
    <row r="208" spans="1:4" x14ac:dyDescent="0.3">
      <c r="A208">
        <v>2</v>
      </c>
      <c r="B208" s="12">
        <f>DATA!T208</f>
        <v>1</v>
      </c>
      <c r="C208" s="12">
        <f>DATA!F208</f>
        <v>48</v>
      </c>
      <c r="D208" s="12">
        <f>DATA!M208</f>
        <v>1</v>
      </c>
    </row>
    <row r="209" spans="1:4" x14ac:dyDescent="0.3">
      <c r="A209">
        <v>2</v>
      </c>
      <c r="B209" s="12">
        <f>DATA!T209</f>
        <v>2</v>
      </c>
      <c r="C209" s="12">
        <f>DATA!F209</f>
        <v>21</v>
      </c>
      <c r="D209" s="12">
        <f>DATA!M209</f>
        <v>0</v>
      </c>
    </row>
    <row r="210" spans="1:4" x14ac:dyDescent="0.3">
      <c r="A210">
        <v>2</v>
      </c>
      <c r="B210" s="12">
        <f>DATA!T210</f>
        <v>2</v>
      </c>
      <c r="C210" s="12">
        <f>DATA!F210</f>
        <v>18</v>
      </c>
      <c r="D210" s="12">
        <f>DATA!M210</f>
        <v>0</v>
      </c>
    </row>
    <row r="211" spans="1:4" x14ac:dyDescent="0.3">
      <c r="A211">
        <v>2</v>
      </c>
      <c r="B211" s="12">
        <f>DATA!T211</f>
        <v>2</v>
      </c>
      <c r="C211" s="12">
        <f>DATA!F211</f>
        <v>62</v>
      </c>
      <c r="D211" s="12">
        <f>DATA!M211</f>
        <v>0</v>
      </c>
    </row>
    <row r="212" spans="1:4" x14ac:dyDescent="0.3">
      <c r="A212">
        <v>1</v>
      </c>
      <c r="B212" s="12">
        <f>DATA!T212</f>
        <v>1</v>
      </c>
      <c r="C212" s="12">
        <f>DATA!F212</f>
        <v>62</v>
      </c>
      <c r="D212" s="12">
        <f>DATA!M212</f>
        <v>1</v>
      </c>
    </row>
    <row r="213" spans="1:4" x14ac:dyDescent="0.3">
      <c r="A213">
        <v>1</v>
      </c>
      <c r="B213" s="12">
        <f>DATA!T213</f>
        <v>2</v>
      </c>
      <c r="C213" s="12">
        <f>DATA!F213</f>
        <v>79</v>
      </c>
      <c r="D213" s="12">
        <f>DATA!M213</f>
        <v>0</v>
      </c>
    </row>
    <row r="214" spans="1:4" x14ac:dyDescent="0.3">
      <c r="A214">
        <v>2</v>
      </c>
      <c r="B214" s="12">
        <f>DATA!T214</f>
        <v>2</v>
      </c>
      <c r="C214" s="12">
        <f>DATA!F214</f>
        <v>18</v>
      </c>
      <c r="D214" s="12">
        <f>DATA!M214</f>
        <v>0</v>
      </c>
    </row>
    <row r="215" spans="1:4" x14ac:dyDescent="0.3">
      <c r="A215">
        <v>1</v>
      </c>
      <c r="B215" s="12">
        <f>DATA!T215</f>
        <v>3</v>
      </c>
      <c r="C215" s="12">
        <f>DATA!F215</f>
        <v>35</v>
      </c>
      <c r="D215" s="12">
        <f>DATA!M215</f>
        <v>0</v>
      </c>
    </row>
    <row r="216" spans="1:4" x14ac:dyDescent="0.3">
      <c r="A216">
        <v>2</v>
      </c>
      <c r="B216" s="12">
        <f>DATA!T216</f>
        <v>2</v>
      </c>
      <c r="C216" s="12">
        <f>DATA!F216</f>
        <v>47</v>
      </c>
      <c r="D216" s="12">
        <f>DATA!M216</f>
        <v>1</v>
      </c>
    </row>
    <row r="217" spans="1:4" x14ac:dyDescent="0.3">
      <c r="A217">
        <v>2</v>
      </c>
      <c r="B217" s="12">
        <f>DATA!T217</f>
        <v>3</v>
      </c>
      <c r="C217" s="12">
        <f>DATA!F217</f>
        <v>52</v>
      </c>
      <c r="D217" s="12">
        <f>DATA!M217</f>
        <v>0</v>
      </c>
    </row>
    <row r="218" spans="1:4" x14ac:dyDescent="0.3">
      <c r="A218">
        <v>1</v>
      </c>
      <c r="B218" s="12">
        <f>DATA!T218</f>
        <v>1</v>
      </c>
      <c r="C218" s="12">
        <f>DATA!F218</f>
        <v>77</v>
      </c>
      <c r="D218" s="12">
        <f>DATA!M218</f>
        <v>1</v>
      </c>
    </row>
    <row r="219" spans="1:4" x14ac:dyDescent="0.3">
      <c r="A219">
        <v>2</v>
      </c>
      <c r="B219" s="12">
        <f>DATA!T219</f>
        <v>2</v>
      </c>
      <c r="C219" s="12">
        <f>DATA!F219</f>
        <v>39</v>
      </c>
      <c r="D219" s="12">
        <f>DATA!M219</f>
        <v>1</v>
      </c>
    </row>
    <row r="220" spans="1:4" x14ac:dyDescent="0.3">
      <c r="A220">
        <v>2</v>
      </c>
      <c r="B220" s="12">
        <f>DATA!T220</f>
        <v>1</v>
      </c>
      <c r="C220" s="12">
        <f>DATA!F220</f>
        <v>81</v>
      </c>
      <c r="D220" s="12">
        <f>DATA!M220</f>
        <v>0</v>
      </c>
    </row>
    <row r="221" spans="1:4" x14ac:dyDescent="0.3">
      <c r="A221">
        <v>1</v>
      </c>
      <c r="B221" s="12">
        <f>DATA!T221</f>
        <v>3</v>
      </c>
      <c r="C221" s="12">
        <f>DATA!F221</f>
        <v>35</v>
      </c>
      <c r="D221" s="12">
        <f>DATA!M221</f>
        <v>0</v>
      </c>
    </row>
    <row r="222" spans="1:4" x14ac:dyDescent="0.3">
      <c r="A222">
        <v>1</v>
      </c>
      <c r="B222" s="12">
        <f>DATA!T222</f>
        <v>3</v>
      </c>
      <c r="C222" s="12">
        <f>DATA!F222</f>
        <v>56</v>
      </c>
      <c r="D222" s="12">
        <f>DATA!M222</f>
        <v>0</v>
      </c>
    </row>
    <row r="223" spans="1:4" x14ac:dyDescent="0.3">
      <c r="A223">
        <v>2</v>
      </c>
      <c r="B223" s="12">
        <f>DATA!T223</f>
        <v>1</v>
      </c>
      <c r="C223" s="12">
        <f>DATA!F223</f>
        <v>19</v>
      </c>
      <c r="D223" s="12">
        <f>DATA!M223</f>
        <v>1</v>
      </c>
    </row>
    <row r="224" spans="1:4" x14ac:dyDescent="0.3">
      <c r="A224">
        <v>1</v>
      </c>
      <c r="B224" s="12">
        <f>DATA!T224</f>
        <v>2</v>
      </c>
      <c r="C224" s="12">
        <f>DATA!F224</f>
        <v>33</v>
      </c>
      <c r="D224" s="12">
        <f>DATA!M224</f>
        <v>0</v>
      </c>
    </row>
    <row r="225" spans="1:4" x14ac:dyDescent="0.3">
      <c r="A225">
        <v>1</v>
      </c>
      <c r="B225" s="12">
        <f>DATA!T225</f>
        <v>1</v>
      </c>
      <c r="C225" s="12">
        <f>DATA!F225</f>
        <v>35</v>
      </c>
      <c r="D225" s="12">
        <f>DATA!M225</f>
        <v>0</v>
      </c>
    </row>
    <row r="226" spans="1:4" x14ac:dyDescent="0.3">
      <c r="A226">
        <v>1</v>
      </c>
      <c r="B226" s="12">
        <f>DATA!T226</f>
        <v>3</v>
      </c>
      <c r="C226" s="12">
        <f>DATA!F226</f>
        <v>71</v>
      </c>
      <c r="D226" s="12">
        <f>DATA!M226</f>
        <v>0</v>
      </c>
    </row>
    <row r="227" spans="1:4" x14ac:dyDescent="0.3">
      <c r="A227">
        <v>1</v>
      </c>
      <c r="B227" s="12">
        <f>DATA!T227</f>
        <v>3</v>
      </c>
      <c r="C227" s="12">
        <f>DATA!F227</f>
        <v>40</v>
      </c>
      <c r="D227" s="12">
        <f>DATA!M227</f>
        <v>0</v>
      </c>
    </row>
    <row r="228" spans="1:4" x14ac:dyDescent="0.3">
      <c r="A228">
        <v>1</v>
      </c>
      <c r="B228" s="12">
        <f>DATA!T228</f>
        <v>2</v>
      </c>
      <c r="C228" s="12">
        <f>DATA!F228</f>
        <v>65</v>
      </c>
      <c r="D228" s="12">
        <f>DATA!M228</f>
        <v>1</v>
      </c>
    </row>
    <row r="229" spans="1:4" x14ac:dyDescent="0.3">
      <c r="A229">
        <v>1</v>
      </c>
      <c r="B229" s="12">
        <f>DATA!T229</f>
        <v>3</v>
      </c>
      <c r="C229" s="12">
        <f>DATA!F229</f>
        <v>84</v>
      </c>
      <c r="D229" s="12">
        <f>DATA!M229</f>
        <v>1</v>
      </c>
    </row>
    <row r="230" spans="1:4" x14ac:dyDescent="0.3">
      <c r="A230">
        <v>2</v>
      </c>
      <c r="B230" s="12">
        <f>DATA!T230</f>
        <v>2</v>
      </c>
      <c r="C230" s="12">
        <f>DATA!F230</f>
        <v>29</v>
      </c>
      <c r="D230" s="12">
        <f>DATA!M230</f>
        <v>1</v>
      </c>
    </row>
    <row r="231" spans="1:4" x14ac:dyDescent="0.3">
      <c r="A231">
        <v>1</v>
      </c>
      <c r="B231" s="12">
        <f>DATA!T231</f>
        <v>2</v>
      </c>
      <c r="C231" s="12">
        <f>DATA!F231</f>
        <v>27</v>
      </c>
      <c r="D231" s="12">
        <f>DATA!M231</f>
        <v>1</v>
      </c>
    </row>
    <row r="232" spans="1:4" x14ac:dyDescent="0.3">
      <c r="A232">
        <v>2</v>
      </c>
      <c r="B232" s="12">
        <f>DATA!T232</f>
        <v>2</v>
      </c>
      <c r="C232" s="12">
        <f>DATA!F232</f>
        <v>58</v>
      </c>
      <c r="D232" s="12">
        <f>DATA!M232</f>
        <v>0</v>
      </c>
    </row>
    <row r="233" spans="1:4" x14ac:dyDescent="0.3">
      <c r="A233">
        <v>2</v>
      </c>
      <c r="B233" s="12">
        <f>DATA!T233</f>
        <v>3</v>
      </c>
      <c r="C233" s="12">
        <f>DATA!F233</f>
        <v>72</v>
      </c>
      <c r="D233" s="12">
        <f>DATA!M233</f>
        <v>1</v>
      </c>
    </row>
    <row r="234" spans="1:4" x14ac:dyDescent="0.3">
      <c r="A234">
        <v>2</v>
      </c>
      <c r="B234" s="12">
        <f>DATA!T234</f>
        <v>1</v>
      </c>
      <c r="C234" s="12">
        <f>DATA!F234</f>
        <v>69</v>
      </c>
      <c r="D234" s="12">
        <f>DATA!M234</f>
        <v>1</v>
      </c>
    </row>
    <row r="235" spans="1:4" x14ac:dyDescent="0.3">
      <c r="A235">
        <v>1</v>
      </c>
      <c r="B235" s="12">
        <f>DATA!T235</f>
        <v>1</v>
      </c>
      <c r="C235" s="12">
        <f>DATA!F235</f>
        <v>65</v>
      </c>
      <c r="D235" s="12">
        <f>DATA!M235</f>
        <v>1</v>
      </c>
    </row>
    <row r="236" spans="1:4" x14ac:dyDescent="0.3">
      <c r="A236">
        <v>1</v>
      </c>
      <c r="B236" s="12">
        <f>DATA!T236</f>
        <v>3</v>
      </c>
      <c r="C236" s="12">
        <f>DATA!F236</f>
        <v>22</v>
      </c>
      <c r="D236" s="12">
        <f>DATA!M236</f>
        <v>1</v>
      </c>
    </row>
    <row r="237" spans="1:4" x14ac:dyDescent="0.3">
      <c r="A237">
        <v>2</v>
      </c>
      <c r="B237" s="12">
        <f>DATA!T237</f>
        <v>1</v>
      </c>
      <c r="C237" s="12">
        <f>DATA!F237</f>
        <v>28</v>
      </c>
      <c r="D237" s="12">
        <f>DATA!M237</f>
        <v>0</v>
      </c>
    </row>
    <row r="238" spans="1:4" x14ac:dyDescent="0.3">
      <c r="A238">
        <v>2</v>
      </c>
      <c r="B238" s="12">
        <f>DATA!T238</f>
        <v>1</v>
      </c>
      <c r="C238" s="12">
        <f>DATA!F238</f>
        <v>24</v>
      </c>
      <c r="D238" s="12">
        <f>DATA!M238</f>
        <v>0</v>
      </c>
    </row>
    <row r="239" spans="1:4" x14ac:dyDescent="0.3">
      <c r="A239">
        <v>2</v>
      </c>
      <c r="B239" s="12">
        <f>DATA!T239</f>
        <v>3</v>
      </c>
      <c r="C239" s="12">
        <f>DATA!F239</f>
        <v>62</v>
      </c>
      <c r="D239" s="12">
        <f>DATA!M239</f>
        <v>0</v>
      </c>
    </row>
    <row r="240" spans="1:4" x14ac:dyDescent="0.3">
      <c r="A240">
        <v>2</v>
      </c>
      <c r="B240" s="12">
        <f>DATA!T240</f>
        <v>1</v>
      </c>
      <c r="C240" s="12">
        <f>DATA!F240</f>
        <v>90</v>
      </c>
      <c r="D240" s="12">
        <f>DATA!M240</f>
        <v>1</v>
      </c>
    </row>
    <row r="241" spans="1:4" x14ac:dyDescent="0.3">
      <c r="A241">
        <v>1</v>
      </c>
      <c r="B241" s="12">
        <f>DATA!T241</f>
        <v>3</v>
      </c>
      <c r="C241" s="12">
        <f>DATA!F241</f>
        <v>26</v>
      </c>
      <c r="D241" s="12">
        <f>DATA!M241</f>
        <v>1</v>
      </c>
    </row>
    <row r="242" spans="1:4" x14ac:dyDescent="0.3">
      <c r="A242">
        <v>2</v>
      </c>
      <c r="B242" s="12">
        <f>DATA!T242</f>
        <v>2</v>
      </c>
      <c r="C242" s="12">
        <f>DATA!F242</f>
        <v>90</v>
      </c>
      <c r="D242" s="12">
        <f>DATA!M242</f>
        <v>1</v>
      </c>
    </row>
    <row r="243" spans="1:4" x14ac:dyDescent="0.3">
      <c r="A243">
        <v>1</v>
      </c>
      <c r="B243" s="12">
        <f>DATA!T243</f>
        <v>2</v>
      </c>
      <c r="C243" s="12">
        <f>DATA!F243</f>
        <v>36</v>
      </c>
      <c r="D243" s="12">
        <f>DATA!M243</f>
        <v>0</v>
      </c>
    </row>
    <row r="244" spans="1:4" x14ac:dyDescent="0.3">
      <c r="A244">
        <v>2</v>
      </c>
      <c r="B244" s="12">
        <f>DATA!T244</f>
        <v>1</v>
      </c>
      <c r="C244" s="12">
        <f>DATA!F244</f>
        <v>20</v>
      </c>
      <c r="D244" s="12">
        <f>DATA!M244</f>
        <v>0</v>
      </c>
    </row>
    <row r="245" spans="1:4" x14ac:dyDescent="0.3">
      <c r="A245">
        <v>1</v>
      </c>
      <c r="B245" s="12">
        <f>DATA!T245</f>
        <v>3</v>
      </c>
      <c r="C245" s="12">
        <f>DATA!F245</f>
        <v>87</v>
      </c>
      <c r="D245" s="12">
        <f>DATA!M245</f>
        <v>1</v>
      </c>
    </row>
    <row r="246" spans="1:4" x14ac:dyDescent="0.3">
      <c r="A246">
        <v>1</v>
      </c>
      <c r="B246" s="12">
        <f>DATA!T246</f>
        <v>2</v>
      </c>
      <c r="C246" s="12">
        <f>DATA!F246</f>
        <v>47</v>
      </c>
      <c r="D246" s="12">
        <f>DATA!M246</f>
        <v>1</v>
      </c>
    </row>
    <row r="247" spans="1:4" x14ac:dyDescent="0.3">
      <c r="A247">
        <v>2</v>
      </c>
      <c r="B247" s="12">
        <f>DATA!T247</f>
        <v>3</v>
      </c>
      <c r="C247" s="12">
        <f>DATA!F247</f>
        <v>45</v>
      </c>
      <c r="D247" s="12">
        <f>DATA!M247</f>
        <v>0</v>
      </c>
    </row>
    <row r="248" spans="1:4" x14ac:dyDescent="0.3">
      <c r="A248">
        <v>2</v>
      </c>
      <c r="B248" s="12">
        <f>DATA!T248</f>
        <v>3</v>
      </c>
      <c r="C248" s="12">
        <f>DATA!F248</f>
        <v>35</v>
      </c>
      <c r="D248" s="12">
        <f>DATA!M248</f>
        <v>0</v>
      </c>
    </row>
    <row r="249" spans="1:4" x14ac:dyDescent="0.3">
      <c r="A249">
        <v>2</v>
      </c>
      <c r="B249" s="12">
        <f>DATA!T249</f>
        <v>3</v>
      </c>
      <c r="C249" s="12">
        <f>DATA!F249</f>
        <v>76</v>
      </c>
      <c r="D249" s="12">
        <f>DATA!M249</f>
        <v>0</v>
      </c>
    </row>
    <row r="250" spans="1:4" x14ac:dyDescent="0.3">
      <c r="A250">
        <v>2</v>
      </c>
      <c r="B250" s="12">
        <f>DATA!T250</f>
        <v>1</v>
      </c>
      <c r="C250" s="12">
        <f>DATA!F250</f>
        <v>29</v>
      </c>
      <c r="D250" s="12">
        <f>DATA!M250</f>
        <v>0</v>
      </c>
    </row>
    <row r="251" spans="1:4" x14ac:dyDescent="0.3">
      <c r="A251">
        <v>1</v>
      </c>
      <c r="B251" s="12">
        <f>DATA!T251</f>
        <v>2</v>
      </c>
      <c r="C251" s="12">
        <f>DATA!F251</f>
        <v>67</v>
      </c>
      <c r="D251" s="12">
        <f>DATA!M251</f>
        <v>0</v>
      </c>
    </row>
    <row r="252" spans="1:4" x14ac:dyDescent="0.3">
      <c r="A252">
        <v>1</v>
      </c>
      <c r="B252" s="12">
        <f>DATA!T252</f>
        <v>1</v>
      </c>
      <c r="C252" s="12">
        <f>DATA!F252</f>
        <v>90</v>
      </c>
      <c r="D252" s="12">
        <f>DATA!M252</f>
        <v>0</v>
      </c>
    </row>
    <row r="253" spans="1:4" x14ac:dyDescent="0.3">
      <c r="A253">
        <v>1</v>
      </c>
      <c r="B253" s="12">
        <f>DATA!T253</f>
        <v>3</v>
      </c>
      <c r="C253" s="12">
        <f>DATA!F253</f>
        <v>21</v>
      </c>
      <c r="D253" s="12">
        <f>DATA!M253</f>
        <v>1</v>
      </c>
    </row>
    <row r="254" spans="1:4" x14ac:dyDescent="0.3">
      <c r="A254">
        <v>1</v>
      </c>
      <c r="B254" s="12">
        <f>DATA!T254</f>
        <v>2</v>
      </c>
      <c r="C254" s="12">
        <f>DATA!F254</f>
        <v>29</v>
      </c>
      <c r="D254" s="12">
        <f>DATA!M254</f>
        <v>0</v>
      </c>
    </row>
    <row r="255" spans="1:4" x14ac:dyDescent="0.3">
      <c r="A255">
        <v>1</v>
      </c>
      <c r="B255" s="12">
        <f>DATA!T255</f>
        <v>1</v>
      </c>
      <c r="C255" s="12">
        <f>DATA!F255</f>
        <v>75</v>
      </c>
      <c r="D255" s="12">
        <f>DATA!M255</f>
        <v>1</v>
      </c>
    </row>
    <row r="256" spans="1:4" x14ac:dyDescent="0.3">
      <c r="A256">
        <v>2</v>
      </c>
      <c r="B256" s="12">
        <f>DATA!T256</f>
        <v>2</v>
      </c>
      <c r="C256" s="12">
        <f>DATA!F256</f>
        <v>68</v>
      </c>
      <c r="D256" s="12">
        <f>DATA!M256</f>
        <v>0</v>
      </c>
    </row>
    <row r="257" spans="1:4" x14ac:dyDescent="0.3">
      <c r="A257">
        <v>1</v>
      </c>
      <c r="B257" s="12">
        <f>DATA!T257</f>
        <v>1</v>
      </c>
      <c r="C257" s="12">
        <f>DATA!F257</f>
        <v>33</v>
      </c>
      <c r="D257" s="12">
        <f>DATA!M257</f>
        <v>1</v>
      </c>
    </row>
    <row r="258" spans="1:4" x14ac:dyDescent="0.3">
      <c r="A258">
        <v>2</v>
      </c>
      <c r="B258" s="12">
        <f>DATA!T258</f>
        <v>3</v>
      </c>
      <c r="C258" s="12">
        <f>DATA!F258</f>
        <v>75</v>
      </c>
      <c r="D258" s="12">
        <f>DATA!M258</f>
        <v>1</v>
      </c>
    </row>
    <row r="259" spans="1:4" x14ac:dyDescent="0.3">
      <c r="A259">
        <v>1</v>
      </c>
      <c r="B259" s="12">
        <f>DATA!T259</f>
        <v>2</v>
      </c>
      <c r="C259" s="12">
        <f>DATA!F259</f>
        <v>21</v>
      </c>
      <c r="D259" s="12">
        <f>DATA!M259</f>
        <v>1</v>
      </c>
    </row>
    <row r="260" spans="1:4" x14ac:dyDescent="0.3">
      <c r="A260">
        <v>1</v>
      </c>
      <c r="B260" s="12">
        <f>DATA!T260</f>
        <v>3</v>
      </c>
      <c r="C260" s="12">
        <f>DATA!F260</f>
        <v>78</v>
      </c>
      <c r="D260" s="12">
        <f>DATA!M260</f>
        <v>1</v>
      </c>
    </row>
    <row r="261" spans="1:4" x14ac:dyDescent="0.3">
      <c r="A261">
        <v>2</v>
      </c>
      <c r="B261" s="12">
        <f>DATA!T261</f>
        <v>3</v>
      </c>
      <c r="C261" s="12">
        <f>DATA!F261</f>
        <v>57</v>
      </c>
      <c r="D261" s="12">
        <f>DATA!M261</f>
        <v>0</v>
      </c>
    </row>
    <row r="262" spans="1:4" x14ac:dyDescent="0.3">
      <c r="A262">
        <v>1</v>
      </c>
      <c r="B262" s="12">
        <f>DATA!T262</f>
        <v>2</v>
      </c>
      <c r="C262" s="12">
        <f>DATA!F262</f>
        <v>47</v>
      </c>
      <c r="D262" s="12">
        <f>DATA!M262</f>
        <v>1</v>
      </c>
    </row>
    <row r="263" spans="1:4" x14ac:dyDescent="0.3">
      <c r="A263">
        <v>1</v>
      </c>
      <c r="B263" s="12">
        <f>DATA!T263</f>
        <v>2</v>
      </c>
      <c r="C263" s="12">
        <f>DATA!F263</f>
        <v>71</v>
      </c>
      <c r="D263" s="12">
        <f>DATA!M263</f>
        <v>1</v>
      </c>
    </row>
    <row r="264" spans="1:4" x14ac:dyDescent="0.3">
      <c r="A264">
        <v>2</v>
      </c>
      <c r="B264" s="12">
        <f>DATA!T264</f>
        <v>1</v>
      </c>
      <c r="C264" s="12">
        <f>DATA!F264</f>
        <v>85</v>
      </c>
      <c r="D264" s="12">
        <f>DATA!M264</f>
        <v>0</v>
      </c>
    </row>
    <row r="265" spans="1:4" x14ac:dyDescent="0.3">
      <c r="A265">
        <v>1</v>
      </c>
      <c r="B265" s="12">
        <f>DATA!T265</f>
        <v>1</v>
      </c>
      <c r="C265" s="12">
        <f>DATA!F265</f>
        <v>74</v>
      </c>
      <c r="D265" s="12">
        <f>DATA!M265</f>
        <v>1</v>
      </c>
    </row>
    <row r="266" spans="1:4" x14ac:dyDescent="0.3">
      <c r="A266">
        <v>2</v>
      </c>
      <c r="B266" s="12">
        <f>DATA!T266</f>
        <v>3</v>
      </c>
      <c r="C266" s="12">
        <f>DATA!F266</f>
        <v>63</v>
      </c>
      <c r="D266" s="12">
        <f>DATA!M266</f>
        <v>0</v>
      </c>
    </row>
    <row r="267" spans="1:4" x14ac:dyDescent="0.3">
      <c r="A267">
        <v>1</v>
      </c>
      <c r="B267" s="12">
        <f>DATA!T267</f>
        <v>1</v>
      </c>
      <c r="C267" s="12">
        <f>DATA!F267</f>
        <v>29</v>
      </c>
      <c r="D267" s="12">
        <f>DATA!M267</f>
        <v>1</v>
      </c>
    </row>
    <row r="268" spans="1:4" x14ac:dyDescent="0.3">
      <c r="A268">
        <v>2</v>
      </c>
      <c r="B268" s="12">
        <f>DATA!T268</f>
        <v>2</v>
      </c>
      <c r="C268" s="12">
        <f>DATA!F268</f>
        <v>23</v>
      </c>
      <c r="D268" s="12">
        <f>DATA!M268</f>
        <v>0</v>
      </c>
    </row>
    <row r="269" spans="1:4" x14ac:dyDescent="0.3">
      <c r="A269">
        <v>1</v>
      </c>
      <c r="B269" s="12">
        <f>DATA!T269</f>
        <v>2</v>
      </c>
      <c r="C269" s="12">
        <f>DATA!F269</f>
        <v>48</v>
      </c>
      <c r="D269" s="12">
        <f>DATA!M269</f>
        <v>1</v>
      </c>
    </row>
    <row r="270" spans="1:4" x14ac:dyDescent="0.3">
      <c r="A270">
        <v>1</v>
      </c>
      <c r="B270" s="12">
        <f>DATA!T270</f>
        <v>2</v>
      </c>
      <c r="C270" s="12">
        <f>DATA!F270</f>
        <v>76</v>
      </c>
      <c r="D270" s="12">
        <f>DATA!M270</f>
        <v>1</v>
      </c>
    </row>
    <row r="271" spans="1:4" x14ac:dyDescent="0.3">
      <c r="A271">
        <v>2</v>
      </c>
      <c r="B271" s="12">
        <f>DATA!T271</f>
        <v>3</v>
      </c>
      <c r="C271" s="12">
        <f>DATA!F271</f>
        <v>86</v>
      </c>
      <c r="D271" s="12">
        <f>DATA!M271</f>
        <v>1</v>
      </c>
    </row>
    <row r="272" spans="1:4" x14ac:dyDescent="0.3">
      <c r="A272">
        <v>2</v>
      </c>
      <c r="B272" s="12">
        <f>DATA!T272</f>
        <v>1</v>
      </c>
      <c r="C272" s="12">
        <f>DATA!F272</f>
        <v>77</v>
      </c>
      <c r="D272" s="12">
        <f>DATA!M272</f>
        <v>1</v>
      </c>
    </row>
    <row r="273" spans="1:4" x14ac:dyDescent="0.3">
      <c r="A273">
        <v>1</v>
      </c>
      <c r="B273" s="12">
        <f>DATA!T273</f>
        <v>1</v>
      </c>
      <c r="C273" s="12">
        <f>DATA!F273</f>
        <v>50</v>
      </c>
      <c r="D273" s="12">
        <f>DATA!M273</f>
        <v>1</v>
      </c>
    </row>
    <row r="274" spans="1:4" x14ac:dyDescent="0.3">
      <c r="A274">
        <v>1</v>
      </c>
      <c r="B274" s="12">
        <f>DATA!T274</f>
        <v>1</v>
      </c>
      <c r="C274" s="12">
        <f>DATA!F274</f>
        <v>55</v>
      </c>
      <c r="D274" s="12">
        <f>DATA!M274</f>
        <v>1</v>
      </c>
    </row>
    <row r="275" spans="1:4" x14ac:dyDescent="0.3">
      <c r="A275">
        <v>1</v>
      </c>
      <c r="B275" s="12">
        <f>DATA!T275</f>
        <v>1</v>
      </c>
      <c r="C275" s="12">
        <f>DATA!F275</f>
        <v>61</v>
      </c>
      <c r="D275" s="12">
        <f>DATA!M275</f>
        <v>0</v>
      </c>
    </row>
    <row r="276" spans="1:4" x14ac:dyDescent="0.3">
      <c r="A276">
        <v>1</v>
      </c>
      <c r="B276" s="12">
        <f>DATA!T276</f>
        <v>1</v>
      </c>
      <c r="C276" s="12">
        <f>DATA!F276</f>
        <v>78</v>
      </c>
      <c r="D276" s="12">
        <f>DATA!M276</f>
        <v>0</v>
      </c>
    </row>
    <row r="277" spans="1:4" x14ac:dyDescent="0.3">
      <c r="A277">
        <v>1</v>
      </c>
      <c r="B277" s="12">
        <f>DATA!T277</f>
        <v>1</v>
      </c>
      <c r="C277" s="12">
        <f>DATA!F277</f>
        <v>63</v>
      </c>
      <c r="D277" s="12">
        <f>DATA!M277</f>
        <v>0</v>
      </c>
    </row>
    <row r="278" spans="1:4" x14ac:dyDescent="0.3">
      <c r="A278">
        <v>2</v>
      </c>
      <c r="B278" s="12">
        <f>DATA!T278</f>
        <v>1</v>
      </c>
      <c r="C278" s="12">
        <f>DATA!F278</f>
        <v>47</v>
      </c>
      <c r="D278" s="12">
        <f>DATA!M278</f>
        <v>1</v>
      </c>
    </row>
    <row r="279" spans="1:4" x14ac:dyDescent="0.3">
      <c r="A279">
        <v>2</v>
      </c>
      <c r="B279" s="12">
        <f>DATA!T279</f>
        <v>3</v>
      </c>
      <c r="C279" s="12">
        <f>DATA!F279</f>
        <v>45</v>
      </c>
      <c r="D279" s="12">
        <f>DATA!M279</f>
        <v>1</v>
      </c>
    </row>
    <row r="280" spans="1:4" x14ac:dyDescent="0.3">
      <c r="A280">
        <v>1</v>
      </c>
      <c r="B280" s="12">
        <f>DATA!T280</f>
        <v>1</v>
      </c>
      <c r="C280" s="12">
        <f>DATA!F280</f>
        <v>45</v>
      </c>
      <c r="D280" s="12">
        <f>DATA!M280</f>
        <v>1</v>
      </c>
    </row>
    <row r="281" spans="1:4" x14ac:dyDescent="0.3">
      <c r="A281">
        <v>2</v>
      </c>
      <c r="B281" s="12">
        <f>DATA!T281</f>
        <v>1</v>
      </c>
      <c r="C281" s="12">
        <f>DATA!F281</f>
        <v>47</v>
      </c>
      <c r="D281" s="12">
        <f>DATA!M281</f>
        <v>1</v>
      </c>
    </row>
    <row r="282" spans="1:4" x14ac:dyDescent="0.3">
      <c r="A282">
        <v>2</v>
      </c>
      <c r="B282" s="12">
        <f>DATA!T282</f>
        <v>1</v>
      </c>
      <c r="C282" s="12">
        <f>DATA!F282</f>
        <v>90</v>
      </c>
      <c r="D282" s="12">
        <f>DATA!M282</f>
        <v>1</v>
      </c>
    </row>
    <row r="283" spans="1:4" x14ac:dyDescent="0.3">
      <c r="A283">
        <v>1</v>
      </c>
      <c r="B283" s="12">
        <f>DATA!T283</f>
        <v>3</v>
      </c>
      <c r="C283" s="12">
        <f>DATA!F283</f>
        <v>56</v>
      </c>
      <c r="D283" s="12">
        <f>DATA!M283</f>
        <v>1</v>
      </c>
    </row>
    <row r="284" spans="1:4" x14ac:dyDescent="0.3">
      <c r="A284">
        <v>1</v>
      </c>
      <c r="B284" s="12">
        <f>DATA!T284</f>
        <v>1</v>
      </c>
      <c r="C284" s="12">
        <f>DATA!F284</f>
        <v>29</v>
      </c>
      <c r="D284" s="12">
        <f>DATA!M284</f>
        <v>0</v>
      </c>
    </row>
    <row r="285" spans="1:4" x14ac:dyDescent="0.3">
      <c r="A285">
        <v>1</v>
      </c>
      <c r="B285" s="12">
        <f>DATA!T285</f>
        <v>3</v>
      </c>
      <c r="C285" s="12">
        <f>DATA!F285</f>
        <v>50</v>
      </c>
      <c r="D285" s="12">
        <f>DATA!M285</f>
        <v>1</v>
      </c>
    </row>
    <row r="286" spans="1:4" x14ac:dyDescent="0.3">
      <c r="A286">
        <v>2</v>
      </c>
      <c r="B286" s="12">
        <f>DATA!T286</f>
        <v>3</v>
      </c>
      <c r="C286" s="12">
        <f>DATA!F286</f>
        <v>68</v>
      </c>
      <c r="D286" s="12">
        <f>DATA!M286</f>
        <v>1</v>
      </c>
    </row>
    <row r="287" spans="1:4" x14ac:dyDescent="0.3">
      <c r="A287">
        <v>1</v>
      </c>
      <c r="B287" s="12">
        <f>DATA!T287</f>
        <v>3</v>
      </c>
      <c r="C287" s="12">
        <f>DATA!F287</f>
        <v>58</v>
      </c>
      <c r="D287" s="12">
        <f>DATA!M287</f>
        <v>1</v>
      </c>
    </row>
    <row r="288" spans="1:4" x14ac:dyDescent="0.3">
      <c r="A288">
        <v>2</v>
      </c>
      <c r="B288" s="12">
        <f>DATA!T288</f>
        <v>2</v>
      </c>
      <c r="C288" s="12">
        <f>DATA!F288</f>
        <v>88</v>
      </c>
      <c r="D288" s="12">
        <f>DATA!M288</f>
        <v>0</v>
      </c>
    </row>
    <row r="289" spans="1:4" x14ac:dyDescent="0.3">
      <c r="A289">
        <v>2</v>
      </c>
      <c r="B289" s="12">
        <f>DATA!T289</f>
        <v>1</v>
      </c>
      <c r="C289" s="12">
        <f>DATA!F289</f>
        <v>48</v>
      </c>
      <c r="D289" s="12">
        <f>DATA!M289</f>
        <v>1</v>
      </c>
    </row>
    <row r="290" spans="1:4" x14ac:dyDescent="0.3">
      <c r="A290">
        <v>2</v>
      </c>
      <c r="B290" s="12">
        <f>DATA!T290</f>
        <v>2</v>
      </c>
      <c r="C290" s="12">
        <f>DATA!F290</f>
        <v>40</v>
      </c>
      <c r="D290" s="12">
        <f>DATA!M290</f>
        <v>0</v>
      </c>
    </row>
    <row r="291" spans="1:4" x14ac:dyDescent="0.3">
      <c r="A291">
        <v>2</v>
      </c>
      <c r="B291" s="12">
        <f>DATA!T291</f>
        <v>1</v>
      </c>
      <c r="C291" s="12">
        <f>DATA!F291</f>
        <v>53</v>
      </c>
      <c r="D291" s="12">
        <f>DATA!M291</f>
        <v>0</v>
      </c>
    </row>
    <row r="292" spans="1:4" x14ac:dyDescent="0.3">
      <c r="A292">
        <v>2</v>
      </c>
      <c r="B292" s="12">
        <f>DATA!T292</f>
        <v>3</v>
      </c>
      <c r="C292" s="12">
        <f>DATA!F292</f>
        <v>86</v>
      </c>
      <c r="D292" s="12">
        <f>DATA!M292</f>
        <v>0</v>
      </c>
    </row>
    <row r="293" spans="1:4" x14ac:dyDescent="0.3">
      <c r="A293">
        <v>2</v>
      </c>
      <c r="B293" s="12">
        <f>DATA!T293</f>
        <v>3</v>
      </c>
      <c r="C293" s="12">
        <f>DATA!F293</f>
        <v>81</v>
      </c>
      <c r="D293" s="12">
        <f>DATA!M293</f>
        <v>1</v>
      </c>
    </row>
    <row r="294" spans="1:4" x14ac:dyDescent="0.3">
      <c r="A294">
        <v>2</v>
      </c>
      <c r="B294" s="12">
        <f>DATA!T294</f>
        <v>1</v>
      </c>
      <c r="C294" s="12">
        <f>DATA!F294</f>
        <v>22</v>
      </c>
      <c r="D294" s="12">
        <f>DATA!M294</f>
        <v>0</v>
      </c>
    </row>
    <row r="295" spans="1:4" x14ac:dyDescent="0.3">
      <c r="A295">
        <v>2</v>
      </c>
      <c r="B295" s="12">
        <f>DATA!T295</f>
        <v>1</v>
      </c>
      <c r="C295" s="12">
        <f>DATA!F295</f>
        <v>67</v>
      </c>
      <c r="D295" s="12">
        <f>DATA!M295</f>
        <v>1</v>
      </c>
    </row>
    <row r="296" spans="1:4" x14ac:dyDescent="0.3">
      <c r="A296">
        <v>2</v>
      </c>
      <c r="B296" s="12">
        <f>DATA!T296</f>
        <v>3</v>
      </c>
      <c r="C296" s="12">
        <f>DATA!F296</f>
        <v>47</v>
      </c>
      <c r="D296" s="12">
        <f>DATA!M296</f>
        <v>0</v>
      </c>
    </row>
    <row r="297" spans="1:4" x14ac:dyDescent="0.3">
      <c r="A297">
        <v>1</v>
      </c>
      <c r="B297" s="12">
        <f>DATA!T297</f>
        <v>1</v>
      </c>
      <c r="C297" s="12">
        <f>DATA!F297</f>
        <v>81</v>
      </c>
      <c r="D297" s="12">
        <f>DATA!M297</f>
        <v>0</v>
      </c>
    </row>
    <row r="298" spans="1:4" x14ac:dyDescent="0.3">
      <c r="A298">
        <v>2</v>
      </c>
      <c r="B298" s="12">
        <f>DATA!T298</f>
        <v>1</v>
      </c>
      <c r="C298" s="12">
        <f>DATA!F298</f>
        <v>79</v>
      </c>
      <c r="D298" s="12">
        <f>DATA!M298</f>
        <v>1</v>
      </c>
    </row>
    <row r="299" spans="1:4" x14ac:dyDescent="0.3">
      <c r="A299">
        <v>2</v>
      </c>
      <c r="B299" s="12">
        <f>DATA!T299</f>
        <v>2</v>
      </c>
      <c r="C299" s="12">
        <f>DATA!F299</f>
        <v>44</v>
      </c>
      <c r="D299" s="12">
        <f>DATA!M299</f>
        <v>1</v>
      </c>
    </row>
    <row r="300" spans="1:4" x14ac:dyDescent="0.3">
      <c r="A300">
        <v>2</v>
      </c>
      <c r="B300" s="12">
        <f>DATA!T300</f>
        <v>3</v>
      </c>
      <c r="C300" s="12">
        <f>DATA!F300</f>
        <v>91</v>
      </c>
      <c r="D300" s="12">
        <f>DATA!M300</f>
        <v>1</v>
      </c>
    </row>
    <row r="301" spans="1:4" x14ac:dyDescent="0.3">
      <c r="A301">
        <v>2</v>
      </c>
      <c r="B301" s="12">
        <f>DATA!T301</f>
        <v>2</v>
      </c>
      <c r="C301" s="12">
        <f>DATA!F301</f>
        <v>68</v>
      </c>
      <c r="D301" s="12">
        <f>DATA!M301</f>
        <v>0</v>
      </c>
    </row>
    <row r="302" spans="1:4" x14ac:dyDescent="0.3">
      <c r="A302">
        <v>1</v>
      </c>
      <c r="B302" s="12">
        <f>DATA!T302</f>
        <v>3</v>
      </c>
      <c r="C302" s="12">
        <f>DATA!F302</f>
        <v>35</v>
      </c>
      <c r="D302" s="12">
        <f>DATA!M302</f>
        <v>1</v>
      </c>
    </row>
    <row r="303" spans="1:4" x14ac:dyDescent="0.3">
      <c r="A303">
        <v>1</v>
      </c>
      <c r="B303" s="12">
        <f>DATA!T303</f>
        <v>2</v>
      </c>
      <c r="C303" s="12">
        <f>DATA!F303</f>
        <v>89</v>
      </c>
      <c r="D303" s="12">
        <f>DATA!M303</f>
        <v>1</v>
      </c>
    </row>
    <row r="304" spans="1:4" x14ac:dyDescent="0.3">
      <c r="A304">
        <v>1</v>
      </c>
      <c r="B304" s="12">
        <f>DATA!T304</f>
        <v>1</v>
      </c>
      <c r="C304" s="12">
        <f>DATA!F304</f>
        <v>74</v>
      </c>
      <c r="D304" s="12">
        <f>DATA!M304</f>
        <v>0</v>
      </c>
    </row>
    <row r="305" spans="1:4" x14ac:dyDescent="0.3">
      <c r="A305">
        <v>1</v>
      </c>
      <c r="B305" s="12">
        <f>DATA!T305</f>
        <v>1</v>
      </c>
      <c r="C305" s="12">
        <f>DATA!F305</f>
        <v>53</v>
      </c>
      <c r="D305" s="12">
        <f>DATA!M305</f>
        <v>1</v>
      </c>
    </row>
    <row r="306" spans="1:4" x14ac:dyDescent="0.3">
      <c r="A306">
        <v>2</v>
      </c>
      <c r="B306" s="12">
        <f>DATA!T306</f>
        <v>3</v>
      </c>
      <c r="C306" s="12">
        <f>DATA!F306</f>
        <v>91</v>
      </c>
      <c r="D306" s="12">
        <f>DATA!M306</f>
        <v>0</v>
      </c>
    </row>
    <row r="307" spans="1:4" x14ac:dyDescent="0.3">
      <c r="A307">
        <v>2</v>
      </c>
      <c r="B307" s="12">
        <f>DATA!T307</f>
        <v>3</v>
      </c>
      <c r="C307" s="12">
        <f>DATA!F307</f>
        <v>65</v>
      </c>
      <c r="D307" s="12">
        <f>DATA!M307</f>
        <v>0</v>
      </c>
    </row>
    <row r="308" spans="1:4" x14ac:dyDescent="0.3">
      <c r="A308">
        <v>2</v>
      </c>
      <c r="B308" s="12">
        <f>DATA!T308</f>
        <v>3</v>
      </c>
      <c r="C308" s="12">
        <f>DATA!F308</f>
        <v>66</v>
      </c>
      <c r="D308" s="12">
        <f>DATA!M308</f>
        <v>1</v>
      </c>
    </row>
    <row r="309" spans="1:4" x14ac:dyDescent="0.3">
      <c r="A309">
        <v>1</v>
      </c>
      <c r="B309" s="12">
        <f>DATA!T309</f>
        <v>2</v>
      </c>
      <c r="C309" s="12">
        <f>DATA!F309</f>
        <v>89</v>
      </c>
      <c r="D309" s="12">
        <f>DATA!M309</f>
        <v>0</v>
      </c>
    </row>
    <row r="310" spans="1:4" x14ac:dyDescent="0.3">
      <c r="A310">
        <v>2</v>
      </c>
      <c r="B310" s="12">
        <f>DATA!T310</f>
        <v>3</v>
      </c>
      <c r="C310" s="12">
        <f>DATA!F310</f>
        <v>85</v>
      </c>
      <c r="D310" s="12">
        <f>DATA!M310</f>
        <v>1</v>
      </c>
    </row>
    <row r="311" spans="1:4" x14ac:dyDescent="0.3">
      <c r="A311">
        <v>1</v>
      </c>
      <c r="B311" s="12">
        <f>DATA!T311</f>
        <v>1</v>
      </c>
      <c r="C311" s="12">
        <f>DATA!F311</f>
        <v>89</v>
      </c>
      <c r="D311" s="12">
        <f>DATA!M311</f>
        <v>1</v>
      </c>
    </row>
    <row r="312" spans="1:4" x14ac:dyDescent="0.3">
      <c r="A312">
        <v>1</v>
      </c>
      <c r="B312" s="12">
        <f>DATA!T312</f>
        <v>3</v>
      </c>
      <c r="C312" s="12">
        <f>DATA!F312</f>
        <v>80</v>
      </c>
      <c r="D312" s="12">
        <f>DATA!M312</f>
        <v>0</v>
      </c>
    </row>
    <row r="313" spans="1:4" x14ac:dyDescent="0.3">
      <c r="A313">
        <v>2</v>
      </c>
      <c r="B313" s="12">
        <f>DATA!T313</f>
        <v>1</v>
      </c>
      <c r="C313" s="12">
        <f>DATA!F313</f>
        <v>90</v>
      </c>
      <c r="D313" s="12">
        <f>DATA!M313</f>
        <v>1</v>
      </c>
    </row>
    <row r="314" spans="1:4" x14ac:dyDescent="0.3">
      <c r="A314">
        <v>1</v>
      </c>
      <c r="B314" s="12">
        <f>DATA!T314</f>
        <v>2</v>
      </c>
      <c r="C314" s="12">
        <f>DATA!F314</f>
        <v>55</v>
      </c>
      <c r="D314" s="12">
        <f>DATA!M314</f>
        <v>1</v>
      </c>
    </row>
    <row r="315" spans="1:4" x14ac:dyDescent="0.3">
      <c r="A315">
        <v>1</v>
      </c>
      <c r="B315" s="12">
        <f>DATA!T315</f>
        <v>1</v>
      </c>
      <c r="C315" s="12">
        <f>DATA!F315</f>
        <v>23</v>
      </c>
      <c r="D315" s="12">
        <f>DATA!M315</f>
        <v>1</v>
      </c>
    </row>
    <row r="316" spans="1:4" x14ac:dyDescent="0.3">
      <c r="A316">
        <v>2</v>
      </c>
      <c r="B316" s="12">
        <f>DATA!T316</f>
        <v>1</v>
      </c>
      <c r="C316" s="12">
        <f>DATA!F316</f>
        <v>73</v>
      </c>
      <c r="D316" s="12">
        <f>DATA!M316</f>
        <v>0</v>
      </c>
    </row>
    <row r="317" spans="1:4" x14ac:dyDescent="0.3">
      <c r="A317">
        <v>2</v>
      </c>
      <c r="B317" s="12">
        <f>DATA!T317</f>
        <v>2</v>
      </c>
      <c r="C317" s="12">
        <f>DATA!F317</f>
        <v>64</v>
      </c>
      <c r="D317" s="12">
        <f>DATA!M317</f>
        <v>0</v>
      </c>
    </row>
    <row r="318" spans="1:4" x14ac:dyDescent="0.3">
      <c r="A318">
        <v>1</v>
      </c>
      <c r="B318" s="12">
        <f>DATA!T318</f>
        <v>1</v>
      </c>
      <c r="C318" s="12">
        <f>DATA!F318</f>
        <v>56</v>
      </c>
      <c r="D318" s="12">
        <f>DATA!M318</f>
        <v>1</v>
      </c>
    </row>
    <row r="319" spans="1:4" x14ac:dyDescent="0.3">
      <c r="A319">
        <v>1</v>
      </c>
      <c r="B319" s="12">
        <f>DATA!T319</f>
        <v>2</v>
      </c>
      <c r="C319" s="12">
        <f>DATA!F319</f>
        <v>67</v>
      </c>
      <c r="D319" s="12">
        <f>DATA!M319</f>
        <v>1</v>
      </c>
    </row>
    <row r="320" spans="1:4" x14ac:dyDescent="0.3">
      <c r="A320">
        <v>2</v>
      </c>
      <c r="B320" s="12">
        <f>DATA!T320</f>
        <v>2</v>
      </c>
      <c r="C320" s="12">
        <f>DATA!F320</f>
        <v>26</v>
      </c>
      <c r="D320" s="12">
        <f>DATA!M320</f>
        <v>1</v>
      </c>
    </row>
    <row r="321" spans="1:4" x14ac:dyDescent="0.3">
      <c r="A321">
        <v>1</v>
      </c>
      <c r="B321" s="12">
        <f>DATA!T321</f>
        <v>2</v>
      </c>
      <c r="C321" s="12">
        <f>DATA!F321</f>
        <v>83</v>
      </c>
      <c r="D321" s="12">
        <f>DATA!M321</f>
        <v>1</v>
      </c>
    </row>
    <row r="322" spans="1:4" x14ac:dyDescent="0.3">
      <c r="A322">
        <v>1</v>
      </c>
      <c r="B322" s="12">
        <f>DATA!T322</f>
        <v>1</v>
      </c>
      <c r="C322" s="12">
        <f>DATA!F322</f>
        <v>84</v>
      </c>
      <c r="D322" s="12">
        <f>DATA!M322</f>
        <v>0</v>
      </c>
    </row>
    <row r="323" spans="1:4" x14ac:dyDescent="0.3">
      <c r="A323">
        <v>1</v>
      </c>
      <c r="B323" s="12">
        <f>DATA!T323</f>
        <v>2</v>
      </c>
      <c r="C323" s="12">
        <f>DATA!F323</f>
        <v>80</v>
      </c>
      <c r="D323" s="12">
        <f>DATA!M323</f>
        <v>1</v>
      </c>
    </row>
    <row r="324" spans="1:4" x14ac:dyDescent="0.3">
      <c r="A324">
        <v>2</v>
      </c>
      <c r="B324" s="12">
        <f>DATA!T324</f>
        <v>3</v>
      </c>
      <c r="C324" s="12">
        <f>DATA!F324</f>
        <v>34</v>
      </c>
      <c r="D324" s="12">
        <f>DATA!M324</f>
        <v>1</v>
      </c>
    </row>
    <row r="325" spans="1:4" x14ac:dyDescent="0.3">
      <c r="A325">
        <v>1</v>
      </c>
      <c r="B325" s="12">
        <f>DATA!T325</f>
        <v>1</v>
      </c>
      <c r="C325" s="12">
        <f>DATA!F325</f>
        <v>79</v>
      </c>
      <c r="D325" s="12">
        <f>DATA!M325</f>
        <v>0</v>
      </c>
    </row>
    <row r="326" spans="1:4" x14ac:dyDescent="0.3">
      <c r="A326">
        <v>1</v>
      </c>
      <c r="B326" s="12">
        <f>DATA!T326</f>
        <v>1</v>
      </c>
      <c r="C326" s="12">
        <f>DATA!F326</f>
        <v>84</v>
      </c>
      <c r="D326" s="12">
        <f>DATA!M326</f>
        <v>1</v>
      </c>
    </row>
    <row r="327" spans="1:4" x14ac:dyDescent="0.3">
      <c r="A327">
        <v>1</v>
      </c>
      <c r="B327" s="12">
        <f>DATA!T327</f>
        <v>3</v>
      </c>
      <c r="C327" s="12">
        <f>DATA!F327</f>
        <v>29</v>
      </c>
      <c r="D327" s="12">
        <f>DATA!M327</f>
        <v>1</v>
      </c>
    </row>
    <row r="328" spans="1:4" x14ac:dyDescent="0.3">
      <c r="A328">
        <v>2</v>
      </c>
      <c r="B328" s="12">
        <f>DATA!T328</f>
        <v>3</v>
      </c>
      <c r="C328" s="12">
        <f>DATA!F328</f>
        <v>49</v>
      </c>
      <c r="D328" s="12">
        <f>DATA!M328</f>
        <v>1</v>
      </c>
    </row>
    <row r="329" spans="1:4" x14ac:dyDescent="0.3">
      <c r="A329">
        <v>1</v>
      </c>
      <c r="B329" s="12">
        <f>DATA!T329</f>
        <v>3</v>
      </c>
      <c r="C329" s="12">
        <f>DATA!F329</f>
        <v>28</v>
      </c>
      <c r="D329" s="12">
        <f>DATA!M329</f>
        <v>0</v>
      </c>
    </row>
    <row r="330" spans="1:4" x14ac:dyDescent="0.3">
      <c r="A330">
        <v>2</v>
      </c>
      <c r="B330" s="12">
        <f>DATA!T330</f>
        <v>3</v>
      </c>
      <c r="C330" s="12">
        <f>DATA!F330</f>
        <v>38</v>
      </c>
      <c r="D330" s="12">
        <f>DATA!M330</f>
        <v>0</v>
      </c>
    </row>
    <row r="331" spans="1:4" x14ac:dyDescent="0.3">
      <c r="A331">
        <v>1</v>
      </c>
      <c r="B331" s="12">
        <f>DATA!T331</f>
        <v>2</v>
      </c>
      <c r="C331" s="12">
        <f>DATA!F331</f>
        <v>32</v>
      </c>
      <c r="D331" s="12">
        <f>DATA!M331</f>
        <v>0</v>
      </c>
    </row>
    <row r="332" spans="1:4" x14ac:dyDescent="0.3">
      <c r="A332">
        <v>2</v>
      </c>
      <c r="B332" s="12">
        <f>DATA!T332</f>
        <v>1</v>
      </c>
      <c r="C332" s="12">
        <f>DATA!F332</f>
        <v>70</v>
      </c>
      <c r="D332" s="12">
        <f>DATA!M332</f>
        <v>1</v>
      </c>
    </row>
    <row r="333" spans="1:4" x14ac:dyDescent="0.3">
      <c r="A333">
        <v>2</v>
      </c>
      <c r="B333" s="12">
        <f>DATA!T333</f>
        <v>1</v>
      </c>
      <c r="C333" s="12">
        <f>DATA!F333</f>
        <v>89</v>
      </c>
      <c r="D333" s="12">
        <f>DATA!M333</f>
        <v>0</v>
      </c>
    </row>
    <row r="334" spans="1:4" x14ac:dyDescent="0.3">
      <c r="A334">
        <v>2</v>
      </c>
      <c r="B334" s="12">
        <f>DATA!T334</f>
        <v>3</v>
      </c>
      <c r="C334" s="12">
        <f>DATA!F334</f>
        <v>47</v>
      </c>
      <c r="D334" s="12">
        <f>DATA!M334</f>
        <v>1</v>
      </c>
    </row>
    <row r="335" spans="1:4" x14ac:dyDescent="0.3">
      <c r="A335">
        <v>2</v>
      </c>
      <c r="B335" s="12">
        <f>DATA!T335</f>
        <v>2</v>
      </c>
      <c r="C335" s="12">
        <f>DATA!F335</f>
        <v>23</v>
      </c>
      <c r="D335" s="12">
        <f>DATA!M335</f>
        <v>1</v>
      </c>
    </row>
    <row r="336" spans="1:4" x14ac:dyDescent="0.3">
      <c r="A336">
        <v>1</v>
      </c>
      <c r="B336" s="12">
        <f>DATA!T336</f>
        <v>2</v>
      </c>
      <c r="C336" s="12">
        <f>DATA!F336</f>
        <v>32</v>
      </c>
      <c r="D336" s="12">
        <f>DATA!M336</f>
        <v>0</v>
      </c>
    </row>
    <row r="337" spans="1:4" x14ac:dyDescent="0.3">
      <c r="A337">
        <v>2</v>
      </c>
      <c r="B337" s="12">
        <f>DATA!T337</f>
        <v>3</v>
      </c>
      <c r="C337" s="12">
        <f>DATA!F337</f>
        <v>69</v>
      </c>
      <c r="D337" s="12">
        <f>DATA!M337</f>
        <v>1</v>
      </c>
    </row>
    <row r="338" spans="1:4" x14ac:dyDescent="0.3">
      <c r="A338">
        <v>1</v>
      </c>
      <c r="B338" s="12">
        <f>DATA!T338</f>
        <v>3</v>
      </c>
      <c r="C338" s="12">
        <f>DATA!F338</f>
        <v>50</v>
      </c>
      <c r="D338" s="12">
        <f>DATA!M338</f>
        <v>1</v>
      </c>
    </row>
    <row r="339" spans="1:4" x14ac:dyDescent="0.3">
      <c r="A339">
        <v>2</v>
      </c>
      <c r="B339" s="12">
        <f>DATA!T339</f>
        <v>3</v>
      </c>
      <c r="C339" s="12">
        <f>DATA!F339</f>
        <v>41</v>
      </c>
      <c r="D339" s="12">
        <f>DATA!M339</f>
        <v>1</v>
      </c>
    </row>
    <row r="340" spans="1:4" x14ac:dyDescent="0.3">
      <c r="A340">
        <v>2</v>
      </c>
      <c r="B340" s="12">
        <f>DATA!T340</f>
        <v>3</v>
      </c>
      <c r="C340" s="12">
        <f>DATA!F340</f>
        <v>24</v>
      </c>
      <c r="D340" s="12">
        <f>DATA!M340</f>
        <v>1</v>
      </c>
    </row>
    <row r="341" spans="1:4" x14ac:dyDescent="0.3">
      <c r="A341">
        <v>1</v>
      </c>
      <c r="B341" s="12">
        <f>DATA!T341</f>
        <v>2</v>
      </c>
      <c r="C341" s="12">
        <f>DATA!F341</f>
        <v>91</v>
      </c>
      <c r="D341" s="12">
        <f>DATA!M341</f>
        <v>1</v>
      </c>
    </row>
    <row r="342" spans="1:4" x14ac:dyDescent="0.3">
      <c r="A342">
        <v>1</v>
      </c>
      <c r="B342" s="12">
        <f>DATA!T342</f>
        <v>1</v>
      </c>
      <c r="C342" s="12">
        <f>DATA!F342</f>
        <v>83</v>
      </c>
      <c r="D342" s="12">
        <f>DATA!M342</f>
        <v>0</v>
      </c>
    </row>
    <row r="343" spans="1:4" x14ac:dyDescent="0.3">
      <c r="A343">
        <v>1</v>
      </c>
      <c r="B343" s="12">
        <f>DATA!T343</f>
        <v>2</v>
      </c>
      <c r="C343" s="12">
        <f>DATA!F343</f>
        <v>88</v>
      </c>
      <c r="D343" s="12">
        <f>DATA!M343</f>
        <v>1</v>
      </c>
    </row>
    <row r="344" spans="1:4" x14ac:dyDescent="0.3">
      <c r="A344">
        <v>2</v>
      </c>
      <c r="B344" s="12">
        <f>DATA!T344</f>
        <v>1</v>
      </c>
      <c r="C344" s="12">
        <f>DATA!F344</f>
        <v>58</v>
      </c>
      <c r="D344" s="12">
        <f>DATA!M344</f>
        <v>1</v>
      </c>
    </row>
    <row r="345" spans="1:4" x14ac:dyDescent="0.3">
      <c r="A345">
        <v>2</v>
      </c>
      <c r="B345" s="12">
        <f>DATA!T345</f>
        <v>1</v>
      </c>
      <c r="C345" s="12">
        <f>DATA!F345</f>
        <v>78</v>
      </c>
      <c r="D345" s="12">
        <f>DATA!M345</f>
        <v>1</v>
      </c>
    </row>
    <row r="346" spans="1:4" x14ac:dyDescent="0.3">
      <c r="A346">
        <v>1</v>
      </c>
      <c r="B346" s="12">
        <f>DATA!T346</f>
        <v>1</v>
      </c>
      <c r="C346" s="12">
        <f>DATA!F346</f>
        <v>54</v>
      </c>
      <c r="D346" s="12">
        <f>DATA!M346</f>
        <v>0</v>
      </c>
    </row>
    <row r="347" spans="1:4" x14ac:dyDescent="0.3">
      <c r="A347">
        <v>2</v>
      </c>
      <c r="B347" s="12">
        <f>DATA!T347</f>
        <v>2</v>
      </c>
      <c r="C347" s="12">
        <f>DATA!F347</f>
        <v>30</v>
      </c>
      <c r="D347" s="12">
        <f>DATA!M347</f>
        <v>0</v>
      </c>
    </row>
    <row r="348" spans="1:4" x14ac:dyDescent="0.3">
      <c r="A348">
        <v>2</v>
      </c>
      <c r="B348" s="12">
        <f>DATA!T348</f>
        <v>3</v>
      </c>
      <c r="C348" s="12">
        <f>DATA!F348</f>
        <v>53</v>
      </c>
      <c r="D348" s="12">
        <f>DATA!M348</f>
        <v>0</v>
      </c>
    </row>
    <row r="349" spans="1:4" x14ac:dyDescent="0.3">
      <c r="A349">
        <v>1</v>
      </c>
      <c r="B349" s="12">
        <f>DATA!T349</f>
        <v>3</v>
      </c>
      <c r="C349" s="12">
        <f>DATA!F349</f>
        <v>80</v>
      </c>
      <c r="D349" s="12">
        <f>DATA!M349</f>
        <v>0</v>
      </c>
    </row>
    <row r="350" spans="1:4" x14ac:dyDescent="0.3">
      <c r="A350">
        <v>1</v>
      </c>
      <c r="B350" s="12">
        <f>DATA!T350</f>
        <v>2</v>
      </c>
      <c r="C350" s="12">
        <f>DATA!F350</f>
        <v>87</v>
      </c>
      <c r="D350" s="12">
        <f>DATA!M350</f>
        <v>0</v>
      </c>
    </row>
    <row r="351" spans="1:4" x14ac:dyDescent="0.3">
      <c r="A351">
        <v>1</v>
      </c>
      <c r="B351" s="12">
        <f>DATA!T351</f>
        <v>2</v>
      </c>
      <c r="C351" s="12">
        <f>DATA!F351</f>
        <v>80</v>
      </c>
      <c r="D351" s="12">
        <f>DATA!M351</f>
        <v>0</v>
      </c>
    </row>
    <row r="352" spans="1:4" x14ac:dyDescent="0.3">
      <c r="A352">
        <v>1</v>
      </c>
      <c r="B352" s="12">
        <f>DATA!T352</f>
        <v>1</v>
      </c>
      <c r="C352" s="12">
        <f>DATA!F352</f>
        <v>76</v>
      </c>
      <c r="D352" s="12">
        <f>DATA!M352</f>
        <v>1</v>
      </c>
    </row>
    <row r="353" spans="1:4" x14ac:dyDescent="0.3">
      <c r="A353">
        <v>2</v>
      </c>
      <c r="B353" s="12">
        <f>DATA!T353</f>
        <v>2</v>
      </c>
      <c r="C353" s="12">
        <f>DATA!F353</f>
        <v>36</v>
      </c>
      <c r="D353" s="12">
        <f>DATA!M353</f>
        <v>1</v>
      </c>
    </row>
    <row r="354" spans="1:4" x14ac:dyDescent="0.3">
      <c r="A354">
        <v>2</v>
      </c>
      <c r="B354" s="12">
        <f>DATA!T354</f>
        <v>1</v>
      </c>
      <c r="C354" s="12">
        <f>DATA!F354</f>
        <v>18</v>
      </c>
      <c r="D354" s="12">
        <f>DATA!M354</f>
        <v>0</v>
      </c>
    </row>
    <row r="355" spans="1:4" x14ac:dyDescent="0.3">
      <c r="A355">
        <v>1</v>
      </c>
      <c r="B355" s="12">
        <f>DATA!T355</f>
        <v>2</v>
      </c>
      <c r="C355" s="12">
        <f>DATA!F355</f>
        <v>19</v>
      </c>
      <c r="D355" s="12">
        <f>DATA!M355</f>
        <v>1</v>
      </c>
    </row>
    <row r="356" spans="1:4" x14ac:dyDescent="0.3">
      <c r="A356">
        <v>2</v>
      </c>
      <c r="B356" s="12">
        <f>DATA!T356</f>
        <v>3</v>
      </c>
      <c r="C356" s="12">
        <f>DATA!F356</f>
        <v>39</v>
      </c>
      <c r="D356" s="12">
        <f>DATA!M356</f>
        <v>1</v>
      </c>
    </row>
    <row r="357" spans="1:4" x14ac:dyDescent="0.3">
      <c r="A357">
        <v>2</v>
      </c>
      <c r="B357" s="12">
        <f>DATA!T357</f>
        <v>3</v>
      </c>
      <c r="C357" s="12">
        <f>DATA!F357</f>
        <v>31</v>
      </c>
      <c r="D357" s="12">
        <f>DATA!M357</f>
        <v>1</v>
      </c>
    </row>
    <row r="358" spans="1:4" x14ac:dyDescent="0.3">
      <c r="A358">
        <v>2</v>
      </c>
      <c r="B358" s="12">
        <f>DATA!T358</f>
        <v>3</v>
      </c>
      <c r="C358" s="12">
        <f>DATA!F358</f>
        <v>85</v>
      </c>
      <c r="D358" s="12">
        <f>DATA!M358</f>
        <v>1</v>
      </c>
    </row>
    <row r="359" spans="1:4" x14ac:dyDescent="0.3">
      <c r="A359">
        <v>2</v>
      </c>
      <c r="B359" s="12">
        <f>DATA!T359</f>
        <v>2</v>
      </c>
      <c r="C359" s="12">
        <f>DATA!F359</f>
        <v>35</v>
      </c>
      <c r="D359" s="12">
        <f>DATA!M359</f>
        <v>0</v>
      </c>
    </row>
    <row r="360" spans="1:4" x14ac:dyDescent="0.3">
      <c r="A360">
        <v>2</v>
      </c>
      <c r="B360" s="12">
        <f>DATA!T360</f>
        <v>1</v>
      </c>
      <c r="C360" s="12">
        <f>DATA!F360</f>
        <v>23</v>
      </c>
      <c r="D360" s="12">
        <f>DATA!M360</f>
        <v>1</v>
      </c>
    </row>
    <row r="361" spans="1:4" x14ac:dyDescent="0.3">
      <c r="A361">
        <v>2</v>
      </c>
      <c r="B361" s="12">
        <f>DATA!T361</f>
        <v>3</v>
      </c>
      <c r="C361" s="12">
        <f>DATA!F361</f>
        <v>44</v>
      </c>
      <c r="D361" s="12">
        <f>DATA!M361</f>
        <v>0</v>
      </c>
    </row>
    <row r="362" spans="1:4" x14ac:dyDescent="0.3">
      <c r="A362">
        <v>1</v>
      </c>
      <c r="B362" s="12">
        <f>DATA!T362</f>
        <v>1</v>
      </c>
      <c r="C362" s="12">
        <f>DATA!F362</f>
        <v>81</v>
      </c>
      <c r="D362" s="12">
        <f>DATA!M362</f>
        <v>0</v>
      </c>
    </row>
    <row r="363" spans="1:4" x14ac:dyDescent="0.3">
      <c r="A363">
        <v>2</v>
      </c>
      <c r="B363" s="12">
        <f>DATA!T363</f>
        <v>3</v>
      </c>
      <c r="C363" s="12">
        <f>DATA!F363</f>
        <v>45</v>
      </c>
      <c r="D363" s="12">
        <f>DATA!M363</f>
        <v>1</v>
      </c>
    </row>
    <row r="364" spans="1:4" x14ac:dyDescent="0.3">
      <c r="A364">
        <v>2</v>
      </c>
      <c r="B364" s="12">
        <f>DATA!T364</f>
        <v>1</v>
      </c>
      <c r="C364" s="12">
        <f>DATA!F364</f>
        <v>59</v>
      </c>
      <c r="D364" s="12">
        <f>DATA!M364</f>
        <v>0</v>
      </c>
    </row>
    <row r="365" spans="1:4" x14ac:dyDescent="0.3">
      <c r="A365">
        <v>2</v>
      </c>
      <c r="B365" s="12">
        <f>DATA!T365</f>
        <v>2</v>
      </c>
      <c r="C365" s="12">
        <f>DATA!F365</f>
        <v>31</v>
      </c>
      <c r="D365" s="12">
        <f>DATA!M365</f>
        <v>1</v>
      </c>
    </row>
    <row r="366" spans="1:4" x14ac:dyDescent="0.3">
      <c r="A366">
        <v>1</v>
      </c>
      <c r="B366" s="12">
        <f>DATA!T366</f>
        <v>2</v>
      </c>
      <c r="C366" s="12">
        <f>DATA!F366</f>
        <v>63</v>
      </c>
      <c r="D366" s="12">
        <f>DATA!M366</f>
        <v>0</v>
      </c>
    </row>
    <row r="367" spans="1:4" x14ac:dyDescent="0.3">
      <c r="A367">
        <v>2</v>
      </c>
      <c r="B367" s="12">
        <f>DATA!T367</f>
        <v>1</v>
      </c>
      <c r="C367" s="12">
        <f>DATA!F367</f>
        <v>66</v>
      </c>
      <c r="D367" s="12">
        <f>DATA!M367</f>
        <v>1</v>
      </c>
    </row>
    <row r="368" spans="1:4" x14ac:dyDescent="0.3">
      <c r="A368">
        <v>2</v>
      </c>
      <c r="B368" s="12">
        <f>DATA!T368</f>
        <v>2</v>
      </c>
      <c r="C368" s="12">
        <f>DATA!F368</f>
        <v>74</v>
      </c>
      <c r="D368" s="12">
        <f>DATA!M368</f>
        <v>1</v>
      </c>
    </row>
    <row r="369" spans="1:4" x14ac:dyDescent="0.3">
      <c r="A369">
        <v>2</v>
      </c>
      <c r="B369" s="12">
        <f>DATA!T369</f>
        <v>1</v>
      </c>
      <c r="C369" s="12">
        <f>DATA!F369</f>
        <v>76</v>
      </c>
      <c r="D369" s="12">
        <f>DATA!M369</f>
        <v>0</v>
      </c>
    </row>
    <row r="370" spans="1:4" x14ac:dyDescent="0.3">
      <c r="A370">
        <v>2</v>
      </c>
      <c r="B370" s="12">
        <f>DATA!T370</f>
        <v>2</v>
      </c>
      <c r="C370" s="12">
        <f>DATA!F370</f>
        <v>35</v>
      </c>
      <c r="D370" s="12">
        <f>DATA!M370</f>
        <v>1</v>
      </c>
    </row>
    <row r="371" spans="1:4" x14ac:dyDescent="0.3">
      <c r="A371">
        <v>2</v>
      </c>
      <c r="B371" s="12">
        <f>DATA!T371</f>
        <v>2</v>
      </c>
      <c r="C371" s="12">
        <f>DATA!F371</f>
        <v>25</v>
      </c>
      <c r="D371" s="12">
        <f>DATA!M371</f>
        <v>0</v>
      </c>
    </row>
    <row r="372" spans="1:4" x14ac:dyDescent="0.3">
      <c r="A372">
        <v>1</v>
      </c>
      <c r="B372" s="12">
        <f>DATA!T372</f>
        <v>1</v>
      </c>
      <c r="C372" s="12">
        <f>DATA!F372</f>
        <v>44</v>
      </c>
      <c r="D372" s="12">
        <f>DATA!M372</f>
        <v>1</v>
      </c>
    </row>
    <row r="373" spans="1:4" x14ac:dyDescent="0.3">
      <c r="A373">
        <v>2</v>
      </c>
      <c r="B373" s="12">
        <f>DATA!T373</f>
        <v>3</v>
      </c>
      <c r="C373" s="12">
        <f>DATA!F373</f>
        <v>35</v>
      </c>
      <c r="D373" s="12">
        <f>DATA!M373</f>
        <v>0</v>
      </c>
    </row>
    <row r="374" spans="1:4" x14ac:dyDescent="0.3">
      <c r="A374">
        <v>2</v>
      </c>
      <c r="B374" s="12">
        <f>DATA!T374</f>
        <v>3</v>
      </c>
      <c r="C374" s="12">
        <f>DATA!F374</f>
        <v>86</v>
      </c>
      <c r="D374" s="12">
        <f>DATA!M374</f>
        <v>0</v>
      </c>
    </row>
    <row r="375" spans="1:4" x14ac:dyDescent="0.3">
      <c r="A375">
        <v>1</v>
      </c>
      <c r="B375" s="12">
        <f>DATA!T375</f>
        <v>3</v>
      </c>
      <c r="C375" s="12">
        <f>DATA!F375</f>
        <v>61</v>
      </c>
      <c r="D375" s="12">
        <f>DATA!M375</f>
        <v>0</v>
      </c>
    </row>
    <row r="376" spans="1:4" x14ac:dyDescent="0.3">
      <c r="A376">
        <v>1</v>
      </c>
      <c r="B376" s="12">
        <f>DATA!T376</f>
        <v>1</v>
      </c>
      <c r="C376" s="12">
        <f>DATA!F376</f>
        <v>65</v>
      </c>
      <c r="D376" s="12">
        <f>DATA!M376</f>
        <v>0</v>
      </c>
    </row>
    <row r="377" spans="1:4" x14ac:dyDescent="0.3">
      <c r="A377">
        <v>2</v>
      </c>
      <c r="B377" s="12">
        <f>DATA!T377</f>
        <v>3</v>
      </c>
      <c r="C377" s="12">
        <f>DATA!F377</f>
        <v>90</v>
      </c>
      <c r="D377" s="12">
        <f>DATA!M377</f>
        <v>1</v>
      </c>
    </row>
    <row r="378" spans="1:4" x14ac:dyDescent="0.3">
      <c r="A378">
        <v>2</v>
      </c>
      <c r="B378" s="12">
        <f>DATA!T378</f>
        <v>2</v>
      </c>
      <c r="C378" s="12">
        <f>DATA!F378</f>
        <v>76</v>
      </c>
      <c r="D378" s="12">
        <f>DATA!M378</f>
        <v>0</v>
      </c>
    </row>
    <row r="379" spans="1:4" x14ac:dyDescent="0.3">
      <c r="A379">
        <v>2</v>
      </c>
      <c r="B379" s="12">
        <f>DATA!T379</f>
        <v>3</v>
      </c>
      <c r="C379" s="12">
        <f>DATA!F379</f>
        <v>45</v>
      </c>
      <c r="D379" s="12">
        <f>DATA!M379</f>
        <v>0</v>
      </c>
    </row>
    <row r="380" spans="1:4" x14ac:dyDescent="0.3">
      <c r="A380">
        <v>1</v>
      </c>
      <c r="B380" s="12">
        <f>DATA!T380</f>
        <v>2</v>
      </c>
      <c r="C380" s="12">
        <f>DATA!F380</f>
        <v>24</v>
      </c>
      <c r="D380" s="12">
        <f>DATA!M380</f>
        <v>1</v>
      </c>
    </row>
    <row r="381" spans="1:4" x14ac:dyDescent="0.3">
      <c r="A381">
        <v>2</v>
      </c>
      <c r="B381" s="12">
        <f>DATA!T381</f>
        <v>3</v>
      </c>
      <c r="C381" s="12">
        <f>DATA!F381</f>
        <v>25</v>
      </c>
      <c r="D381" s="12">
        <f>DATA!M381</f>
        <v>1</v>
      </c>
    </row>
    <row r="382" spans="1:4" x14ac:dyDescent="0.3">
      <c r="A382">
        <v>1</v>
      </c>
      <c r="B382" s="12">
        <f>DATA!T382</f>
        <v>3</v>
      </c>
      <c r="C382" s="12">
        <f>DATA!F382</f>
        <v>71</v>
      </c>
      <c r="D382" s="12">
        <f>DATA!M382</f>
        <v>1</v>
      </c>
    </row>
    <row r="383" spans="1:4" x14ac:dyDescent="0.3">
      <c r="A383">
        <v>2</v>
      </c>
      <c r="B383" s="12">
        <f>DATA!T383</f>
        <v>1</v>
      </c>
      <c r="C383" s="12">
        <f>DATA!F383</f>
        <v>44</v>
      </c>
      <c r="D383" s="12">
        <f>DATA!M383</f>
        <v>1</v>
      </c>
    </row>
    <row r="384" spans="1:4" x14ac:dyDescent="0.3">
      <c r="A384">
        <v>1</v>
      </c>
      <c r="B384" s="12">
        <f>DATA!T384</f>
        <v>2</v>
      </c>
      <c r="C384" s="12">
        <f>DATA!F384</f>
        <v>55</v>
      </c>
      <c r="D384" s="12">
        <f>DATA!M384</f>
        <v>1</v>
      </c>
    </row>
    <row r="385" spans="1:4" x14ac:dyDescent="0.3">
      <c r="A385">
        <v>1</v>
      </c>
      <c r="B385" s="12">
        <f>DATA!T385</f>
        <v>2</v>
      </c>
      <c r="C385" s="12">
        <f>DATA!F385</f>
        <v>67</v>
      </c>
      <c r="D385" s="12">
        <f>DATA!M385</f>
        <v>0</v>
      </c>
    </row>
    <row r="386" spans="1:4" x14ac:dyDescent="0.3">
      <c r="A386">
        <v>1</v>
      </c>
      <c r="B386" s="12">
        <f>DATA!T386</f>
        <v>2</v>
      </c>
      <c r="C386" s="12">
        <f>DATA!F386</f>
        <v>38</v>
      </c>
      <c r="D386" s="12">
        <f>DATA!M386</f>
        <v>0</v>
      </c>
    </row>
    <row r="387" spans="1:4" x14ac:dyDescent="0.3">
      <c r="A387">
        <v>2</v>
      </c>
      <c r="B387" s="12">
        <f>DATA!T387</f>
        <v>3</v>
      </c>
      <c r="C387" s="12">
        <f>DATA!F387</f>
        <v>74</v>
      </c>
      <c r="D387" s="12">
        <f>DATA!M387</f>
        <v>0</v>
      </c>
    </row>
    <row r="388" spans="1:4" x14ac:dyDescent="0.3">
      <c r="A388">
        <v>2</v>
      </c>
      <c r="B388" s="12">
        <f>DATA!T388</f>
        <v>3</v>
      </c>
      <c r="C388" s="12">
        <f>DATA!F388</f>
        <v>79</v>
      </c>
      <c r="D388" s="12">
        <f>DATA!M388</f>
        <v>0</v>
      </c>
    </row>
    <row r="389" spans="1:4" x14ac:dyDescent="0.3">
      <c r="A389">
        <v>2</v>
      </c>
      <c r="B389" s="12">
        <f>DATA!T389</f>
        <v>1</v>
      </c>
      <c r="C389" s="12">
        <f>DATA!F389</f>
        <v>73</v>
      </c>
      <c r="D389" s="12">
        <f>DATA!M389</f>
        <v>0</v>
      </c>
    </row>
    <row r="390" spans="1:4" x14ac:dyDescent="0.3">
      <c r="A390">
        <v>2</v>
      </c>
      <c r="B390" s="12">
        <f>DATA!T390</f>
        <v>1</v>
      </c>
      <c r="C390" s="12">
        <f>DATA!F390</f>
        <v>41</v>
      </c>
      <c r="D390" s="12">
        <f>DATA!M390</f>
        <v>1</v>
      </c>
    </row>
    <row r="391" spans="1:4" x14ac:dyDescent="0.3">
      <c r="A391">
        <v>2</v>
      </c>
      <c r="B391" s="12">
        <f>DATA!T391</f>
        <v>1</v>
      </c>
      <c r="C391" s="12">
        <f>DATA!F391</f>
        <v>75</v>
      </c>
      <c r="D391" s="12">
        <f>DATA!M391</f>
        <v>1</v>
      </c>
    </row>
    <row r="392" spans="1:4" x14ac:dyDescent="0.3">
      <c r="A392">
        <v>1</v>
      </c>
      <c r="B392" s="12">
        <f>DATA!T392</f>
        <v>3</v>
      </c>
      <c r="C392" s="12">
        <f>DATA!F392</f>
        <v>27</v>
      </c>
      <c r="D392" s="12">
        <f>DATA!M392</f>
        <v>1</v>
      </c>
    </row>
    <row r="393" spans="1:4" x14ac:dyDescent="0.3">
      <c r="A393">
        <v>2</v>
      </c>
      <c r="B393" s="12">
        <f>DATA!T393</f>
        <v>1</v>
      </c>
      <c r="C393" s="12">
        <f>DATA!F393</f>
        <v>18</v>
      </c>
      <c r="D393" s="12">
        <f>DATA!M393</f>
        <v>1</v>
      </c>
    </row>
    <row r="394" spans="1:4" x14ac:dyDescent="0.3">
      <c r="A394">
        <v>2</v>
      </c>
      <c r="B394" s="12">
        <f>DATA!T394</f>
        <v>2</v>
      </c>
      <c r="C394" s="12">
        <f>DATA!F394</f>
        <v>37</v>
      </c>
      <c r="D394" s="12">
        <f>DATA!M394</f>
        <v>0</v>
      </c>
    </row>
    <row r="395" spans="1:4" x14ac:dyDescent="0.3">
      <c r="A395">
        <v>2</v>
      </c>
      <c r="B395" s="12">
        <f>DATA!T395</f>
        <v>1</v>
      </c>
      <c r="C395" s="12">
        <f>DATA!F395</f>
        <v>89</v>
      </c>
      <c r="D395" s="12">
        <f>DATA!M395</f>
        <v>1</v>
      </c>
    </row>
    <row r="396" spans="1:4" x14ac:dyDescent="0.3">
      <c r="A396">
        <v>1</v>
      </c>
      <c r="B396" s="12">
        <f>DATA!T396</f>
        <v>3</v>
      </c>
      <c r="C396" s="12">
        <f>DATA!F396</f>
        <v>68</v>
      </c>
      <c r="D396" s="12">
        <f>DATA!M396</f>
        <v>1</v>
      </c>
    </row>
    <row r="397" spans="1:4" x14ac:dyDescent="0.3">
      <c r="A397">
        <v>2</v>
      </c>
      <c r="B397" s="12">
        <f>DATA!T397</f>
        <v>1</v>
      </c>
      <c r="C397" s="12">
        <f>DATA!F397</f>
        <v>56</v>
      </c>
      <c r="D397" s="12">
        <f>DATA!M397</f>
        <v>0</v>
      </c>
    </row>
    <row r="398" spans="1:4" x14ac:dyDescent="0.3">
      <c r="A398">
        <v>2</v>
      </c>
      <c r="B398" s="12">
        <f>DATA!T398</f>
        <v>2</v>
      </c>
      <c r="C398" s="12">
        <f>DATA!F398</f>
        <v>85</v>
      </c>
      <c r="D398" s="12">
        <f>DATA!M398</f>
        <v>1</v>
      </c>
    </row>
    <row r="399" spans="1:4" x14ac:dyDescent="0.3">
      <c r="A399">
        <v>2</v>
      </c>
      <c r="B399" s="12">
        <f>DATA!T399</f>
        <v>2</v>
      </c>
      <c r="C399" s="12">
        <f>DATA!F399</f>
        <v>48</v>
      </c>
      <c r="D399" s="12">
        <f>DATA!M399</f>
        <v>0</v>
      </c>
    </row>
    <row r="400" spans="1:4" x14ac:dyDescent="0.3">
      <c r="A400">
        <v>1</v>
      </c>
      <c r="B400" s="12">
        <f>DATA!T400</f>
        <v>2</v>
      </c>
      <c r="C400" s="12">
        <f>DATA!F400</f>
        <v>55</v>
      </c>
      <c r="D400" s="12">
        <f>DATA!M400</f>
        <v>1</v>
      </c>
    </row>
    <row r="401" spans="1:4" x14ac:dyDescent="0.3">
      <c r="A401">
        <v>2</v>
      </c>
      <c r="B401" s="12">
        <f>DATA!T401</f>
        <v>3</v>
      </c>
      <c r="C401" s="12">
        <f>DATA!F401</f>
        <v>74</v>
      </c>
      <c r="D401" s="12">
        <f>DATA!M401</f>
        <v>0</v>
      </c>
    </row>
    <row r="402" spans="1:4" x14ac:dyDescent="0.3">
      <c r="A402">
        <v>2</v>
      </c>
      <c r="B402" s="12">
        <f>DATA!T402</f>
        <v>2</v>
      </c>
      <c r="C402" s="12">
        <f>DATA!F402</f>
        <v>23</v>
      </c>
      <c r="D402" s="12">
        <f>DATA!M402</f>
        <v>0</v>
      </c>
    </row>
    <row r="403" spans="1:4" x14ac:dyDescent="0.3">
      <c r="A403">
        <v>1</v>
      </c>
      <c r="B403" s="12">
        <f>DATA!T403</f>
        <v>1</v>
      </c>
      <c r="C403" s="12">
        <f>DATA!F403</f>
        <v>77</v>
      </c>
      <c r="D403" s="12">
        <f>DATA!M403</f>
        <v>1</v>
      </c>
    </row>
    <row r="404" spans="1:4" x14ac:dyDescent="0.3">
      <c r="A404">
        <v>2</v>
      </c>
      <c r="B404" s="12">
        <f>DATA!T404</f>
        <v>1</v>
      </c>
      <c r="C404" s="12">
        <f>DATA!F404</f>
        <v>79</v>
      </c>
      <c r="D404" s="12">
        <f>DATA!M404</f>
        <v>1</v>
      </c>
    </row>
    <row r="405" spans="1:4" x14ac:dyDescent="0.3">
      <c r="A405">
        <v>1</v>
      </c>
      <c r="B405" s="12">
        <f>DATA!T405</f>
        <v>2</v>
      </c>
      <c r="C405" s="12">
        <f>DATA!F405</f>
        <v>49</v>
      </c>
      <c r="D405" s="12">
        <f>DATA!M405</f>
        <v>1</v>
      </c>
    </row>
    <row r="406" spans="1:4" x14ac:dyDescent="0.3">
      <c r="A406">
        <v>2</v>
      </c>
      <c r="B406" s="12">
        <f>DATA!T406</f>
        <v>3</v>
      </c>
      <c r="C406" s="12">
        <f>DATA!F406</f>
        <v>88</v>
      </c>
      <c r="D406" s="12">
        <f>DATA!M406</f>
        <v>1</v>
      </c>
    </row>
    <row r="407" spans="1:4" x14ac:dyDescent="0.3">
      <c r="A407">
        <v>2</v>
      </c>
      <c r="B407" s="12">
        <f>DATA!T407</f>
        <v>2</v>
      </c>
      <c r="C407" s="12">
        <f>DATA!F407</f>
        <v>35</v>
      </c>
      <c r="D407" s="12">
        <f>DATA!M407</f>
        <v>1</v>
      </c>
    </row>
    <row r="408" spans="1:4" x14ac:dyDescent="0.3">
      <c r="A408">
        <v>1</v>
      </c>
      <c r="B408" s="12">
        <f>DATA!T408</f>
        <v>1</v>
      </c>
      <c r="C408" s="12">
        <f>DATA!F408</f>
        <v>49</v>
      </c>
      <c r="D408" s="12">
        <f>DATA!M408</f>
        <v>0</v>
      </c>
    </row>
    <row r="409" spans="1:4" x14ac:dyDescent="0.3">
      <c r="A409">
        <v>1</v>
      </c>
      <c r="B409" s="12">
        <f>DATA!T409</f>
        <v>1</v>
      </c>
      <c r="C409" s="12">
        <f>DATA!F409</f>
        <v>49</v>
      </c>
      <c r="D409" s="12">
        <f>DATA!M409</f>
        <v>0</v>
      </c>
    </row>
    <row r="410" spans="1:4" x14ac:dyDescent="0.3">
      <c r="A410">
        <v>2</v>
      </c>
      <c r="B410" s="12">
        <f>DATA!T410</f>
        <v>2</v>
      </c>
      <c r="C410" s="12">
        <f>DATA!F410</f>
        <v>57</v>
      </c>
      <c r="D410" s="12">
        <f>DATA!M410</f>
        <v>1</v>
      </c>
    </row>
    <row r="411" spans="1:4" x14ac:dyDescent="0.3">
      <c r="A411">
        <v>2</v>
      </c>
      <c r="B411" s="12">
        <f>DATA!T411</f>
        <v>3</v>
      </c>
      <c r="C411" s="12">
        <f>DATA!F411</f>
        <v>68</v>
      </c>
      <c r="D411" s="12">
        <f>DATA!M411</f>
        <v>1</v>
      </c>
    </row>
    <row r="412" spans="1:4" x14ac:dyDescent="0.3">
      <c r="A412">
        <v>2</v>
      </c>
      <c r="B412" s="12">
        <f>DATA!T412</f>
        <v>1</v>
      </c>
      <c r="C412" s="12">
        <f>DATA!F412</f>
        <v>56</v>
      </c>
      <c r="D412" s="12">
        <f>DATA!M412</f>
        <v>1</v>
      </c>
    </row>
    <row r="413" spans="1:4" x14ac:dyDescent="0.3">
      <c r="A413">
        <v>2</v>
      </c>
      <c r="B413" s="12">
        <f>DATA!T413</f>
        <v>3</v>
      </c>
      <c r="C413" s="12">
        <f>DATA!F413</f>
        <v>86</v>
      </c>
      <c r="D413" s="12">
        <f>DATA!M413</f>
        <v>1</v>
      </c>
    </row>
    <row r="414" spans="1:4" x14ac:dyDescent="0.3">
      <c r="A414">
        <v>2</v>
      </c>
      <c r="B414" s="12">
        <f>DATA!T414</f>
        <v>2</v>
      </c>
      <c r="C414" s="12">
        <f>DATA!F414</f>
        <v>57</v>
      </c>
      <c r="D414" s="12">
        <f>DATA!M414</f>
        <v>0</v>
      </c>
    </row>
    <row r="415" spans="1:4" x14ac:dyDescent="0.3">
      <c r="A415">
        <v>1</v>
      </c>
      <c r="B415" s="12">
        <f>DATA!T415</f>
        <v>1</v>
      </c>
      <c r="C415" s="12">
        <f>DATA!F415</f>
        <v>31</v>
      </c>
      <c r="D415" s="12">
        <f>DATA!M415</f>
        <v>1</v>
      </c>
    </row>
    <row r="416" spans="1:4" x14ac:dyDescent="0.3">
      <c r="A416">
        <v>2</v>
      </c>
      <c r="B416" s="12">
        <f>DATA!T416</f>
        <v>1</v>
      </c>
      <c r="C416" s="12">
        <f>DATA!F416</f>
        <v>53</v>
      </c>
      <c r="D416" s="12">
        <f>DATA!M416</f>
        <v>1</v>
      </c>
    </row>
    <row r="417" spans="1:4" x14ac:dyDescent="0.3">
      <c r="A417">
        <v>1</v>
      </c>
      <c r="B417" s="12">
        <f>DATA!T417</f>
        <v>1</v>
      </c>
      <c r="C417" s="12">
        <f>DATA!F417</f>
        <v>29</v>
      </c>
      <c r="D417" s="12">
        <f>DATA!M417</f>
        <v>1</v>
      </c>
    </row>
    <row r="418" spans="1:4" x14ac:dyDescent="0.3">
      <c r="A418">
        <v>2</v>
      </c>
      <c r="B418" s="12">
        <f>DATA!T418</f>
        <v>1</v>
      </c>
      <c r="C418" s="12">
        <f>DATA!F418</f>
        <v>72</v>
      </c>
      <c r="D418" s="12">
        <f>DATA!M418</f>
        <v>1</v>
      </c>
    </row>
    <row r="419" spans="1:4" x14ac:dyDescent="0.3">
      <c r="A419">
        <v>2</v>
      </c>
      <c r="B419" s="12">
        <f>DATA!T419</f>
        <v>1</v>
      </c>
      <c r="C419" s="12">
        <f>DATA!F419</f>
        <v>54</v>
      </c>
      <c r="D419" s="12">
        <f>DATA!M419</f>
        <v>1</v>
      </c>
    </row>
    <row r="420" spans="1:4" x14ac:dyDescent="0.3">
      <c r="A420">
        <v>2</v>
      </c>
      <c r="B420" s="12">
        <f>DATA!T420</f>
        <v>1</v>
      </c>
      <c r="C420" s="12">
        <f>DATA!F420</f>
        <v>69</v>
      </c>
      <c r="D420" s="12">
        <f>DATA!M420</f>
        <v>0</v>
      </c>
    </row>
    <row r="421" spans="1:4" x14ac:dyDescent="0.3">
      <c r="A421">
        <v>1</v>
      </c>
      <c r="B421" s="12">
        <f>DATA!T421</f>
        <v>2</v>
      </c>
      <c r="C421" s="12">
        <f>DATA!F421</f>
        <v>52</v>
      </c>
      <c r="D421" s="12">
        <f>DATA!M421</f>
        <v>0</v>
      </c>
    </row>
    <row r="422" spans="1:4" x14ac:dyDescent="0.3">
      <c r="A422">
        <v>2</v>
      </c>
      <c r="B422" s="12">
        <f>DATA!T422</f>
        <v>1</v>
      </c>
      <c r="C422" s="12">
        <f>DATA!F422</f>
        <v>76</v>
      </c>
      <c r="D422" s="12">
        <f>DATA!M422</f>
        <v>0</v>
      </c>
    </row>
    <row r="423" spans="1:4" x14ac:dyDescent="0.3">
      <c r="A423">
        <v>2</v>
      </c>
      <c r="B423" s="12">
        <f>DATA!T423</f>
        <v>1</v>
      </c>
      <c r="C423" s="12">
        <f>DATA!F423</f>
        <v>46</v>
      </c>
      <c r="D423" s="12">
        <f>DATA!M423</f>
        <v>1</v>
      </c>
    </row>
    <row r="424" spans="1:4" x14ac:dyDescent="0.3">
      <c r="A424">
        <v>1</v>
      </c>
      <c r="B424" s="12">
        <f>DATA!T424</f>
        <v>2</v>
      </c>
      <c r="C424" s="12">
        <f>DATA!F424</f>
        <v>27</v>
      </c>
      <c r="D424" s="12">
        <f>DATA!M424</f>
        <v>1</v>
      </c>
    </row>
    <row r="425" spans="1:4" x14ac:dyDescent="0.3">
      <c r="A425">
        <v>1</v>
      </c>
      <c r="B425" s="12">
        <f>DATA!T425</f>
        <v>1</v>
      </c>
      <c r="C425" s="12">
        <f>DATA!F425</f>
        <v>26</v>
      </c>
      <c r="D425" s="12">
        <f>DATA!M425</f>
        <v>1</v>
      </c>
    </row>
    <row r="426" spans="1:4" x14ac:dyDescent="0.3">
      <c r="A426">
        <v>2</v>
      </c>
      <c r="B426" s="12">
        <f>DATA!T426</f>
        <v>1</v>
      </c>
      <c r="C426" s="12">
        <f>DATA!F426</f>
        <v>35</v>
      </c>
      <c r="D426" s="12">
        <f>DATA!M426</f>
        <v>1</v>
      </c>
    </row>
    <row r="427" spans="1:4" x14ac:dyDescent="0.3">
      <c r="A427">
        <v>2</v>
      </c>
      <c r="B427" s="12">
        <f>DATA!T427</f>
        <v>2</v>
      </c>
      <c r="C427" s="12">
        <f>DATA!F427</f>
        <v>43</v>
      </c>
      <c r="D427" s="12">
        <f>DATA!M427</f>
        <v>1</v>
      </c>
    </row>
    <row r="428" spans="1:4" x14ac:dyDescent="0.3">
      <c r="A428">
        <v>2</v>
      </c>
      <c r="B428" s="12">
        <f>DATA!T428</f>
        <v>1</v>
      </c>
      <c r="C428" s="12">
        <f>DATA!F428</f>
        <v>77</v>
      </c>
      <c r="D428" s="12">
        <f>DATA!M428</f>
        <v>0</v>
      </c>
    </row>
    <row r="429" spans="1:4" x14ac:dyDescent="0.3">
      <c r="A429">
        <v>2</v>
      </c>
      <c r="B429" s="12">
        <f>DATA!T429</f>
        <v>1</v>
      </c>
      <c r="C429" s="12">
        <f>DATA!F429</f>
        <v>77</v>
      </c>
      <c r="D429" s="12">
        <f>DATA!M429</f>
        <v>1</v>
      </c>
    </row>
    <row r="430" spans="1:4" x14ac:dyDescent="0.3">
      <c r="A430">
        <v>1</v>
      </c>
      <c r="B430" s="12">
        <f>DATA!T430</f>
        <v>2</v>
      </c>
      <c r="C430" s="12">
        <f>DATA!F430</f>
        <v>76</v>
      </c>
      <c r="D430" s="12">
        <f>DATA!M430</f>
        <v>1</v>
      </c>
    </row>
    <row r="431" spans="1:4" x14ac:dyDescent="0.3">
      <c r="A431">
        <v>1</v>
      </c>
      <c r="B431" s="12">
        <f>DATA!T431</f>
        <v>1</v>
      </c>
      <c r="C431" s="12">
        <f>DATA!F431</f>
        <v>36</v>
      </c>
      <c r="D431" s="12">
        <f>DATA!M431</f>
        <v>0</v>
      </c>
    </row>
    <row r="432" spans="1:4" x14ac:dyDescent="0.3">
      <c r="A432">
        <v>2</v>
      </c>
      <c r="B432" s="12">
        <f>DATA!T432</f>
        <v>2</v>
      </c>
      <c r="C432" s="12">
        <f>DATA!F432</f>
        <v>30</v>
      </c>
      <c r="D432" s="12">
        <f>DATA!M432</f>
        <v>0</v>
      </c>
    </row>
    <row r="433" spans="1:4" x14ac:dyDescent="0.3">
      <c r="A433">
        <v>1</v>
      </c>
      <c r="B433" s="12">
        <f>DATA!T433</f>
        <v>1</v>
      </c>
      <c r="C433" s="12">
        <f>DATA!F433</f>
        <v>19</v>
      </c>
      <c r="D433" s="12">
        <f>DATA!M433</f>
        <v>1</v>
      </c>
    </row>
    <row r="434" spans="1:4" x14ac:dyDescent="0.3">
      <c r="A434">
        <v>1</v>
      </c>
      <c r="B434" s="12">
        <f>DATA!T434</f>
        <v>1</v>
      </c>
      <c r="C434" s="12">
        <f>DATA!F434</f>
        <v>45</v>
      </c>
      <c r="D434" s="12">
        <f>DATA!M434</f>
        <v>1</v>
      </c>
    </row>
    <row r="435" spans="1:4" x14ac:dyDescent="0.3">
      <c r="A435">
        <v>1</v>
      </c>
      <c r="B435" s="12">
        <f>DATA!T435</f>
        <v>2</v>
      </c>
      <c r="C435" s="12">
        <f>DATA!F435</f>
        <v>28</v>
      </c>
      <c r="D435" s="12">
        <f>DATA!M435</f>
        <v>1</v>
      </c>
    </row>
    <row r="436" spans="1:4" x14ac:dyDescent="0.3">
      <c r="A436">
        <v>1</v>
      </c>
      <c r="B436" s="12">
        <f>DATA!T436</f>
        <v>3</v>
      </c>
      <c r="C436" s="12">
        <f>DATA!F436</f>
        <v>85</v>
      </c>
      <c r="D436" s="12">
        <f>DATA!M436</f>
        <v>1</v>
      </c>
    </row>
    <row r="437" spans="1:4" x14ac:dyDescent="0.3">
      <c r="A437">
        <v>1</v>
      </c>
      <c r="B437" s="12">
        <f>DATA!T437</f>
        <v>2</v>
      </c>
      <c r="C437" s="12">
        <f>DATA!F437</f>
        <v>79</v>
      </c>
      <c r="D437" s="12">
        <f>DATA!M437</f>
        <v>1</v>
      </c>
    </row>
    <row r="438" spans="1:4" x14ac:dyDescent="0.3">
      <c r="A438">
        <v>2</v>
      </c>
      <c r="B438" s="12">
        <f>DATA!T438</f>
        <v>3</v>
      </c>
      <c r="C438" s="12">
        <f>DATA!F438</f>
        <v>34</v>
      </c>
      <c r="D438" s="12">
        <f>DATA!M438</f>
        <v>0</v>
      </c>
    </row>
    <row r="439" spans="1:4" x14ac:dyDescent="0.3">
      <c r="A439">
        <v>2</v>
      </c>
      <c r="B439" s="12">
        <f>DATA!T439</f>
        <v>3</v>
      </c>
      <c r="C439" s="12">
        <f>DATA!F439</f>
        <v>45</v>
      </c>
      <c r="D439" s="12">
        <f>DATA!M439</f>
        <v>0</v>
      </c>
    </row>
    <row r="440" spans="1:4" x14ac:dyDescent="0.3">
      <c r="A440">
        <v>1</v>
      </c>
      <c r="B440" s="12">
        <f>DATA!T440</f>
        <v>1</v>
      </c>
      <c r="C440" s="12">
        <f>DATA!F440</f>
        <v>24</v>
      </c>
      <c r="D440" s="12">
        <f>DATA!M440</f>
        <v>0</v>
      </c>
    </row>
    <row r="441" spans="1:4" x14ac:dyDescent="0.3">
      <c r="A441">
        <v>2</v>
      </c>
      <c r="B441" s="12">
        <f>DATA!T441</f>
        <v>2</v>
      </c>
      <c r="C441" s="12">
        <f>DATA!F441</f>
        <v>18</v>
      </c>
      <c r="D441" s="12">
        <f>DATA!M441</f>
        <v>1</v>
      </c>
    </row>
    <row r="442" spans="1:4" x14ac:dyDescent="0.3">
      <c r="A442">
        <v>1</v>
      </c>
      <c r="B442" s="12">
        <f>DATA!T442</f>
        <v>3</v>
      </c>
      <c r="C442" s="12">
        <f>DATA!F442</f>
        <v>25</v>
      </c>
      <c r="D442" s="12">
        <f>DATA!M442</f>
        <v>1</v>
      </c>
    </row>
    <row r="443" spans="1:4" x14ac:dyDescent="0.3">
      <c r="A443">
        <v>1</v>
      </c>
      <c r="B443" s="12">
        <f>DATA!T443</f>
        <v>3</v>
      </c>
      <c r="C443" s="12">
        <f>DATA!F443</f>
        <v>43</v>
      </c>
      <c r="D443" s="12">
        <f>DATA!M443</f>
        <v>1</v>
      </c>
    </row>
    <row r="444" spans="1:4" x14ac:dyDescent="0.3">
      <c r="A444">
        <v>1</v>
      </c>
      <c r="B444" s="12">
        <f>DATA!T444</f>
        <v>3</v>
      </c>
      <c r="C444" s="12">
        <f>DATA!F444</f>
        <v>85</v>
      </c>
      <c r="D444" s="12">
        <f>DATA!M444</f>
        <v>1</v>
      </c>
    </row>
    <row r="445" spans="1:4" x14ac:dyDescent="0.3">
      <c r="A445">
        <v>1</v>
      </c>
      <c r="B445" s="12">
        <f>DATA!T445</f>
        <v>3</v>
      </c>
      <c r="C445" s="12">
        <f>DATA!F445</f>
        <v>77</v>
      </c>
      <c r="D445" s="12">
        <f>DATA!M445</f>
        <v>0</v>
      </c>
    </row>
    <row r="446" spans="1:4" x14ac:dyDescent="0.3">
      <c r="A446">
        <v>1</v>
      </c>
      <c r="B446" s="12">
        <f>DATA!T446</f>
        <v>2</v>
      </c>
      <c r="C446" s="12">
        <f>DATA!F446</f>
        <v>54</v>
      </c>
      <c r="D446" s="12">
        <f>DATA!M446</f>
        <v>1</v>
      </c>
    </row>
    <row r="447" spans="1:4" x14ac:dyDescent="0.3">
      <c r="A447">
        <v>2</v>
      </c>
      <c r="B447" s="12">
        <f>DATA!T447</f>
        <v>1</v>
      </c>
      <c r="C447" s="12">
        <f>DATA!F447</f>
        <v>62</v>
      </c>
      <c r="D447" s="12">
        <f>DATA!M447</f>
        <v>1</v>
      </c>
    </row>
    <row r="448" spans="1:4" x14ac:dyDescent="0.3">
      <c r="A448">
        <v>2</v>
      </c>
      <c r="B448" s="12">
        <f>DATA!T448</f>
        <v>1</v>
      </c>
      <c r="C448" s="12">
        <f>DATA!F448</f>
        <v>90</v>
      </c>
      <c r="D448" s="12">
        <f>DATA!M448</f>
        <v>1</v>
      </c>
    </row>
    <row r="449" spans="1:4" x14ac:dyDescent="0.3">
      <c r="A449">
        <v>2</v>
      </c>
      <c r="B449" s="12">
        <f>DATA!T449</f>
        <v>3</v>
      </c>
      <c r="C449" s="12">
        <f>DATA!F449</f>
        <v>56</v>
      </c>
      <c r="D449" s="12">
        <f>DATA!M449</f>
        <v>0</v>
      </c>
    </row>
    <row r="450" spans="1:4" x14ac:dyDescent="0.3">
      <c r="A450">
        <v>2</v>
      </c>
      <c r="B450" s="12">
        <f>DATA!T450</f>
        <v>1</v>
      </c>
      <c r="C450" s="12">
        <f>DATA!F450</f>
        <v>60</v>
      </c>
      <c r="D450" s="12">
        <f>DATA!M450</f>
        <v>1</v>
      </c>
    </row>
    <row r="451" spans="1:4" x14ac:dyDescent="0.3">
      <c r="A451">
        <v>2</v>
      </c>
      <c r="B451" s="12">
        <f>DATA!T451</f>
        <v>3</v>
      </c>
      <c r="C451" s="12">
        <f>DATA!F451</f>
        <v>54</v>
      </c>
      <c r="D451" s="12">
        <f>DATA!M451</f>
        <v>0</v>
      </c>
    </row>
    <row r="452" spans="1:4" x14ac:dyDescent="0.3">
      <c r="A452">
        <v>2</v>
      </c>
      <c r="B452" s="12">
        <f>DATA!T452</f>
        <v>1</v>
      </c>
      <c r="C452" s="12">
        <f>DATA!F452</f>
        <v>86</v>
      </c>
      <c r="D452" s="12">
        <f>DATA!M452</f>
        <v>0</v>
      </c>
    </row>
    <row r="453" spans="1:4" x14ac:dyDescent="0.3">
      <c r="A453">
        <v>2</v>
      </c>
      <c r="B453" s="12">
        <f>DATA!T453</f>
        <v>1</v>
      </c>
      <c r="C453" s="12">
        <f>DATA!F453</f>
        <v>31</v>
      </c>
      <c r="D453" s="12">
        <f>DATA!M453</f>
        <v>1</v>
      </c>
    </row>
    <row r="454" spans="1:4" x14ac:dyDescent="0.3">
      <c r="A454">
        <v>1</v>
      </c>
      <c r="B454" s="12">
        <f>DATA!T454</f>
        <v>2</v>
      </c>
      <c r="C454" s="12">
        <f>DATA!F454</f>
        <v>31</v>
      </c>
      <c r="D454" s="12">
        <f>DATA!M454</f>
        <v>1</v>
      </c>
    </row>
    <row r="455" spans="1:4" x14ac:dyDescent="0.3">
      <c r="A455">
        <v>2</v>
      </c>
      <c r="B455" s="12">
        <f>DATA!T455</f>
        <v>3</v>
      </c>
      <c r="C455" s="12">
        <f>DATA!F455</f>
        <v>59</v>
      </c>
      <c r="D455" s="12">
        <f>DATA!M455</f>
        <v>0</v>
      </c>
    </row>
    <row r="456" spans="1:4" x14ac:dyDescent="0.3">
      <c r="A456">
        <v>2</v>
      </c>
      <c r="B456" s="12">
        <f>DATA!T456</f>
        <v>2</v>
      </c>
      <c r="C456" s="12">
        <f>DATA!F456</f>
        <v>90</v>
      </c>
      <c r="D456" s="12">
        <f>DATA!M456</f>
        <v>0</v>
      </c>
    </row>
    <row r="457" spans="1:4" x14ac:dyDescent="0.3">
      <c r="A457">
        <v>1</v>
      </c>
      <c r="B457" s="12">
        <f>DATA!T457</f>
        <v>1</v>
      </c>
      <c r="C457" s="12">
        <f>DATA!F457</f>
        <v>24</v>
      </c>
      <c r="D457" s="12">
        <f>DATA!M457</f>
        <v>0</v>
      </c>
    </row>
    <row r="458" spans="1:4" x14ac:dyDescent="0.3">
      <c r="A458">
        <v>2</v>
      </c>
      <c r="B458" s="12">
        <f>DATA!T458</f>
        <v>3</v>
      </c>
      <c r="C458" s="12">
        <f>DATA!F458</f>
        <v>30</v>
      </c>
      <c r="D458" s="12">
        <f>DATA!M458</f>
        <v>0</v>
      </c>
    </row>
    <row r="459" spans="1:4" x14ac:dyDescent="0.3">
      <c r="A459">
        <v>1</v>
      </c>
      <c r="B459" s="12">
        <f>DATA!T459</f>
        <v>3</v>
      </c>
      <c r="C459" s="12">
        <f>DATA!F459</f>
        <v>21</v>
      </c>
      <c r="D459" s="12">
        <f>DATA!M459</f>
        <v>1</v>
      </c>
    </row>
    <row r="460" spans="1:4" x14ac:dyDescent="0.3">
      <c r="A460">
        <v>2</v>
      </c>
      <c r="B460" s="12">
        <f>DATA!T460</f>
        <v>3</v>
      </c>
      <c r="C460" s="12">
        <f>DATA!F460</f>
        <v>34</v>
      </c>
      <c r="D460" s="12">
        <f>DATA!M460</f>
        <v>1</v>
      </c>
    </row>
    <row r="461" spans="1:4" x14ac:dyDescent="0.3">
      <c r="A461">
        <v>1</v>
      </c>
      <c r="B461" s="12">
        <f>DATA!T461</f>
        <v>3</v>
      </c>
      <c r="C461" s="12">
        <f>DATA!F461</f>
        <v>23</v>
      </c>
      <c r="D461" s="12">
        <f>DATA!M461</f>
        <v>1</v>
      </c>
    </row>
    <row r="462" spans="1:4" x14ac:dyDescent="0.3">
      <c r="A462">
        <v>2</v>
      </c>
      <c r="B462" s="12">
        <f>DATA!T462</f>
        <v>3</v>
      </c>
      <c r="C462" s="12">
        <f>DATA!F462</f>
        <v>58</v>
      </c>
      <c r="D462" s="12">
        <f>DATA!M462</f>
        <v>1</v>
      </c>
    </row>
    <row r="463" spans="1:4" x14ac:dyDescent="0.3">
      <c r="A463">
        <v>1</v>
      </c>
      <c r="B463" s="12">
        <f>DATA!T463</f>
        <v>3</v>
      </c>
      <c r="C463" s="12">
        <f>DATA!F463</f>
        <v>73</v>
      </c>
      <c r="D463" s="12">
        <f>DATA!M463</f>
        <v>1</v>
      </c>
    </row>
    <row r="464" spans="1:4" x14ac:dyDescent="0.3">
      <c r="A464">
        <v>2</v>
      </c>
      <c r="B464" s="12">
        <f>DATA!T464</f>
        <v>1</v>
      </c>
      <c r="C464" s="12">
        <f>DATA!F464</f>
        <v>47</v>
      </c>
      <c r="D464" s="12">
        <f>DATA!M464</f>
        <v>1</v>
      </c>
    </row>
    <row r="465" spans="1:4" x14ac:dyDescent="0.3">
      <c r="A465">
        <v>1</v>
      </c>
      <c r="B465" s="12">
        <f>DATA!T465</f>
        <v>3</v>
      </c>
      <c r="C465" s="12">
        <f>DATA!F465</f>
        <v>71</v>
      </c>
      <c r="D465" s="12">
        <f>DATA!M465</f>
        <v>0</v>
      </c>
    </row>
    <row r="466" spans="1:4" x14ac:dyDescent="0.3">
      <c r="A466">
        <v>2</v>
      </c>
      <c r="B466" s="12">
        <f>DATA!T466</f>
        <v>1</v>
      </c>
      <c r="C466" s="12">
        <f>DATA!F466</f>
        <v>40</v>
      </c>
      <c r="D466" s="12">
        <f>DATA!M466</f>
        <v>1</v>
      </c>
    </row>
    <row r="467" spans="1:4" x14ac:dyDescent="0.3">
      <c r="A467">
        <v>2</v>
      </c>
      <c r="B467" s="12">
        <f>DATA!T467</f>
        <v>2</v>
      </c>
      <c r="C467" s="12">
        <f>DATA!F467</f>
        <v>41</v>
      </c>
      <c r="D467" s="12">
        <f>DATA!M467</f>
        <v>0</v>
      </c>
    </row>
    <row r="468" spans="1:4" x14ac:dyDescent="0.3">
      <c r="A468">
        <v>1</v>
      </c>
      <c r="B468" s="12">
        <f>DATA!T468</f>
        <v>1</v>
      </c>
      <c r="C468" s="12">
        <f>DATA!F468</f>
        <v>54</v>
      </c>
      <c r="D468" s="12">
        <f>DATA!M468</f>
        <v>1</v>
      </c>
    </row>
    <row r="469" spans="1:4" x14ac:dyDescent="0.3">
      <c r="A469">
        <v>1</v>
      </c>
      <c r="B469" s="12">
        <f>DATA!T469</f>
        <v>2</v>
      </c>
      <c r="C469" s="12">
        <f>DATA!F469</f>
        <v>77</v>
      </c>
      <c r="D469" s="12">
        <f>DATA!M469</f>
        <v>1</v>
      </c>
    </row>
    <row r="470" spans="1:4" x14ac:dyDescent="0.3">
      <c r="A470">
        <v>2</v>
      </c>
      <c r="B470" s="12">
        <f>DATA!T470</f>
        <v>3</v>
      </c>
      <c r="C470" s="12">
        <f>DATA!F470</f>
        <v>52</v>
      </c>
      <c r="D470" s="12">
        <f>DATA!M470</f>
        <v>0</v>
      </c>
    </row>
    <row r="471" spans="1:4" x14ac:dyDescent="0.3">
      <c r="A471">
        <v>2</v>
      </c>
      <c r="B471" s="12">
        <f>DATA!T471</f>
        <v>1</v>
      </c>
      <c r="C471" s="12">
        <f>DATA!F471</f>
        <v>88</v>
      </c>
      <c r="D471" s="12">
        <f>DATA!M471</f>
        <v>0</v>
      </c>
    </row>
    <row r="472" spans="1:4" x14ac:dyDescent="0.3">
      <c r="A472">
        <v>2</v>
      </c>
      <c r="B472" s="12">
        <f>DATA!T472</f>
        <v>1</v>
      </c>
      <c r="C472" s="12">
        <f>DATA!F472</f>
        <v>24</v>
      </c>
      <c r="D472" s="12">
        <f>DATA!M472</f>
        <v>1</v>
      </c>
    </row>
    <row r="473" spans="1:4" x14ac:dyDescent="0.3">
      <c r="A473">
        <v>1</v>
      </c>
      <c r="B473" s="12">
        <f>DATA!T473</f>
        <v>1</v>
      </c>
      <c r="C473" s="12">
        <f>DATA!F473</f>
        <v>35</v>
      </c>
      <c r="D473" s="12">
        <f>DATA!M473</f>
        <v>1</v>
      </c>
    </row>
    <row r="474" spans="1:4" x14ac:dyDescent="0.3">
      <c r="A474">
        <v>1</v>
      </c>
      <c r="B474" s="12">
        <f>DATA!T474</f>
        <v>2</v>
      </c>
      <c r="C474" s="12">
        <f>DATA!F474</f>
        <v>66</v>
      </c>
      <c r="D474" s="12">
        <f>DATA!M474</f>
        <v>0</v>
      </c>
    </row>
    <row r="475" spans="1:4" x14ac:dyDescent="0.3">
      <c r="A475">
        <v>1</v>
      </c>
      <c r="B475" s="12">
        <f>DATA!T475</f>
        <v>3</v>
      </c>
      <c r="C475" s="12">
        <f>DATA!F475</f>
        <v>55</v>
      </c>
      <c r="D475" s="12">
        <f>DATA!M475</f>
        <v>1</v>
      </c>
    </row>
    <row r="476" spans="1:4" x14ac:dyDescent="0.3">
      <c r="A476">
        <v>1</v>
      </c>
      <c r="B476" s="12">
        <f>DATA!T476</f>
        <v>1</v>
      </c>
      <c r="C476" s="12">
        <f>DATA!F476</f>
        <v>18</v>
      </c>
      <c r="D476" s="12">
        <f>DATA!M476</f>
        <v>0</v>
      </c>
    </row>
    <row r="477" spans="1:4" x14ac:dyDescent="0.3">
      <c r="A477">
        <v>1</v>
      </c>
      <c r="B477" s="12">
        <f>DATA!T477</f>
        <v>2</v>
      </c>
      <c r="C477" s="12">
        <f>DATA!F477</f>
        <v>22</v>
      </c>
      <c r="D477" s="12">
        <f>DATA!M477</f>
        <v>0</v>
      </c>
    </row>
    <row r="478" spans="1:4" x14ac:dyDescent="0.3">
      <c r="A478">
        <v>1</v>
      </c>
      <c r="B478" s="12">
        <f>DATA!T478</f>
        <v>1</v>
      </c>
      <c r="C478" s="12">
        <f>DATA!F478</f>
        <v>78</v>
      </c>
      <c r="D478" s="12">
        <f>DATA!M478</f>
        <v>1</v>
      </c>
    </row>
    <row r="479" spans="1:4" x14ac:dyDescent="0.3">
      <c r="A479">
        <v>2</v>
      </c>
      <c r="B479" s="12">
        <f>DATA!T479</f>
        <v>1</v>
      </c>
      <c r="C479" s="12">
        <f>DATA!F479</f>
        <v>28</v>
      </c>
      <c r="D479" s="12">
        <f>DATA!M479</f>
        <v>1</v>
      </c>
    </row>
    <row r="480" spans="1:4" x14ac:dyDescent="0.3">
      <c r="A480">
        <v>1</v>
      </c>
      <c r="B480" s="12">
        <f>DATA!T480</f>
        <v>1</v>
      </c>
      <c r="C480" s="12">
        <f>DATA!F480</f>
        <v>47</v>
      </c>
      <c r="D480" s="12">
        <f>DATA!M480</f>
        <v>0</v>
      </c>
    </row>
    <row r="481" spans="1:4" x14ac:dyDescent="0.3">
      <c r="A481">
        <v>2</v>
      </c>
      <c r="B481" s="12">
        <f>DATA!T481</f>
        <v>1</v>
      </c>
      <c r="C481" s="12">
        <f>DATA!F481</f>
        <v>31</v>
      </c>
      <c r="D481" s="12">
        <f>DATA!M481</f>
        <v>0</v>
      </c>
    </row>
    <row r="482" spans="1:4" x14ac:dyDescent="0.3">
      <c r="A482">
        <v>1</v>
      </c>
      <c r="B482" s="12">
        <f>DATA!T482</f>
        <v>2</v>
      </c>
      <c r="C482" s="12">
        <f>DATA!F482</f>
        <v>37</v>
      </c>
      <c r="D482" s="12">
        <f>DATA!M482</f>
        <v>0</v>
      </c>
    </row>
    <row r="483" spans="1:4" x14ac:dyDescent="0.3">
      <c r="A483">
        <v>1</v>
      </c>
      <c r="B483" s="12">
        <f>DATA!T483</f>
        <v>3</v>
      </c>
      <c r="C483" s="12">
        <f>DATA!F483</f>
        <v>59</v>
      </c>
      <c r="D483" s="12">
        <f>DATA!M483</f>
        <v>0</v>
      </c>
    </row>
    <row r="484" spans="1:4" x14ac:dyDescent="0.3">
      <c r="A484">
        <v>1</v>
      </c>
      <c r="B484" s="12">
        <f>DATA!T484</f>
        <v>3</v>
      </c>
      <c r="C484" s="12">
        <f>DATA!F484</f>
        <v>62</v>
      </c>
      <c r="D484" s="12">
        <f>DATA!M484</f>
        <v>0</v>
      </c>
    </row>
    <row r="485" spans="1:4" x14ac:dyDescent="0.3">
      <c r="A485">
        <v>2</v>
      </c>
      <c r="B485" s="12">
        <f>DATA!T485</f>
        <v>1</v>
      </c>
      <c r="C485" s="12">
        <f>DATA!F485</f>
        <v>69</v>
      </c>
      <c r="D485" s="12">
        <f>DATA!M485</f>
        <v>0</v>
      </c>
    </row>
    <row r="486" spans="1:4" x14ac:dyDescent="0.3">
      <c r="A486">
        <v>1</v>
      </c>
      <c r="B486" s="12">
        <f>DATA!T486</f>
        <v>2</v>
      </c>
      <c r="C486" s="12">
        <f>DATA!F486</f>
        <v>34</v>
      </c>
      <c r="D486" s="12">
        <f>DATA!M486</f>
        <v>1</v>
      </c>
    </row>
    <row r="487" spans="1:4" x14ac:dyDescent="0.3">
      <c r="A487">
        <v>2</v>
      </c>
      <c r="B487" s="12">
        <f>DATA!T487</f>
        <v>3</v>
      </c>
      <c r="C487" s="12">
        <f>DATA!F487</f>
        <v>55</v>
      </c>
      <c r="D487" s="12">
        <f>DATA!M487</f>
        <v>1</v>
      </c>
    </row>
    <row r="488" spans="1:4" x14ac:dyDescent="0.3">
      <c r="A488">
        <v>2</v>
      </c>
      <c r="B488" s="12">
        <f>DATA!T488</f>
        <v>3</v>
      </c>
      <c r="C488" s="12">
        <f>DATA!F488</f>
        <v>32</v>
      </c>
      <c r="D488" s="12">
        <f>DATA!M488</f>
        <v>1</v>
      </c>
    </row>
    <row r="489" spans="1:4" x14ac:dyDescent="0.3">
      <c r="A489">
        <v>1</v>
      </c>
      <c r="B489" s="12">
        <f>DATA!T489</f>
        <v>1</v>
      </c>
      <c r="C489" s="12">
        <f>DATA!F489</f>
        <v>54</v>
      </c>
      <c r="D489" s="12">
        <f>DATA!M489</f>
        <v>0</v>
      </c>
    </row>
    <row r="490" spans="1:4" x14ac:dyDescent="0.3">
      <c r="A490">
        <v>1</v>
      </c>
      <c r="B490" s="12">
        <f>DATA!T490</f>
        <v>1</v>
      </c>
      <c r="C490" s="12">
        <f>DATA!F490</f>
        <v>22</v>
      </c>
      <c r="D490" s="12">
        <f>DATA!M490</f>
        <v>0</v>
      </c>
    </row>
    <row r="491" spans="1:4" x14ac:dyDescent="0.3">
      <c r="A491">
        <v>1</v>
      </c>
      <c r="B491" s="12">
        <f>DATA!T491</f>
        <v>2</v>
      </c>
      <c r="C491" s="12">
        <f>DATA!F491</f>
        <v>65</v>
      </c>
      <c r="D491" s="12">
        <f>DATA!M491</f>
        <v>0</v>
      </c>
    </row>
    <row r="492" spans="1:4" x14ac:dyDescent="0.3">
      <c r="A492">
        <v>2</v>
      </c>
      <c r="B492" s="12">
        <f>DATA!T492</f>
        <v>3</v>
      </c>
      <c r="C492" s="12">
        <f>DATA!F492</f>
        <v>18</v>
      </c>
      <c r="D492" s="12">
        <f>DATA!M492</f>
        <v>1</v>
      </c>
    </row>
    <row r="493" spans="1:4" x14ac:dyDescent="0.3">
      <c r="A493">
        <v>2</v>
      </c>
      <c r="B493" s="12">
        <f>DATA!T493</f>
        <v>1</v>
      </c>
      <c r="C493" s="12">
        <f>DATA!F493</f>
        <v>67</v>
      </c>
      <c r="D493" s="12">
        <f>DATA!M493</f>
        <v>0</v>
      </c>
    </row>
    <row r="494" spans="1:4" x14ac:dyDescent="0.3">
      <c r="A494">
        <v>1</v>
      </c>
      <c r="B494" s="12">
        <f>DATA!T494</f>
        <v>2</v>
      </c>
      <c r="C494" s="12">
        <f>DATA!F494</f>
        <v>55</v>
      </c>
      <c r="D494" s="12">
        <f>DATA!M494</f>
        <v>0</v>
      </c>
    </row>
    <row r="495" spans="1:4" x14ac:dyDescent="0.3">
      <c r="A495">
        <v>1</v>
      </c>
      <c r="B495" s="12">
        <f>DATA!T495</f>
        <v>2</v>
      </c>
      <c r="C495" s="12">
        <f>DATA!F495</f>
        <v>62</v>
      </c>
      <c r="D495" s="12">
        <f>DATA!M495</f>
        <v>0</v>
      </c>
    </row>
    <row r="496" spans="1:4" x14ac:dyDescent="0.3">
      <c r="A496">
        <v>1</v>
      </c>
      <c r="B496" s="12">
        <f>DATA!T496</f>
        <v>2</v>
      </c>
      <c r="C496" s="12">
        <f>DATA!F496</f>
        <v>87</v>
      </c>
      <c r="D496" s="12">
        <f>DATA!M496</f>
        <v>1</v>
      </c>
    </row>
    <row r="497" spans="1:4" x14ac:dyDescent="0.3">
      <c r="A497">
        <v>2</v>
      </c>
      <c r="B497" s="12">
        <f>DATA!T497</f>
        <v>3</v>
      </c>
      <c r="C497" s="12">
        <f>DATA!F497</f>
        <v>34</v>
      </c>
      <c r="D497" s="12">
        <f>DATA!M497</f>
        <v>1</v>
      </c>
    </row>
    <row r="498" spans="1:4" x14ac:dyDescent="0.3">
      <c r="A498">
        <v>2</v>
      </c>
      <c r="B498" s="12">
        <f>DATA!T498</f>
        <v>3</v>
      </c>
      <c r="C498" s="12">
        <f>DATA!F498</f>
        <v>34</v>
      </c>
      <c r="D498" s="12">
        <f>DATA!M498</f>
        <v>0</v>
      </c>
    </row>
    <row r="499" spans="1:4" x14ac:dyDescent="0.3">
      <c r="A499">
        <v>1</v>
      </c>
      <c r="B499" s="12">
        <f>DATA!T499</f>
        <v>3</v>
      </c>
      <c r="C499" s="12">
        <f>DATA!F499</f>
        <v>28</v>
      </c>
      <c r="D499" s="12">
        <f>DATA!M499</f>
        <v>1</v>
      </c>
    </row>
    <row r="500" spans="1:4" x14ac:dyDescent="0.3">
      <c r="A500">
        <v>1</v>
      </c>
      <c r="B500" s="12">
        <f>DATA!T500</f>
        <v>2</v>
      </c>
      <c r="C500" s="12">
        <f>DATA!F500</f>
        <v>23</v>
      </c>
      <c r="D500" s="12">
        <f>DATA!M500</f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0D905-49AC-4544-B4C3-814D2C5D9D5A}">
  <dimension ref="A1:O500"/>
  <sheetViews>
    <sheetView workbookViewId="0">
      <selection activeCell="K22" sqref="K22"/>
    </sheetView>
  </sheetViews>
  <sheetFormatPr defaultRowHeight="14.4" x14ac:dyDescent="0.3"/>
  <cols>
    <col min="1" max="1" width="14.88671875" bestFit="1" customWidth="1"/>
    <col min="2" max="2" width="10.6640625" bestFit="1" customWidth="1"/>
    <col min="3" max="3" width="14.6640625" bestFit="1" customWidth="1"/>
    <col min="7" max="7" width="17.44140625" bestFit="1" customWidth="1"/>
    <col min="8" max="8" width="12.6640625" bestFit="1" customWidth="1"/>
    <col min="9" max="9" width="13.44140625" bestFit="1" customWidth="1"/>
  </cols>
  <sheetData>
    <row r="1" spans="1:12" s="10" customFormat="1" x14ac:dyDescent="0.3">
      <c r="A1" s="10" t="str" cm="1">
        <f t="array" ref="A1:A500">DATA!K1:K500</f>
        <v>IsActiveMember</v>
      </c>
      <c r="B1" s="10" t="str">
        <f>DATA!C1</f>
        <v>CreditScore</v>
      </c>
      <c r="C1" s="10" t="str">
        <f>DATA!I1</f>
        <v>NumOfProducts</v>
      </c>
      <c r="D1" s="10" t="str">
        <f>DATA!M1</f>
        <v>Churn</v>
      </c>
    </row>
    <row r="2" spans="1:12" x14ac:dyDescent="0.3">
      <c r="A2">
        <v>0</v>
      </c>
      <c r="B2">
        <f>DATA!C2</f>
        <v>764</v>
      </c>
      <c r="C2">
        <f>DATA!I2</f>
        <v>3</v>
      </c>
      <c r="D2" s="12">
        <f>DATA!M2</f>
        <v>0</v>
      </c>
    </row>
    <row r="3" spans="1:12" x14ac:dyDescent="0.3">
      <c r="A3">
        <v>1</v>
      </c>
      <c r="B3">
        <f>DATA!C3</f>
        <v>365</v>
      </c>
      <c r="C3">
        <f>DATA!I3</f>
        <v>3</v>
      </c>
      <c r="D3" s="12">
        <f>DATA!M3</f>
        <v>0</v>
      </c>
    </row>
    <row r="4" spans="1:12" x14ac:dyDescent="0.3">
      <c r="A4">
        <v>0</v>
      </c>
      <c r="B4">
        <f>DATA!C4</f>
        <v>519</v>
      </c>
      <c r="C4">
        <f>DATA!I4</f>
        <v>3</v>
      </c>
      <c r="D4" s="12">
        <f>DATA!M4</f>
        <v>0</v>
      </c>
      <c r="G4" t="s">
        <v>63</v>
      </c>
    </row>
    <row r="5" spans="1:12" ht="15" thickBot="1" x14ac:dyDescent="0.35">
      <c r="A5">
        <v>0</v>
      </c>
      <c r="B5">
        <f>DATA!C5</f>
        <v>516</v>
      </c>
      <c r="C5">
        <f>DATA!I5</f>
        <v>1</v>
      </c>
      <c r="D5" s="12">
        <f>DATA!M5</f>
        <v>0</v>
      </c>
    </row>
    <row r="6" spans="1:12" x14ac:dyDescent="0.3">
      <c r="A6">
        <v>1</v>
      </c>
      <c r="B6">
        <f>DATA!C6</f>
        <v>659</v>
      </c>
      <c r="C6">
        <f>DATA!I6</f>
        <v>1</v>
      </c>
      <c r="D6" s="12">
        <f>DATA!M6</f>
        <v>0</v>
      </c>
      <c r="G6" s="15" t="s">
        <v>64</v>
      </c>
      <c r="H6" s="15"/>
    </row>
    <row r="7" spans="1:12" x14ac:dyDescent="0.3">
      <c r="A7">
        <v>0</v>
      </c>
      <c r="B7">
        <f>DATA!C7</f>
        <v>777</v>
      </c>
      <c r="C7">
        <f>DATA!I7</f>
        <v>4</v>
      </c>
      <c r="D7" s="12">
        <f>DATA!M7</f>
        <v>0</v>
      </c>
      <c r="G7" t="s">
        <v>65</v>
      </c>
      <c r="H7" s="4">
        <v>3.9039193019232428E-2</v>
      </c>
    </row>
    <row r="8" spans="1:12" x14ac:dyDescent="0.3">
      <c r="A8">
        <v>0</v>
      </c>
      <c r="B8">
        <f>DATA!C8</f>
        <v>432</v>
      </c>
      <c r="C8">
        <f>DATA!I8</f>
        <v>4</v>
      </c>
      <c r="D8" s="12">
        <f>DATA!M8</f>
        <v>0</v>
      </c>
      <c r="G8" t="s">
        <v>66</v>
      </c>
      <c r="H8" s="17">
        <v>1.5240585915928858E-3</v>
      </c>
    </row>
    <row r="9" spans="1:12" x14ac:dyDescent="0.3">
      <c r="A9">
        <v>1</v>
      </c>
      <c r="B9">
        <f>DATA!C9</f>
        <v>741</v>
      </c>
      <c r="C9">
        <f>DATA!I9</f>
        <v>2</v>
      </c>
      <c r="D9" s="12">
        <f>DATA!M9</f>
        <v>1</v>
      </c>
      <c r="G9" t="s">
        <v>67</v>
      </c>
      <c r="H9" s="4">
        <v>-4.5273107502762488E-3</v>
      </c>
    </row>
    <row r="10" spans="1:12" x14ac:dyDescent="0.3">
      <c r="A10">
        <v>1</v>
      </c>
      <c r="B10">
        <f>DATA!C10</f>
        <v>570</v>
      </c>
      <c r="C10">
        <f>DATA!I10</f>
        <v>2</v>
      </c>
      <c r="D10" s="12">
        <f>DATA!M10</f>
        <v>1</v>
      </c>
      <c r="G10" t="s">
        <v>68</v>
      </c>
      <c r="H10" s="4">
        <v>0.49958950995107188</v>
      </c>
    </row>
    <row r="11" spans="1:12" ht="15" thickBot="1" x14ac:dyDescent="0.35">
      <c r="A11">
        <v>0</v>
      </c>
      <c r="B11">
        <f>DATA!C11</f>
        <v>671</v>
      </c>
      <c r="C11">
        <f>DATA!I11</f>
        <v>2</v>
      </c>
      <c r="D11" s="12">
        <f>DATA!M11</f>
        <v>1</v>
      </c>
      <c r="G11" s="13" t="s">
        <v>69</v>
      </c>
      <c r="H11" s="16">
        <v>499</v>
      </c>
    </row>
    <row r="12" spans="1:12" x14ac:dyDescent="0.3">
      <c r="A12">
        <v>0</v>
      </c>
      <c r="B12">
        <f>DATA!C12</f>
        <v>519</v>
      </c>
      <c r="C12">
        <f>DATA!I12</f>
        <v>3</v>
      </c>
      <c r="D12" s="12">
        <f>DATA!M12</f>
        <v>1</v>
      </c>
    </row>
    <row r="13" spans="1:12" ht="15" thickBot="1" x14ac:dyDescent="0.35">
      <c r="A13">
        <v>0</v>
      </c>
      <c r="B13">
        <f>DATA!C13</f>
        <v>672</v>
      </c>
      <c r="C13">
        <f>DATA!I13</f>
        <v>3</v>
      </c>
      <c r="D13" s="12">
        <f>DATA!M13</f>
        <v>1</v>
      </c>
      <c r="G13" t="s">
        <v>70</v>
      </c>
    </row>
    <row r="14" spans="1:12" x14ac:dyDescent="0.3">
      <c r="A14">
        <v>0</v>
      </c>
      <c r="B14">
        <f>DATA!C14</f>
        <v>464</v>
      </c>
      <c r="C14">
        <f>DATA!I14</f>
        <v>3</v>
      </c>
      <c r="D14" s="12">
        <f>DATA!M14</f>
        <v>0</v>
      </c>
      <c r="G14" s="14"/>
      <c r="H14" s="14" t="s">
        <v>75</v>
      </c>
      <c r="I14" s="14" t="s">
        <v>76</v>
      </c>
      <c r="J14" s="14" t="s">
        <v>77</v>
      </c>
      <c r="K14" s="14" t="s">
        <v>78</v>
      </c>
      <c r="L14" s="14" t="s">
        <v>79</v>
      </c>
    </row>
    <row r="15" spans="1:12" x14ac:dyDescent="0.3">
      <c r="A15">
        <v>0</v>
      </c>
      <c r="B15">
        <f>DATA!C15</f>
        <v>698</v>
      </c>
      <c r="C15">
        <f>DATA!I15</f>
        <v>1</v>
      </c>
      <c r="D15" s="12">
        <f>DATA!M15</f>
        <v>1</v>
      </c>
      <c r="G15" t="s">
        <v>71</v>
      </c>
      <c r="H15" s="4">
        <v>3</v>
      </c>
      <c r="I15" s="4">
        <v>0.18858010757377031</v>
      </c>
      <c r="J15" s="4">
        <v>6.2860035857923435E-2</v>
      </c>
      <c r="K15" s="4">
        <v>0.25185350711416626</v>
      </c>
      <c r="L15" s="4">
        <v>0.86001993917412667</v>
      </c>
    </row>
    <row r="16" spans="1:12" x14ac:dyDescent="0.3">
      <c r="A16">
        <v>0</v>
      </c>
      <c r="B16">
        <f>DATA!C16</f>
        <v>684</v>
      </c>
      <c r="C16">
        <f>DATA!I16</f>
        <v>2</v>
      </c>
      <c r="D16" s="12">
        <f>DATA!M16</f>
        <v>0</v>
      </c>
      <c r="G16" t="s">
        <v>72</v>
      </c>
      <c r="H16" s="4">
        <v>495</v>
      </c>
      <c r="I16" s="4">
        <v>123.54689083431032</v>
      </c>
      <c r="J16" s="4">
        <v>0.24958967845315216</v>
      </c>
      <c r="K16" s="4"/>
      <c r="L16" s="4"/>
    </row>
    <row r="17" spans="1:15" ht="15" thickBot="1" x14ac:dyDescent="0.35">
      <c r="A17">
        <v>1</v>
      </c>
      <c r="B17">
        <f>DATA!C17</f>
        <v>579</v>
      </c>
      <c r="C17">
        <f>DATA!I17</f>
        <v>4</v>
      </c>
      <c r="D17" s="12">
        <f>DATA!M17</f>
        <v>1</v>
      </c>
      <c r="G17" s="13" t="s">
        <v>73</v>
      </c>
      <c r="H17" s="16">
        <v>498</v>
      </c>
      <c r="I17" s="16">
        <v>123.73547094188409</v>
      </c>
      <c r="J17" s="16"/>
      <c r="K17" s="16"/>
      <c r="L17" s="16"/>
    </row>
    <row r="18" spans="1:15" ht="15" thickBot="1" x14ac:dyDescent="0.35">
      <c r="A18">
        <v>0</v>
      </c>
      <c r="B18">
        <f>DATA!C18</f>
        <v>569</v>
      </c>
      <c r="C18">
        <f>DATA!I18</f>
        <v>1</v>
      </c>
      <c r="D18" s="12">
        <f>DATA!M18</f>
        <v>1</v>
      </c>
    </row>
    <row r="19" spans="1:15" x14ac:dyDescent="0.3">
      <c r="A19">
        <v>1</v>
      </c>
      <c r="B19">
        <f>DATA!C19</f>
        <v>596</v>
      </c>
      <c r="C19">
        <f>DATA!I19</f>
        <v>3</v>
      </c>
      <c r="D19" s="12">
        <f>DATA!M19</f>
        <v>0</v>
      </c>
      <c r="G19" s="14"/>
      <c r="H19" s="14" t="s">
        <v>80</v>
      </c>
      <c r="I19" s="14" t="s">
        <v>68</v>
      </c>
      <c r="J19" s="14" t="s">
        <v>81</v>
      </c>
      <c r="K19" s="14" t="s">
        <v>82</v>
      </c>
      <c r="L19" s="14" t="s">
        <v>83</v>
      </c>
      <c r="M19" s="14" t="s">
        <v>84</v>
      </c>
      <c r="N19" s="14" t="s">
        <v>85</v>
      </c>
      <c r="O19" s="14" t="s">
        <v>86</v>
      </c>
    </row>
    <row r="20" spans="1:15" x14ac:dyDescent="0.3">
      <c r="A20">
        <v>1</v>
      </c>
      <c r="B20">
        <f>DATA!C20</f>
        <v>450</v>
      </c>
      <c r="C20">
        <f>DATA!I20</f>
        <v>4</v>
      </c>
      <c r="D20" s="12">
        <f>DATA!M20</f>
        <v>1</v>
      </c>
      <c r="G20" t="s">
        <v>74</v>
      </c>
      <c r="H20" s="4">
        <v>0.62702026872208294</v>
      </c>
      <c r="I20" s="4">
        <v>0.1147287232284092</v>
      </c>
      <c r="J20" s="4">
        <v>5.4652422782895558</v>
      </c>
      <c r="K20" s="4">
        <v>7.3384299226157932E-8</v>
      </c>
      <c r="L20" s="4">
        <v>0.40160494556007931</v>
      </c>
      <c r="M20" s="4">
        <v>0.85243559188408657</v>
      </c>
      <c r="N20" s="4">
        <v>0.40160494556007931</v>
      </c>
      <c r="O20" s="4">
        <v>0.85243559188408657</v>
      </c>
    </row>
    <row r="21" spans="1:15" x14ac:dyDescent="0.3">
      <c r="A21">
        <v>0</v>
      </c>
      <c r="B21">
        <f>DATA!C21</f>
        <v>765</v>
      </c>
      <c r="C21">
        <f>DATA!I21</f>
        <v>2</v>
      </c>
      <c r="D21" s="12">
        <f>DATA!M21</f>
        <v>0</v>
      </c>
      <c r="G21" t="s">
        <v>10</v>
      </c>
      <c r="H21" s="4">
        <v>1.2461558797244789E-2</v>
      </c>
      <c r="I21" s="4">
        <v>4.4871250268271455E-2</v>
      </c>
      <c r="J21" s="4">
        <v>0.27771810954098552</v>
      </c>
      <c r="K21" s="21">
        <v>0.78134471074101852</v>
      </c>
      <c r="L21" s="4">
        <v>-7.5700037490797484E-2</v>
      </c>
      <c r="M21" s="4">
        <v>0.10062315508528707</v>
      </c>
      <c r="N21" s="4">
        <v>-7.5700037490797484E-2</v>
      </c>
      <c r="O21" s="4">
        <v>0.10062315508528707</v>
      </c>
    </row>
    <row r="22" spans="1:15" x14ac:dyDescent="0.3">
      <c r="A22">
        <v>1</v>
      </c>
      <c r="B22">
        <f>DATA!C22</f>
        <v>571</v>
      </c>
      <c r="C22">
        <f>DATA!I22</f>
        <v>1</v>
      </c>
      <c r="D22" s="12">
        <f>DATA!M22</f>
        <v>1</v>
      </c>
      <c r="G22" t="s">
        <v>2</v>
      </c>
      <c r="H22" s="4">
        <v>-1.1270619060485985E-4</v>
      </c>
      <c r="I22" s="4">
        <v>1.6287504359303162E-4</v>
      </c>
      <c r="J22" s="4">
        <v>-0.69197949617421817</v>
      </c>
      <c r="K22" s="21">
        <v>0.48927465336411791</v>
      </c>
      <c r="L22" s="4">
        <v>-4.3271786295176668E-4</v>
      </c>
      <c r="M22" s="4">
        <v>2.0730548174204702E-4</v>
      </c>
      <c r="N22" s="4">
        <v>-4.3271786295176668E-4</v>
      </c>
      <c r="O22" s="4">
        <v>2.0730548174204702E-4</v>
      </c>
    </row>
    <row r="23" spans="1:15" ht="15" thickBot="1" x14ac:dyDescent="0.35">
      <c r="A23">
        <v>0</v>
      </c>
      <c r="B23">
        <f>DATA!C23</f>
        <v>528</v>
      </c>
      <c r="C23">
        <f>DATA!I23</f>
        <v>4</v>
      </c>
      <c r="D23" s="12">
        <f>DATA!M23</f>
        <v>0</v>
      </c>
      <c r="G23" s="13" t="s">
        <v>8</v>
      </c>
      <c r="H23" s="16">
        <v>-8.5498778151066063E-3</v>
      </c>
      <c r="I23" s="16">
        <v>2.0094145778930941E-2</v>
      </c>
      <c r="J23" s="16">
        <v>-0.42549098176003586</v>
      </c>
      <c r="K23" s="20">
        <v>0.67066371706585359</v>
      </c>
      <c r="L23" s="16">
        <v>-4.80302122680967E-2</v>
      </c>
      <c r="M23" s="16">
        <v>3.0930456637883491E-2</v>
      </c>
      <c r="N23" s="16">
        <v>-4.80302122680967E-2</v>
      </c>
      <c r="O23" s="16">
        <v>3.0930456637883491E-2</v>
      </c>
    </row>
    <row r="24" spans="1:15" x14ac:dyDescent="0.3">
      <c r="A24">
        <v>1</v>
      </c>
      <c r="B24">
        <f>DATA!C24</f>
        <v>524</v>
      </c>
      <c r="C24">
        <f>DATA!I24</f>
        <v>4</v>
      </c>
      <c r="D24" s="12">
        <f>DATA!M24</f>
        <v>1</v>
      </c>
    </row>
    <row r="25" spans="1:15" x14ac:dyDescent="0.3">
      <c r="A25">
        <v>0</v>
      </c>
      <c r="B25">
        <f>DATA!C25</f>
        <v>443</v>
      </c>
      <c r="C25">
        <f>DATA!I25</f>
        <v>2</v>
      </c>
      <c r="D25" s="12">
        <f>DATA!M25</f>
        <v>0</v>
      </c>
    </row>
    <row r="26" spans="1:15" x14ac:dyDescent="0.3">
      <c r="A26">
        <v>0</v>
      </c>
      <c r="B26">
        <f>DATA!C26</f>
        <v>464</v>
      </c>
      <c r="C26">
        <f>DATA!I26</f>
        <v>2</v>
      </c>
      <c r="D26" s="12">
        <f>DATA!M26</f>
        <v>0</v>
      </c>
    </row>
    <row r="27" spans="1:15" x14ac:dyDescent="0.3">
      <c r="A27">
        <v>1</v>
      </c>
      <c r="B27">
        <f>DATA!C27</f>
        <v>511</v>
      </c>
      <c r="C27">
        <f>DATA!I27</f>
        <v>2</v>
      </c>
      <c r="D27" s="12">
        <f>DATA!M27</f>
        <v>0</v>
      </c>
    </row>
    <row r="28" spans="1:15" x14ac:dyDescent="0.3">
      <c r="A28">
        <v>1</v>
      </c>
      <c r="B28">
        <f>DATA!C28</f>
        <v>618</v>
      </c>
      <c r="C28">
        <f>DATA!I28</f>
        <v>3</v>
      </c>
      <c r="D28" s="12">
        <f>DATA!M28</f>
        <v>1</v>
      </c>
    </row>
    <row r="29" spans="1:15" x14ac:dyDescent="0.3">
      <c r="A29">
        <v>0</v>
      </c>
      <c r="B29">
        <f>DATA!C29</f>
        <v>574</v>
      </c>
      <c r="C29">
        <f>DATA!I29</f>
        <v>3</v>
      </c>
      <c r="D29" s="12">
        <f>DATA!M29</f>
        <v>0</v>
      </c>
    </row>
    <row r="30" spans="1:15" x14ac:dyDescent="0.3">
      <c r="A30">
        <v>1</v>
      </c>
      <c r="B30">
        <f>DATA!C30</f>
        <v>583</v>
      </c>
      <c r="C30">
        <f>DATA!I30</f>
        <v>2</v>
      </c>
      <c r="D30" s="12">
        <f>DATA!M30</f>
        <v>1</v>
      </c>
    </row>
    <row r="31" spans="1:15" x14ac:dyDescent="0.3">
      <c r="A31">
        <v>0</v>
      </c>
      <c r="B31">
        <f>DATA!C31</f>
        <v>686</v>
      </c>
      <c r="C31">
        <f>DATA!I31</f>
        <v>4</v>
      </c>
      <c r="D31" s="12">
        <f>DATA!M31</f>
        <v>1</v>
      </c>
    </row>
    <row r="32" spans="1:15" x14ac:dyDescent="0.3">
      <c r="A32">
        <v>0</v>
      </c>
      <c r="B32">
        <f>DATA!C32</f>
        <v>416</v>
      </c>
      <c r="C32">
        <f>DATA!I32</f>
        <v>3</v>
      </c>
      <c r="D32" s="12">
        <f>DATA!M32</f>
        <v>1</v>
      </c>
    </row>
    <row r="33" spans="1:4" x14ac:dyDescent="0.3">
      <c r="A33">
        <v>1</v>
      </c>
      <c r="B33">
        <f>DATA!C33</f>
        <v>806</v>
      </c>
      <c r="C33">
        <f>DATA!I33</f>
        <v>4</v>
      </c>
      <c r="D33" s="12">
        <f>DATA!M33</f>
        <v>1</v>
      </c>
    </row>
    <row r="34" spans="1:4" x14ac:dyDescent="0.3">
      <c r="A34">
        <v>1</v>
      </c>
      <c r="B34">
        <f>DATA!C34</f>
        <v>849</v>
      </c>
      <c r="C34">
        <f>DATA!I34</f>
        <v>1</v>
      </c>
      <c r="D34" s="12">
        <f>DATA!M34</f>
        <v>1</v>
      </c>
    </row>
    <row r="35" spans="1:4" x14ac:dyDescent="0.3">
      <c r="A35">
        <v>0</v>
      </c>
      <c r="B35">
        <f>DATA!C35</f>
        <v>475</v>
      </c>
      <c r="C35">
        <f>DATA!I35</f>
        <v>1</v>
      </c>
      <c r="D35" s="12">
        <f>DATA!M35</f>
        <v>0</v>
      </c>
    </row>
    <row r="36" spans="1:4" x14ac:dyDescent="0.3">
      <c r="A36">
        <v>0</v>
      </c>
      <c r="B36">
        <f>DATA!C36</f>
        <v>488</v>
      </c>
      <c r="C36">
        <f>DATA!I36</f>
        <v>1</v>
      </c>
      <c r="D36" s="12">
        <f>DATA!M36</f>
        <v>1</v>
      </c>
    </row>
    <row r="37" spans="1:4" x14ac:dyDescent="0.3">
      <c r="A37">
        <v>0</v>
      </c>
      <c r="B37">
        <f>DATA!C37</f>
        <v>462</v>
      </c>
      <c r="C37">
        <f>DATA!I37</f>
        <v>3</v>
      </c>
      <c r="D37" s="12">
        <f>DATA!M37</f>
        <v>1</v>
      </c>
    </row>
    <row r="38" spans="1:4" x14ac:dyDescent="0.3">
      <c r="A38">
        <v>0</v>
      </c>
      <c r="B38">
        <f>DATA!C38</f>
        <v>568</v>
      </c>
      <c r="C38">
        <f>DATA!I38</f>
        <v>2</v>
      </c>
      <c r="D38" s="12">
        <f>DATA!M38</f>
        <v>0</v>
      </c>
    </row>
    <row r="39" spans="1:4" x14ac:dyDescent="0.3">
      <c r="A39">
        <v>0</v>
      </c>
      <c r="B39">
        <f>DATA!C39</f>
        <v>505</v>
      </c>
      <c r="C39">
        <f>DATA!I39</f>
        <v>1</v>
      </c>
      <c r="D39" s="12">
        <f>DATA!M39</f>
        <v>0</v>
      </c>
    </row>
    <row r="40" spans="1:4" x14ac:dyDescent="0.3">
      <c r="A40">
        <v>0</v>
      </c>
      <c r="B40">
        <f>DATA!C40</f>
        <v>534</v>
      </c>
      <c r="C40">
        <f>DATA!I40</f>
        <v>1</v>
      </c>
      <c r="D40" s="12">
        <f>DATA!M40</f>
        <v>1</v>
      </c>
    </row>
    <row r="41" spans="1:4" x14ac:dyDescent="0.3">
      <c r="A41">
        <v>0</v>
      </c>
      <c r="B41">
        <f>DATA!C41</f>
        <v>470</v>
      </c>
      <c r="C41">
        <f>DATA!I41</f>
        <v>4</v>
      </c>
      <c r="D41" s="12">
        <f>DATA!M41</f>
        <v>0</v>
      </c>
    </row>
    <row r="42" spans="1:4" x14ac:dyDescent="0.3">
      <c r="A42">
        <v>1</v>
      </c>
      <c r="B42">
        <f>DATA!C42</f>
        <v>671</v>
      </c>
      <c r="C42">
        <f>DATA!I42</f>
        <v>3</v>
      </c>
      <c r="D42" s="12">
        <f>DATA!M42</f>
        <v>1</v>
      </c>
    </row>
    <row r="43" spans="1:4" x14ac:dyDescent="0.3">
      <c r="A43">
        <v>0</v>
      </c>
      <c r="B43">
        <f>DATA!C43</f>
        <v>798</v>
      </c>
      <c r="C43">
        <f>DATA!I43</f>
        <v>3</v>
      </c>
      <c r="D43" s="12">
        <f>DATA!M43</f>
        <v>0</v>
      </c>
    </row>
    <row r="44" spans="1:4" x14ac:dyDescent="0.3">
      <c r="A44">
        <v>0</v>
      </c>
      <c r="B44">
        <f>DATA!C44</f>
        <v>547</v>
      </c>
      <c r="C44">
        <f>DATA!I44</f>
        <v>4</v>
      </c>
      <c r="D44" s="12">
        <f>DATA!M44</f>
        <v>1</v>
      </c>
    </row>
    <row r="45" spans="1:4" x14ac:dyDescent="0.3">
      <c r="A45">
        <v>0</v>
      </c>
      <c r="B45">
        <f>DATA!C45</f>
        <v>694</v>
      </c>
      <c r="C45">
        <f>DATA!I45</f>
        <v>3</v>
      </c>
      <c r="D45" s="12">
        <f>DATA!M45</f>
        <v>0</v>
      </c>
    </row>
    <row r="46" spans="1:4" x14ac:dyDescent="0.3">
      <c r="A46">
        <v>0</v>
      </c>
      <c r="B46">
        <f>DATA!C46</f>
        <v>640</v>
      </c>
      <c r="C46">
        <f>DATA!I46</f>
        <v>4</v>
      </c>
      <c r="D46" s="12">
        <f>DATA!M46</f>
        <v>0</v>
      </c>
    </row>
    <row r="47" spans="1:4" x14ac:dyDescent="0.3">
      <c r="A47">
        <v>1</v>
      </c>
      <c r="B47">
        <f>DATA!C47</f>
        <v>813</v>
      </c>
      <c r="C47">
        <f>DATA!I47</f>
        <v>2</v>
      </c>
      <c r="D47" s="12">
        <f>DATA!M47</f>
        <v>1</v>
      </c>
    </row>
    <row r="48" spans="1:4" x14ac:dyDescent="0.3">
      <c r="A48">
        <v>0</v>
      </c>
      <c r="B48">
        <f>DATA!C48</f>
        <v>353</v>
      </c>
      <c r="C48">
        <f>DATA!I48</f>
        <v>4</v>
      </c>
      <c r="D48" s="12">
        <f>DATA!M48</f>
        <v>0</v>
      </c>
    </row>
    <row r="49" spans="1:4" x14ac:dyDescent="0.3">
      <c r="A49">
        <v>1</v>
      </c>
      <c r="B49">
        <f>DATA!C49</f>
        <v>538</v>
      </c>
      <c r="C49">
        <f>DATA!I49</f>
        <v>2</v>
      </c>
      <c r="D49" s="12">
        <f>DATA!M49</f>
        <v>1</v>
      </c>
    </row>
    <row r="50" spans="1:4" x14ac:dyDescent="0.3">
      <c r="A50">
        <v>1</v>
      </c>
      <c r="B50">
        <f>DATA!C50</f>
        <v>588</v>
      </c>
      <c r="C50">
        <f>DATA!I50</f>
        <v>3</v>
      </c>
      <c r="D50" s="12">
        <f>DATA!M50</f>
        <v>1</v>
      </c>
    </row>
    <row r="51" spans="1:4" x14ac:dyDescent="0.3">
      <c r="A51">
        <v>1</v>
      </c>
      <c r="B51">
        <f>DATA!C51</f>
        <v>515</v>
      </c>
      <c r="C51">
        <f>DATA!I51</f>
        <v>1</v>
      </c>
      <c r="D51" s="12">
        <f>DATA!M51</f>
        <v>0</v>
      </c>
    </row>
    <row r="52" spans="1:4" x14ac:dyDescent="0.3">
      <c r="A52">
        <v>1</v>
      </c>
      <c r="B52">
        <f>DATA!C52</f>
        <v>521</v>
      </c>
      <c r="C52">
        <f>DATA!I52</f>
        <v>3</v>
      </c>
      <c r="D52" s="12">
        <f>DATA!M52</f>
        <v>1</v>
      </c>
    </row>
    <row r="53" spans="1:4" x14ac:dyDescent="0.3">
      <c r="A53">
        <v>1</v>
      </c>
      <c r="B53">
        <f>DATA!C53</f>
        <v>561</v>
      </c>
      <c r="C53">
        <f>DATA!I53</f>
        <v>1</v>
      </c>
      <c r="D53" s="12">
        <f>DATA!M53</f>
        <v>0</v>
      </c>
    </row>
    <row r="54" spans="1:4" x14ac:dyDescent="0.3">
      <c r="A54">
        <v>1</v>
      </c>
      <c r="B54">
        <f>DATA!C54</f>
        <v>694</v>
      </c>
      <c r="C54">
        <f>DATA!I54</f>
        <v>3</v>
      </c>
      <c r="D54" s="12">
        <f>DATA!M54</f>
        <v>0</v>
      </c>
    </row>
    <row r="55" spans="1:4" x14ac:dyDescent="0.3">
      <c r="A55">
        <v>1</v>
      </c>
      <c r="B55">
        <f>DATA!C55</f>
        <v>420</v>
      </c>
      <c r="C55">
        <f>DATA!I55</f>
        <v>4</v>
      </c>
      <c r="D55" s="12">
        <f>DATA!M55</f>
        <v>1</v>
      </c>
    </row>
    <row r="56" spans="1:4" x14ac:dyDescent="0.3">
      <c r="A56">
        <v>1</v>
      </c>
      <c r="B56">
        <f>DATA!C56</f>
        <v>498</v>
      </c>
      <c r="C56">
        <f>DATA!I56</f>
        <v>4</v>
      </c>
      <c r="D56" s="12">
        <f>DATA!M56</f>
        <v>0</v>
      </c>
    </row>
    <row r="57" spans="1:4" x14ac:dyDescent="0.3">
      <c r="A57">
        <v>1</v>
      </c>
      <c r="B57">
        <f>DATA!C57</f>
        <v>740</v>
      </c>
      <c r="C57">
        <f>DATA!I57</f>
        <v>2</v>
      </c>
      <c r="D57" s="12">
        <f>DATA!M57</f>
        <v>1</v>
      </c>
    </row>
    <row r="58" spans="1:4" x14ac:dyDescent="0.3">
      <c r="A58">
        <v>0</v>
      </c>
      <c r="B58">
        <f>DATA!C58</f>
        <v>634</v>
      </c>
      <c r="C58">
        <f>DATA!I58</f>
        <v>4</v>
      </c>
      <c r="D58" s="12">
        <f>DATA!M58</f>
        <v>1</v>
      </c>
    </row>
    <row r="59" spans="1:4" x14ac:dyDescent="0.3">
      <c r="A59">
        <v>0</v>
      </c>
      <c r="B59">
        <f>DATA!C59</f>
        <v>465</v>
      </c>
      <c r="C59">
        <f>DATA!I59</f>
        <v>1</v>
      </c>
      <c r="D59" s="12">
        <f>DATA!M59</f>
        <v>1</v>
      </c>
    </row>
    <row r="60" spans="1:4" x14ac:dyDescent="0.3">
      <c r="A60">
        <v>1</v>
      </c>
      <c r="B60">
        <f>DATA!C60</f>
        <v>740</v>
      </c>
      <c r="C60">
        <f>DATA!I60</f>
        <v>4</v>
      </c>
      <c r="D60" s="12">
        <f>DATA!M60</f>
        <v>0</v>
      </c>
    </row>
    <row r="61" spans="1:4" x14ac:dyDescent="0.3">
      <c r="A61">
        <v>1</v>
      </c>
      <c r="B61">
        <f>DATA!C61</f>
        <v>672</v>
      </c>
      <c r="C61">
        <f>DATA!I61</f>
        <v>2</v>
      </c>
      <c r="D61" s="12">
        <f>DATA!M61</f>
        <v>1</v>
      </c>
    </row>
    <row r="62" spans="1:4" x14ac:dyDescent="0.3">
      <c r="A62">
        <v>1</v>
      </c>
      <c r="B62">
        <f>DATA!C62</f>
        <v>442</v>
      </c>
      <c r="C62">
        <f>DATA!I62</f>
        <v>1</v>
      </c>
      <c r="D62" s="12">
        <f>DATA!M62</f>
        <v>0</v>
      </c>
    </row>
    <row r="63" spans="1:4" x14ac:dyDescent="0.3">
      <c r="A63">
        <v>0</v>
      </c>
      <c r="B63">
        <f>DATA!C63</f>
        <v>826</v>
      </c>
      <c r="C63">
        <f>DATA!I63</f>
        <v>1</v>
      </c>
      <c r="D63" s="12">
        <f>DATA!M63</f>
        <v>1</v>
      </c>
    </row>
    <row r="64" spans="1:4" x14ac:dyDescent="0.3">
      <c r="A64">
        <v>0</v>
      </c>
      <c r="B64">
        <f>DATA!C64</f>
        <v>452</v>
      </c>
      <c r="C64">
        <f>DATA!I64</f>
        <v>3</v>
      </c>
      <c r="D64" s="12">
        <f>DATA!M64</f>
        <v>1</v>
      </c>
    </row>
    <row r="65" spans="1:4" x14ac:dyDescent="0.3">
      <c r="A65">
        <v>1</v>
      </c>
      <c r="B65">
        <f>DATA!C65</f>
        <v>707</v>
      </c>
      <c r="C65">
        <f>DATA!I65</f>
        <v>1</v>
      </c>
      <c r="D65" s="12">
        <f>DATA!M65</f>
        <v>0</v>
      </c>
    </row>
    <row r="66" spans="1:4" x14ac:dyDescent="0.3">
      <c r="A66">
        <v>1</v>
      </c>
      <c r="B66">
        <f>DATA!C66</f>
        <v>729</v>
      </c>
      <c r="C66">
        <f>DATA!I66</f>
        <v>4</v>
      </c>
      <c r="D66" s="12">
        <f>DATA!M66</f>
        <v>1</v>
      </c>
    </row>
    <row r="67" spans="1:4" x14ac:dyDescent="0.3">
      <c r="A67">
        <v>0</v>
      </c>
      <c r="B67">
        <f>DATA!C67</f>
        <v>547</v>
      </c>
      <c r="C67">
        <f>DATA!I67</f>
        <v>3</v>
      </c>
      <c r="D67" s="12">
        <f>DATA!M67</f>
        <v>0</v>
      </c>
    </row>
    <row r="68" spans="1:4" x14ac:dyDescent="0.3">
      <c r="A68">
        <v>1</v>
      </c>
      <c r="B68">
        <f>DATA!C68</f>
        <v>459</v>
      </c>
      <c r="C68">
        <f>DATA!I68</f>
        <v>2</v>
      </c>
      <c r="D68" s="12">
        <f>DATA!M68</f>
        <v>1</v>
      </c>
    </row>
    <row r="69" spans="1:4" x14ac:dyDescent="0.3">
      <c r="A69">
        <v>0</v>
      </c>
      <c r="B69">
        <f>DATA!C69</f>
        <v>679</v>
      </c>
      <c r="C69">
        <f>DATA!I69</f>
        <v>3</v>
      </c>
      <c r="D69" s="12">
        <f>DATA!M69</f>
        <v>0</v>
      </c>
    </row>
    <row r="70" spans="1:4" x14ac:dyDescent="0.3">
      <c r="A70">
        <v>1</v>
      </c>
      <c r="B70">
        <f>DATA!C70</f>
        <v>532</v>
      </c>
      <c r="C70">
        <f>DATA!I70</f>
        <v>2</v>
      </c>
      <c r="D70" s="12">
        <f>DATA!M70</f>
        <v>1</v>
      </c>
    </row>
    <row r="71" spans="1:4" x14ac:dyDescent="0.3">
      <c r="A71">
        <v>0</v>
      </c>
      <c r="B71">
        <f>DATA!C71</f>
        <v>683</v>
      </c>
      <c r="C71">
        <f>DATA!I71</f>
        <v>3</v>
      </c>
      <c r="D71" s="12">
        <f>DATA!M71</f>
        <v>1</v>
      </c>
    </row>
    <row r="72" spans="1:4" x14ac:dyDescent="0.3">
      <c r="A72">
        <v>0</v>
      </c>
      <c r="B72">
        <f>DATA!C72</f>
        <v>755</v>
      </c>
      <c r="C72">
        <f>DATA!I72</f>
        <v>1</v>
      </c>
      <c r="D72" s="12">
        <f>DATA!M72</f>
        <v>1</v>
      </c>
    </row>
    <row r="73" spans="1:4" x14ac:dyDescent="0.3">
      <c r="A73">
        <v>0</v>
      </c>
      <c r="B73">
        <f>DATA!C73</f>
        <v>509</v>
      </c>
      <c r="C73">
        <f>DATA!I73</f>
        <v>4</v>
      </c>
      <c r="D73" s="12">
        <f>DATA!M73</f>
        <v>0</v>
      </c>
    </row>
    <row r="74" spans="1:4" x14ac:dyDescent="0.3">
      <c r="A74">
        <v>0</v>
      </c>
      <c r="B74">
        <f>DATA!C74</f>
        <v>431</v>
      </c>
      <c r="C74">
        <f>DATA!I74</f>
        <v>2</v>
      </c>
      <c r="D74" s="12">
        <f>DATA!M74</f>
        <v>0</v>
      </c>
    </row>
    <row r="75" spans="1:4" x14ac:dyDescent="0.3">
      <c r="A75">
        <v>1</v>
      </c>
      <c r="B75">
        <f>DATA!C75</f>
        <v>385</v>
      </c>
      <c r="C75">
        <f>DATA!I75</f>
        <v>1</v>
      </c>
      <c r="D75" s="12">
        <f>DATA!M75</f>
        <v>0</v>
      </c>
    </row>
    <row r="76" spans="1:4" x14ac:dyDescent="0.3">
      <c r="A76">
        <v>0</v>
      </c>
      <c r="B76">
        <f>DATA!C76</f>
        <v>587</v>
      </c>
      <c r="C76">
        <f>DATA!I76</f>
        <v>2</v>
      </c>
      <c r="D76" s="12">
        <f>DATA!M76</f>
        <v>0</v>
      </c>
    </row>
    <row r="77" spans="1:4" x14ac:dyDescent="0.3">
      <c r="A77">
        <v>1</v>
      </c>
      <c r="B77">
        <f>DATA!C77</f>
        <v>593</v>
      </c>
      <c r="C77">
        <f>DATA!I77</f>
        <v>4</v>
      </c>
      <c r="D77" s="12">
        <f>DATA!M77</f>
        <v>0</v>
      </c>
    </row>
    <row r="78" spans="1:4" x14ac:dyDescent="0.3">
      <c r="A78">
        <v>0</v>
      </c>
      <c r="B78">
        <f>DATA!C78</f>
        <v>600</v>
      </c>
      <c r="C78">
        <f>DATA!I78</f>
        <v>2</v>
      </c>
      <c r="D78" s="12">
        <f>DATA!M78</f>
        <v>0</v>
      </c>
    </row>
    <row r="79" spans="1:4" x14ac:dyDescent="0.3">
      <c r="A79">
        <v>1</v>
      </c>
      <c r="B79">
        <f>DATA!C79</f>
        <v>742</v>
      </c>
      <c r="C79">
        <f>DATA!I79</f>
        <v>2</v>
      </c>
      <c r="D79" s="12">
        <f>DATA!M79</f>
        <v>0</v>
      </c>
    </row>
    <row r="80" spans="1:4" x14ac:dyDescent="0.3">
      <c r="A80">
        <v>0</v>
      </c>
      <c r="B80">
        <f>DATA!C80</f>
        <v>604</v>
      </c>
      <c r="C80">
        <f>DATA!I80</f>
        <v>3</v>
      </c>
      <c r="D80" s="12">
        <f>DATA!M80</f>
        <v>1</v>
      </c>
    </row>
    <row r="81" spans="1:4" x14ac:dyDescent="0.3">
      <c r="A81">
        <v>0</v>
      </c>
      <c r="B81">
        <f>DATA!C81</f>
        <v>631</v>
      </c>
      <c r="C81">
        <f>DATA!I81</f>
        <v>3</v>
      </c>
      <c r="D81" s="12">
        <f>DATA!M81</f>
        <v>0</v>
      </c>
    </row>
    <row r="82" spans="1:4" x14ac:dyDescent="0.3">
      <c r="A82">
        <v>0</v>
      </c>
      <c r="B82">
        <f>DATA!C82</f>
        <v>371</v>
      </c>
      <c r="C82">
        <f>DATA!I82</f>
        <v>2</v>
      </c>
      <c r="D82" s="12">
        <f>DATA!M82</f>
        <v>0</v>
      </c>
    </row>
    <row r="83" spans="1:4" x14ac:dyDescent="0.3">
      <c r="A83">
        <v>1</v>
      </c>
      <c r="B83">
        <f>DATA!C83</f>
        <v>779</v>
      </c>
      <c r="C83">
        <f>DATA!I83</f>
        <v>4</v>
      </c>
      <c r="D83" s="12">
        <f>DATA!M83</f>
        <v>1</v>
      </c>
    </row>
    <row r="84" spans="1:4" x14ac:dyDescent="0.3">
      <c r="A84">
        <v>1</v>
      </c>
      <c r="B84">
        <f>DATA!C84</f>
        <v>579</v>
      </c>
      <c r="C84">
        <f>DATA!I84</f>
        <v>3</v>
      </c>
      <c r="D84" s="12">
        <f>DATA!M84</f>
        <v>1</v>
      </c>
    </row>
    <row r="85" spans="1:4" x14ac:dyDescent="0.3">
      <c r="A85">
        <v>0</v>
      </c>
      <c r="B85">
        <f>DATA!C85</f>
        <v>820</v>
      </c>
      <c r="C85">
        <f>DATA!I85</f>
        <v>3</v>
      </c>
      <c r="D85" s="12">
        <f>DATA!M85</f>
        <v>0</v>
      </c>
    </row>
    <row r="86" spans="1:4" x14ac:dyDescent="0.3">
      <c r="A86">
        <v>1</v>
      </c>
      <c r="B86">
        <f>DATA!C86</f>
        <v>750</v>
      </c>
      <c r="C86">
        <f>DATA!I86</f>
        <v>2</v>
      </c>
      <c r="D86" s="12">
        <f>DATA!M86</f>
        <v>0</v>
      </c>
    </row>
    <row r="87" spans="1:4" x14ac:dyDescent="0.3">
      <c r="A87">
        <v>0</v>
      </c>
      <c r="B87">
        <f>DATA!C87</f>
        <v>503</v>
      </c>
      <c r="C87">
        <f>DATA!I87</f>
        <v>2</v>
      </c>
      <c r="D87" s="12">
        <f>DATA!M87</f>
        <v>1</v>
      </c>
    </row>
    <row r="88" spans="1:4" x14ac:dyDescent="0.3">
      <c r="A88">
        <v>0</v>
      </c>
      <c r="B88">
        <f>DATA!C88</f>
        <v>844</v>
      </c>
      <c r="C88">
        <f>DATA!I88</f>
        <v>4</v>
      </c>
      <c r="D88" s="12">
        <f>DATA!M88</f>
        <v>0</v>
      </c>
    </row>
    <row r="89" spans="1:4" x14ac:dyDescent="0.3">
      <c r="A89">
        <v>0</v>
      </c>
      <c r="B89">
        <f>DATA!C89</f>
        <v>469</v>
      </c>
      <c r="C89">
        <f>DATA!I89</f>
        <v>3</v>
      </c>
      <c r="D89" s="12">
        <f>DATA!M89</f>
        <v>1</v>
      </c>
    </row>
    <row r="90" spans="1:4" x14ac:dyDescent="0.3">
      <c r="A90">
        <v>0</v>
      </c>
      <c r="B90">
        <f>DATA!C90</f>
        <v>515</v>
      </c>
      <c r="C90">
        <f>DATA!I90</f>
        <v>3</v>
      </c>
      <c r="D90" s="12">
        <f>DATA!M90</f>
        <v>1</v>
      </c>
    </row>
    <row r="91" spans="1:4" x14ac:dyDescent="0.3">
      <c r="A91">
        <v>1</v>
      </c>
      <c r="B91">
        <f>DATA!C91</f>
        <v>733</v>
      </c>
      <c r="C91">
        <f>DATA!I91</f>
        <v>2</v>
      </c>
      <c r="D91" s="12">
        <f>DATA!M91</f>
        <v>0</v>
      </c>
    </row>
    <row r="92" spans="1:4" x14ac:dyDescent="0.3">
      <c r="A92">
        <v>0</v>
      </c>
      <c r="B92">
        <f>DATA!C92</f>
        <v>735</v>
      </c>
      <c r="C92">
        <f>DATA!I92</f>
        <v>3</v>
      </c>
      <c r="D92" s="12">
        <f>DATA!M92</f>
        <v>0</v>
      </c>
    </row>
    <row r="93" spans="1:4" x14ac:dyDescent="0.3">
      <c r="A93">
        <v>1</v>
      </c>
      <c r="B93">
        <f>DATA!C93</f>
        <v>739</v>
      </c>
      <c r="C93">
        <f>DATA!I93</f>
        <v>2</v>
      </c>
      <c r="D93" s="12">
        <f>DATA!M93</f>
        <v>1</v>
      </c>
    </row>
    <row r="94" spans="1:4" x14ac:dyDescent="0.3">
      <c r="A94">
        <v>0</v>
      </c>
      <c r="B94">
        <f>DATA!C94</f>
        <v>548</v>
      </c>
      <c r="C94">
        <f>DATA!I94</f>
        <v>1</v>
      </c>
      <c r="D94" s="12">
        <f>DATA!M94</f>
        <v>0</v>
      </c>
    </row>
    <row r="95" spans="1:4" x14ac:dyDescent="0.3">
      <c r="A95">
        <v>0</v>
      </c>
      <c r="B95">
        <f>DATA!C95</f>
        <v>746</v>
      </c>
      <c r="C95">
        <f>DATA!I95</f>
        <v>2</v>
      </c>
      <c r="D95" s="12">
        <f>DATA!M95</f>
        <v>0</v>
      </c>
    </row>
    <row r="96" spans="1:4" x14ac:dyDescent="0.3">
      <c r="A96">
        <v>1</v>
      </c>
      <c r="B96">
        <f>DATA!C96</f>
        <v>696</v>
      </c>
      <c r="C96">
        <f>DATA!I96</f>
        <v>2</v>
      </c>
      <c r="D96" s="12">
        <f>DATA!M96</f>
        <v>1</v>
      </c>
    </row>
    <row r="97" spans="1:4" x14ac:dyDescent="0.3">
      <c r="A97">
        <v>1</v>
      </c>
      <c r="B97">
        <f>DATA!C97</f>
        <v>424</v>
      </c>
      <c r="C97">
        <f>DATA!I97</f>
        <v>2</v>
      </c>
      <c r="D97" s="12">
        <f>DATA!M97</f>
        <v>1</v>
      </c>
    </row>
    <row r="98" spans="1:4" x14ac:dyDescent="0.3">
      <c r="A98">
        <v>1</v>
      </c>
      <c r="B98">
        <f>DATA!C98</f>
        <v>788</v>
      </c>
      <c r="C98">
        <f>DATA!I98</f>
        <v>1</v>
      </c>
      <c r="D98" s="12">
        <f>DATA!M98</f>
        <v>0</v>
      </c>
    </row>
    <row r="99" spans="1:4" x14ac:dyDescent="0.3">
      <c r="A99">
        <v>0</v>
      </c>
      <c r="B99">
        <f>DATA!C99</f>
        <v>428</v>
      </c>
      <c r="C99">
        <f>DATA!I99</f>
        <v>2</v>
      </c>
      <c r="D99" s="12">
        <f>DATA!M99</f>
        <v>0</v>
      </c>
    </row>
    <row r="100" spans="1:4" x14ac:dyDescent="0.3">
      <c r="A100">
        <v>0</v>
      </c>
      <c r="B100">
        <f>DATA!C100</f>
        <v>668</v>
      </c>
      <c r="C100">
        <f>DATA!I100</f>
        <v>2</v>
      </c>
      <c r="D100" s="12">
        <f>DATA!M100</f>
        <v>1</v>
      </c>
    </row>
    <row r="101" spans="1:4" x14ac:dyDescent="0.3">
      <c r="A101">
        <v>0</v>
      </c>
      <c r="B101">
        <f>DATA!C101</f>
        <v>422</v>
      </c>
      <c r="C101">
        <f>DATA!I101</f>
        <v>2</v>
      </c>
      <c r="D101" s="12">
        <f>DATA!M101</f>
        <v>1</v>
      </c>
    </row>
    <row r="102" spans="1:4" x14ac:dyDescent="0.3">
      <c r="A102">
        <v>1</v>
      </c>
      <c r="B102">
        <f>DATA!C102</f>
        <v>549</v>
      </c>
      <c r="C102">
        <f>DATA!I102</f>
        <v>1</v>
      </c>
      <c r="D102" s="12">
        <f>DATA!M102</f>
        <v>0</v>
      </c>
    </row>
    <row r="103" spans="1:4" x14ac:dyDescent="0.3">
      <c r="A103">
        <v>0</v>
      </c>
      <c r="B103">
        <f>DATA!C103</f>
        <v>651</v>
      </c>
      <c r="C103">
        <f>DATA!I103</f>
        <v>1</v>
      </c>
      <c r="D103" s="12">
        <f>DATA!M103</f>
        <v>0</v>
      </c>
    </row>
    <row r="104" spans="1:4" x14ac:dyDescent="0.3">
      <c r="A104">
        <v>1</v>
      </c>
      <c r="B104">
        <f>DATA!C104</f>
        <v>483</v>
      </c>
      <c r="C104">
        <f>DATA!I104</f>
        <v>4</v>
      </c>
      <c r="D104" s="12">
        <f>DATA!M104</f>
        <v>1</v>
      </c>
    </row>
    <row r="105" spans="1:4" x14ac:dyDescent="0.3">
      <c r="A105">
        <v>0</v>
      </c>
      <c r="B105">
        <f>DATA!C105</f>
        <v>397</v>
      </c>
      <c r="C105">
        <f>DATA!I105</f>
        <v>3</v>
      </c>
      <c r="D105" s="12">
        <f>DATA!M105</f>
        <v>1</v>
      </c>
    </row>
    <row r="106" spans="1:4" x14ac:dyDescent="0.3">
      <c r="A106">
        <v>1</v>
      </c>
      <c r="B106">
        <f>DATA!C106</f>
        <v>537</v>
      </c>
      <c r="C106">
        <f>DATA!I106</f>
        <v>1</v>
      </c>
      <c r="D106" s="12">
        <f>DATA!M106</f>
        <v>1</v>
      </c>
    </row>
    <row r="107" spans="1:4" x14ac:dyDescent="0.3">
      <c r="A107">
        <v>0</v>
      </c>
      <c r="B107">
        <f>DATA!C107</f>
        <v>520</v>
      </c>
      <c r="C107">
        <f>DATA!I107</f>
        <v>2</v>
      </c>
      <c r="D107" s="12">
        <f>DATA!M107</f>
        <v>1</v>
      </c>
    </row>
    <row r="108" spans="1:4" x14ac:dyDescent="0.3">
      <c r="A108">
        <v>0</v>
      </c>
      <c r="B108">
        <f>DATA!C108</f>
        <v>801</v>
      </c>
      <c r="C108">
        <f>DATA!I108</f>
        <v>2</v>
      </c>
      <c r="D108" s="12">
        <f>DATA!M108</f>
        <v>0</v>
      </c>
    </row>
    <row r="109" spans="1:4" x14ac:dyDescent="0.3">
      <c r="A109">
        <v>1</v>
      </c>
      <c r="B109">
        <f>DATA!C109</f>
        <v>488</v>
      </c>
      <c r="C109">
        <f>DATA!I109</f>
        <v>4</v>
      </c>
      <c r="D109" s="12">
        <f>DATA!M109</f>
        <v>1</v>
      </c>
    </row>
    <row r="110" spans="1:4" x14ac:dyDescent="0.3">
      <c r="A110">
        <v>0</v>
      </c>
      <c r="B110">
        <f>DATA!C110</f>
        <v>592</v>
      </c>
      <c r="C110">
        <f>DATA!I110</f>
        <v>3</v>
      </c>
      <c r="D110" s="12">
        <f>DATA!M110</f>
        <v>0</v>
      </c>
    </row>
    <row r="111" spans="1:4" x14ac:dyDescent="0.3">
      <c r="A111">
        <v>0</v>
      </c>
      <c r="B111">
        <f>DATA!C111</f>
        <v>663</v>
      </c>
      <c r="C111">
        <f>DATA!I111</f>
        <v>4</v>
      </c>
      <c r="D111" s="12">
        <f>DATA!M111</f>
        <v>1</v>
      </c>
    </row>
    <row r="112" spans="1:4" x14ac:dyDescent="0.3">
      <c r="A112">
        <v>1</v>
      </c>
      <c r="B112">
        <f>DATA!C112</f>
        <v>825</v>
      </c>
      <c r="C112">
        <f>DATA!I112</f>
        <v>3</v>
      </c>
      <c r="D112" s="12">
        <f>DATA!M112</f>
        <v>0</v>
      </c>
    </row>
    <row r="113" spans="1:4" x14ac:dyDescent="0.3">
      <c r="A113">
        <v>0</v>
      </c>
      <c r="B113">
        <f>DATA!C113</f>
        <v>695</v>
      </c>
      <c r="C113">
        <f>DATA!I113</f>
        <v>2</v>
      </c>
      <c r="D113" s="12">
        <f>DATA!M113</f>
        <v>0</v>
      </c>
    </row>
    <row r="114" spans="1:4" x14ac:dyDescent="0.3">
      <c r="A114">
        <v>1</v>
      </c>
      <c r="B114">
        <f>DATA!C114</f>
        <v>737</v>
      </c>
      <c r="C114">
        <f>DATA!I114</f>
        <v>4</v>
      </c>
      <c r="D114" s="12">
        <f>DATA!M114</f>
        <v>0</v>
      </c>
    </row>
    <row r="115" spans="1:4" x14ac:dyDescent="0.3">
      <c r="A115">
        <v>1</v>
      </c>
      <c r="B115">
        <f>DATA!C115</f>
        <v>475</v>
      </c>
      <c r="C115">
        <f>DATA!I115</f>
        <v>3</v>
      </c>
      <c r="D115" s="12">
        <f>DATA!M115</f>
        <v>0</v>
      </c>
    </row>
    <row r="116" spans="1:4" x14ac:dyDescent="0.3">
      <c r="A116">
        <v>0</v>
      </c>
      <c r="B116">
        <f>DATA!C116</f>
        <v>556</v>
      </c>
      <c r="C116">
        <f>DATA!I116</f>
        <v>1</v>
      </c>
      <c r="D116" s="12">
        <f>DATA!M116</f>
        <v>1</v>
      </c>
    </row>
    <row r="117" spans="1:4" x14ac:dyDescent="0.3">
      <c r="A117">
        <v>0</v>
      </c>
      <c r="B117">
        <f>DATA!C117</f>
        <v>688</v>
      </c>
      <c r="C117">
        <f>DATA!I117</f>
        <v>4</v>
      </c>
      <c r="D117" s="12">
        <f>DATA!M117</f>
        <v>1</v>
      </c>
    </row>
    <row r="118" spans="1:4" x14ac:dyDescent="0.3">
      <c r="A118">
        <v>1</v>
      </c>
      <c r="B118">
        <f>DATA!C118</f>
        <v>547</v>
      </c>
      <c r="C118">
        <f>DATA!I118</f>
        <v>2</v>
      </c>
      <c r="D118" s="12">
        <f>DATA!M118</f>
        <v>1</v>
      </c>
    </row>
    <row r="119" spans="1:4" x14ac:dyDescent="0.3">
      <c r="A119">
        <v>1</v>
      </c>
      <c r="B119">
        <f>DATA!C119</f>
        <v>536</v>
      </c>
      <c r="C119">
        <f>DATA!I119</f>
        <v>4</v>
      </c>
      <c r="D119" s="12">
        <f>DATA!M119</f>
        <v>0</v>
      </c>
    </row>
    <row r="120" spans="1:4" x14ac:dyDescent="0.3">
      <c r="A120">
        <v>0</v>
      </c>
      <c r="B120">
        <f>DATA!C120</f>
        <v>738</v>
      </c>
      <c r="C120">
        <f>DATA!I120</f>
        <v>2</v>
      </c>
      <c r="D120" s="12">
        <f>DATA!M120</f>
        <v>0</v>
      </c>
    </row>
    <row r="121" spans="1:4" x14ac:dyDescent="0.3">
      <c r="A121">
        <v>0</v>
      </c>
      <c r="B121">
        <f>DATA!C121</f>
        <v>367</v>
      </c>
      <c r="C121">
        <f>DATA!I121</f>
        <v>1</v>
      </c>
      <c r="D121" s="12">
        <f>DATA!M121</f>
        <v>1</v>
      </c>
    </row>
    <row r="122" spans="1:4" x14ac:dyDescent="0.3">
      <c r="A122">
        <v>0</v>
      </c>
      <c r="B122">
        <f>DATA!C122</f>
        <v>547</v>
      </c>
      <c r="C122">
        <f>DATA!I122</f>
        <v>2</v>
      </c>
      <c r="D122" s="12">
        <f>DATA!M122</f>
        <v>1</v>
      </c>
    </row>
    <row r="123" spans="1:4" x14ac:dyDescent="0.3">
      <c r="A123">
        <v>1</v>
      </c>
      <c r="B123">
        <f>DATA!C123</f>
        <v>797</v>
      </c>
      <c r="C123">
        <f>DATA!I123</f>
        <v>2</v>
      </c>
      <c r="D123" s="12">
        <f>DATA!M123</f>
        <v>0</v>
      </c>
    </row>
    <row r="124" spans="1:4" x14ac:dyDescent="0.3">
      <c r="A124">
        <v>1</v>
      </c>
      <c r="B124">
        <f>DATA!C124</f>
        <v>700</v>
      </c>
      <c r="C124">
        <f>DATA!I124</f>
        <v>1</v>
      </c>
      <c r="D124" s="12">
        <f>DATA!M124</f>
        <v>1</v>
      </c>
    </row>
    <row r="125" spans="1:4" x14ac:dyDescent="0.3">
      <c r="A125">
        <v>1</v>
      </c>
      <c r="B125">
        <f>DATA!C125</f>
        <v>502</v>
      </c>
      <c r="C125">
        <f>DATA!I125</f>
        <v>3</v>
      </c>
      <c r="D125" s="12">
        <f>DATA!M125</f>
        <v>1</v>
      </c>
    </row>
    <row r="126" spans="1:4" x14ac:dyDescent="0.3">
      <c r="A126">
        <v>0</v>
      </c>
      <c r="B126">
        <f>DATA!C126</f>
        <v>481</v>
      </c>
      <c r="C126">
        <f>DATA!I126</f>
        <v>2</v>
      </c>
      <c r="D126" s="12">
        <f>DATA!M126</f>
        <v>0</v>
      </c>
    </row>
    <row r="127" spans="1:4" x14ac:dyDescent="0.3">
      <c r="A127">
        <v>1</v>
      </c>
      <c r="B127">
        <f>DATA!C127</f>
        <v>675</v>
      </c>
      <c r="C127">
        <f>DATA!I127</f>
        <v>1</v>
      </c>
      <c r="D127" s="12">
        <f>DATA!M127</f>
        <v>0</v>
      </c>
    </row>
    <row r="128" spans="1:4" x14ac:dyDescent="0.3">
      <c r="A128">
        <v>0</v>
      </c>
      <c r="B128">
        <f>DATA!C128</f>
        <v>774</v>
      </c>
      <c r="C128">
        <f>DATA!I128</f>
        <v>1</v>
      </c>
      <c r="D128" s="12">
        <f>DATA!M128</f>
        <v>1</v>
      </c>
    </row>
    <row r="129" spans="1:4" x14ac:dyDescent="0.3">
      <c r="A129">
        <v>0</v>
      </c>
      <c r="B129">
        <f>DATA!C129</f>
        <v>514</v>
      </c>
      <c r="C129">
        <f>DATA!I129</f>
        <v>3</v>
      </c>
      <c r="D129" s="12">
        <f>DATA!M129</f>
        <v>0</v>
      </c>
    </row>
    <row r="130" spans="1:4" x14ac:dyDescent="0.3">
      <c r="A130">
        <v>0</v>
      </c>
      <c r="B130">
        <f>DATA!C130</f>
        <v>408</v>
      </c>
      <c r="C130">
        <f>DATA!I130</f>
        <v>4</v>
      </c>
      <c r="D130" s="12">
        <f>DATA!M130</f>
        <v>0</v>
      </c>
    </row>
    <row r="131" spans="1:4" x14ac:dyDescent="0.3">
      <c r="A131">
        <v>0</v>
      </c>
      <c r="B131">
        <f>DATA!C131</f>
        <v>527</v>
      </c>
      <c r="C131">
        <f>DATA!I131</f>
        <v>4</v>
      </c>
      <c r="D131" s="12">
        <f>DATA!M131</f>
        <v>0</v>
      </c>
    </row>
    <row r="132" spans="1:4" x14ac:dyDescent="0.3">
      <c r="A132">
        <v>1</v>
      </c>
      <c r="B132">
        <f>DATA!C132</f>
        <v>789</v>
      </c>
      <c r="C132">
        <f>DATA!I132</f>
        <v>4</v>
      </c>
      <c r="D132" s="12">
        <f>DATA!M132</f>
        <v>1</v>
      </c>
    </row>
    <row r="133" spans="1:4" x14ac:dyDescent="0.3">
      <c r="A133">
        <v>0</v>
      </c>
      <c r="B133">
        <f>DATA!C133</f>
        <v>502</v>
      </c>
      <c r="C133">
        <f>DATA!I133</f>
        <v>3</v>
      </c>
      <c r="D133" s="12">
        <f>DATA!M133</f>
        <v>0</v>
      </c>
    </row>
    <row r="134" spans="1:4" x14ac:dyDescent="0.3">
      <c r="A134">
        <v>1</v>
      </c>
      <c r="B134">
        <f>DATA!C134</f>
        <v>511</v>
      </c>
      <c r="C134">
        <f>DATA!I134</f>
        <v>2</v>
      </c>
      <c r="D134" s="12">
        <f>DATA!M134</f>
        <v>1</v>
      </c>
    </row>
    <row r="135" spans="1:4" x14ac:dyDescent="0.3">
      <c r="A135">
        <v>1</v>
      </c>
      <c r="B135">
        <f>DATA!C135</f>
        <v>752</v>
      </c>
      <c r="C135">
        <f>DATA!I135</f>
        <v>1</v>
      </c>
      <c r="D135" s="12">
        <f>DATA!M135</f>
        <v>1</v>
      </c>
    </row>
    <row r="136" spans="1:4" x14ac:dyDescent="0.3">
      <c r="A136">
        <v>0</v>
      </c>
      <c r="B136">
        <f>DATA!C136</f>
        <v>703</v>
      </c>
      <c r="C136">
        <f>DATA!I136</f>
        <v>2</v>
      </c>
      <c r="D136" s="12">
        <f>DATA!M136</f>
        <v>1</v>
      </c>
    </row>
    <row r="137" spans="1:4" x14ac:dyDescent="0.3">
      <c r="A137">
        <v>1</v>
      </c>
      <c r="B137">
        <f>DATA!C137</f>
        <v>812</v>
      </c>
      <c r="C137">
        <f>DATA!I137</f>
        <v>4</v>
      </c>
      <c r="D137" s="12">
        <f>DATA!M137</f>
        <v>1</v>
      </c>
    </row>
    <row r="138" spans="1:4" x14ac:dyDescent="0.3">
      <c r="A138">
        <v>1</v>
      </c>
      <c r="B138">
        <f>DATA!C138</f>
        <v>591</v>
      </c>
      <c r="C138">
        <f>DATA!I138</f>
        <v>4</v>
      </c>
      <c r="D138" s="12">
        <f>DATA!M138</f>
        <v>0</v>
      </c>
    </row>
    <row r="139" spans="1:4" x14ac:dyDescent="0.3">
      <c r="A139">
        <v>0</v>
      </c>
      <c r="B139">
        <f>DATA!C139</f>
        <v>485</v>
      </c>
      <c r="C139">
        <f>DATA!I139</f>
        <v>1</v>
      </c>
      <c r="D139" s="12">
        <f>DATA!M139</f>
        <v>1</v>
      </c>
    </row>
    <row r="140" spans="1:4" x14ac:dyDescent="0.3">
      <c r="A140">
        <v>1</v>
      </c>
      <c r="B140">
        <f>DATA!C140</f>
        <v>787</v>
      </c>
      <c r="C140">
        <f>DATA!I140</f>
        <v>1</v>
      </c>
      <c r="D140" s="12">
        <f>DATA!M140</f>
        <v>0</v>
      </c>
    </row>
    <row r="141" spans="1:4" x14ac:dyDescent="0.3">
      <c r="A141">
        <v>0</v>
      </c>
      <c r="B141">
        <f>DATA!C141</f>
        <v>585</v>
      </c>
      <c r="C141">
        <f>DATA!I141</f>
        <v>2</v>
      </c>
      <c r="D141" s="12">
        <f>DATA!M141</f>
        <v>1</v>
      </c>
    </row>
    <row r="142" spans="1:4" x14ac:dyDescent="0.3">
      <c r="A142">
        <v>0</v>
      </c>
      <c r="B142">
        <f>DATA!C142</f>
        <v>396</v>
      </c>
      <c r="C142">
        <f>DATA!I142</f>
        <v>2</v>
      </c>
      <c r="D142" s="12">
        <f>DATA!M142</f>
        <v>1</v>
      </c>
    </row>
    <row r="143" spans="1:4" x14ac:dyDescent="0.3">
      <c r="A143">
        <v>0</v>
      </c>
      <c r="B143">
        <f>DATA!C143</f>
        <v>846</v>
      </c>
      <c r="C143">
        <f>DATA!I143</f>
        <v>4</v>
      </c>
      <c r="D143" s="12">
        <f>DATA!M143</f>
        <v>0</v>
      </c>
    </row>
    <row r="144" spans="1:4" x14ac:dyDescent="0.3">
      <c r="A144">
        <v>1</v>
      </c>
      <c r="B144">
        <f>DATA!C144</f>
        <v>477</v>
      </c>
      <c r="C144">
        <f>DATA!I144</f>
        <v>1</v>
      </c>
      <c r="D144" s="12">
        <f>DATA!M144</f>
        <v>1</v>
      </c>
    </row>
    <row r="145" spans="1:4" x14ac:dyDescent="0.3">
      <c r="A145">
        <v>0</v>
      </c>
      <c r="B145">
        <f>DATA!C145</f>
        <v>767</v>
      </c>
      <c r="C145">
        <f>DATA!I145</f>
        <v>1</v>
      </c>
      <c r="D145" s="12">
        <f>DATA!M145</f>
        <v>0</v>
      </c>
    </row>
    <row r="146" spans="1:4" x14ac:dyDescent="0.3">
      <c r="A146">
        <v>1</v>
      </c>
      <c r="B146">
        <f>DATA!C146</f>
        <v>687</v>
      </c>
      <c r="C146">
        <f>DATA!I146</f>
        <v>4</v>
      </c>
      <c r="D146" s="12">
        <f>DATA!M146</f>
        <v>0</v>
      </c>
    </row>
    <row r="147" spans="1:4" x14ac:dyDescent="0.3">
      <c r="A147">
        <v>1</v>
      </c>
      <c r="B147">
        <f>DATA!C147</f>
        <v>507</v>
      </c>
      <c r="C147">
        <f>DATA!I147</f>
        <v>4</v>
      </c>
      <c r="D147" s="12">
        <f>DATA!M147</f>
        <v>0</v>
      </c>
    </row>
    <row r="148" spans="1:4" x14ac:dyDescent="0.3">
      <c r="A148">
        <v>1</v>
      </c>
      <c r="B148">
        <f>DATA!C148</f>
        <v>362</v>
      </c>
      <c r="C148">
        <f>DATA!I148</f>
        <v>4</v>
      </c>
      <c r="D148" s="12">
        <f>DATA!M148</f>
        <v>1</v>
      </c>
    </row>
    <row r="149" spans="1:4" x14ac:dyDescent="0.3">
      <c r="A149">
        <v>1</v>
      </c>
      <c r="B149">
        <f>DATA!C149</f>
        <v>468</v>
      </c>
      <c r="C149">
        <f>DATA!I149</f>
        <v>4</v>
      </c>
      <c r="D149" s="12">
        <f>DATA!M149</f>
        <v>1</v>
      </c>
    </row>
    <row r="150" spans="1:4" x14ac:dyDescent="0.3">
      <c r="A150">
        <v>0</v>
      </c>
      <c r="B150">
        <f>DATA!C150</f>
        <v>652</v>
      </c>
      <c r="C150">
        <f>DATA!I150</f>
        <v>2</v>
      </c>
      <c r="D150" s="12">
        <f>DATA!M150</f>
        <v>1</v>
      </c>
    </row>
    <row r="151" spans="1:4" x14ac:dyDescent="0.3">
      <c r="A151">
        <v>0</v>
      </c>
      <c r="B151">
        <f>DATA!C151</f>
        <v>724</v>
      </c>
      <c r="C151">
        <f>DATA!I151</f>
        <v>3</v>
      </c>
      <c r="D151" s="12">
        <f>DATA!M151</f>
        <v>0</v>
      </c>
    </row>
    <row r="152" spans="1:4" x14ac:dyDescent="0.3">
      <c r="A152">
        <v>1</v>
      </c>
      <c r="B152">
        <f>DATA!C152</f>
        <v>638</v>
      </c>
      <c r="C152">
        <f>DATA!I152</f>
        <v>4</v>
      </c>
      <c r="D152" s="12">
        <f>DATA!M152</f>
        <v>0</v>
      </c>
    </row>
    <row r="153" spans="1:4" x14ac:dyDescent="0.3">
      <c r="A153">
        <v>1</v>
      </c>
      <c r="B153">
        <f>DATA!C153</f>
        <v>640</v>
      </c>
      <c r="C153">
        <f>DATA!I153</f>
        <v>1</v>
      </c>
      <c r="D153" s="12">
        <f>DATA!M153</f>
        <v>1</v>
      </c>
    </row>
    <row r="154" spans="1:4" x14ac:dyDescent="0.3">
      <c r="A154">
        <v>0</v>
      </c>
      <c r="B154">
        <f>DATA!C154</f>
        <v>465</v>
      </c>
      <c r="C154">
        <f>DATA!I154</f>
        <v>3</v>
      </c>
      <c r="D154" s="12">
        <f>DATA!M154</f>
        <v>1</v>
      </c>
    </row>
    <row r="155" spans="1:4" x14ac:dyDescent="0.3">
      <c r="A155">
        <v>1</v>
      </c>
      <c r="B155">
        <f>DATA!C155</f>
        <v>437</v>
      </c>
      <c r="C155">
        <f>DATA!I155</f>
        <v>4</v>
      </c>
      <c r="D155" s="12">
        <f>DATA!M155</f>
        <v>1</v>
      </c>
    </row>
    <row r="156" spans="1:4" x14ac:dyDescent="0.3">
      <c r="A156">
        <v>0</v>
      </c>
      <c r="B156">
        <f>DATA!C156</f>
        <v>474</v>
      </c>
      <c r="C156">
        <f>DATA!I156</f>
        <v>2</v>
      </c>
      <c r="D156" s="12">
        <f>DATA!M156</f>
        <v>0</v>
      </c>
    </row>
    <row r="157" spans="1:4" x14ac:dyDescent="0.3">
      <c r="A157">
        <v>0</v>
      </c>
      <c r="B157">
        <f>DATA!C157</f>
        <v>759</v>
      </c>
      <c r="C157">
        <f>DATA!I157</f>
        <v>4</v>
      </c>
      <c r="D157" s="12">
        <f>DATA!M157</f>
        <v>1</v>
      </c>
    </row>
    <row r="158" spans="1:4" x14ac:dyDescent="0.3">
      <c r="A158">
        <v>1</v>
      </c>
      <c r="B158">
        <f>DATA!C158</f>
        <v>524</v>
      </c>
      <c r="C158">
        <f>DATA!I158</f>
        <v>4</v>
      </c>
      <c r="D158" s="12">
        <f>DATA!M158</f>
        <v>0</v>
      </c>
    </row>
    <row r="159" spans="1:4" x14ac:dyDescent="0.3">
      <c r="A159">
        <v>1</v>
      </c>
      <c r="B159">
        <f>DATA!C159</f>
        <v>848</v>
      </c>
      <c r="C159">
        <f>DATA!I159</f>
        <v>4</v>
      </c>
      <c r="D159" s="12">
        <f>DATA!M159</f>
        <v>1</v>
      </c>
    </row>
    <row r="160" spans="1:4" x14ac:dyDescent="0.3">
      <c r="A160">
        <v>0</v>
      </c>
      <c r="B160">
        <f>DATA!C160</f>
        <v>713</v>
      </c>
      <c r="C160">
        <f>DATA!I160</f>
        <v>3</v>
      </c>
      <c r="D160" s="12">
        <f>DATA!M160</f>
        <v>1</v>
      </c>
    </row>
    <row r="161" spans="1:4" x14ac:dyDescent="0.3">
      <c r="A161">
        <v>0</v>
      </c>
      <c r="B161">
        <f>DATA!C161</f>
        <v>402</v>
      </c>
      <c r="C161">
        <f>DATA!I161</f>
        <v>3</v>
      </c>
      <c r="D161" s="12">
        <f>DATA!M161</f>
        <v>1</v>
      </c>
    </row>
    <row r="162" spans="1:4" x14ac:dyDescent="0.3">
      <c r="A162">
        <v>1</v>
      </c>
      <c r="B162">
        <f>DATA!C162</f>
        <v>839</v>
      </c>
      <c r="C162">
        <f>DATA!I162</f>
        <v>4</v>
      </c>
      <c r="D162" s="12">
        <f>DATA!M162</f>
        <v>0</v>
      </c>
    </row>
    <row r="163" spans="1:4" x14ac:dyDescent="0.3">
      <c r="A163">
        <v>0</v>
      </c>
      <c r="B163">
        <f>DATA!C163</f>
        <v>460</v>
      </c>
      <c r="C163">
        <f>DATA!I163</f>
        <v>1</v>
      </c>
      <c r="D163" s="12">
        <f>DATA!M163</f>
        <v>0</v>
      </c>
    </row>
    <row r="164" spans="1:4" x14ac:dyDescent="0.3">
      <c r="A164">
        <v>1</v>
      </c>
      <c r="B164">
        <f>DATA!C164</f>
        <v>414</v>
      </c>
      <c r="C164">
        <f>DATA!I164</f>
        <v>1</v>
      </c>
      <c r="D164" s="12">
        <f>DATA!M164</f>
        <v>1</v>
      </c>
    </row>
    <row r="165" spans="1:4" x14ac:dyDescent="0.3">
      <c r="A165">
        <v>0</v>
      </c>
      <c r="B165">
        <f>DATA!C165</f>
        <v>682</v>
      </c>
      <c r="C165">
        <f>DATA!I165</f>
        <v>4</v>
      </c>
      <c r="D165" s="12">
        <f>DATA!M165</f>
        <v>1</v>
      </c>
    </row>
    <row r="166" spans="1:4" x14ac:dyDescent="0.3">
      <c r="A166">
        <v>0</v>
      </c>
      <c r="B166">
        <f>DATA!C166</f>
        <v>724</v>
      </c>
      <c r="C166">
        <f>DATA!I166</f>
        <v>3</v>
      </c>
      <c r="D166" s="12">
        <f>DATA!M166</f>
        <v>0</v>
      </c>
    </row>
    <row r="167" spans="1:4" x14ac:dyDescent="0.3">
      <c r="A167">
        <v>1</v>
      </c>
      <c r="B167">
        <f>DATA!C167</f>
        <v>423</v>
      </c>
      <c r="C167">
        <f>DATA!I167</f>
        <v>1</v>
      </c>
      <c r="D167" s="12">
        <f>DATA!M167</f>
        <v>1</v>
      </c>
    </row>
    <row r="168" spans="1:4" x14ac:dyDescent="0.3">
      <c r="A168">
        <v>0</v>
      </c>
      <c r="B168">
        <f>DATA!C168</f>
        <v>496</v>
      </c>
      <c r="C168">
        <f>DATA!I168</f>
        <v>3</v>
      </c>
      <c r="D168" s="12">
        <f>DATA!M168</f>
        <v>1</v>
      </c>
    </row>
    <row r="169" spans="1:4" x14ac:dyDescent="0.3">
      <c r="A169">
        <v>1</v>
      </c>
      <c r="B169">
        <f>DATA!C169</f>
        <v>610</v>
      </c>
      <c r="C169">
        <f>DATA!I169</f>
        <v>3</v>
      </c>
      <c r="D169" s="12">
        <f>DATA!M169</f>
        <v>0</v>
      </c>
    </row>
    <row r="170" spans="1:4" x14ac:dyDescent="0.3">
      <c r="A170">
        <v>0</v>
      </c>
      <c r="B170">
        <f>DATA!C170</f>
        <v>613</v>
      </c>
      <c r="C170">
        <f>DATA!I170</f>
        <v>4</v>
      </c>
      <c r="D170" s="12">
        <f>DATA!M170</f>
        <v>0</v>
      </c>
    </row>
    <row r="171" spans="1:4" x14ac:dyDescent="0.3">
      <c r="A171">
        <v>1</v>
      </c>
      <c r="B171">
        <f>DATA!C171</f>
        <v>481</v>
      </c>
      <c r="C171">
        <f>DATA!I171</f>
        <v>4</v>
      </c>
      <c r="D171" s="12">
        <f>DATA!M171</f>
        <v>0</v>
      </c>
    </row>
    <row r="172" spans="1:4" x14ac:dyDescent="0.3">
      <c r="A172">
        <v>1</v>
      </c>
      <c r="B172">
        <f>DATA!C172</f>
        <v>398</v>
      </c>
      <c r="C172">
        <f>DATA!I172</f>
        <v>4</v>
      </c>
      <c r="D172" s="12">
        <f>DATA!M172</f>
        <v>1</v>
      </c>
    </row>
    <row r="173" spans="1:4" x14ac:dyDescent="0.3">
      <c r="A173">
        <v>1</v>
      </c>
      <c r="B173">
        <f>DATA!C173</f>
        <v>426</v>
      </c>
      <c r="C173">
        <f>DATA!I173</f>
        <v>4</v>
      </c>
      <c r="D173" s="12">
        <f>DATA!M173</f>
        <v>0</v>
      </c>
    </row>
    <row r="174" spans="1:4" x14ac:dyDescent="0.3">
      <c r="A174">
        <v>1</v>
      </c>
      <c r="B174">
        <f>DATA!C174</f>
        <v>643</v>
      </c>
      <c r="C174">
        <f>DATA!I174</f>
        <v>2</v>
      </c>
      <c r="D174" s="12">
        <f>DATA!M174</f>
        <v>1</v>
      </c>
    </row>
    <row r="175" spans="1:4" x14ac:dyDescent="0.3">
      <c r="A175">
        <v>0</v>
      </c>
      <c r="B175">
        <f>DATA!C175</f>
        <v>466</v>
      </c>
      <c r="C175">
        <f>DATA!I175</f>
        <v>3</v>
      </c>
      <c r="D175" s="12">
        <f>DATA!M175</f>
        <v>1</v>
      </c>
    </row>
    <row r="176" spans="1:4" x14ac:dyDescent="0.3">
      <c r="A176">
        <v>0</v>
      </c>
      <c r="B176">
        <f>DATA!C176</f>
        <v>843</v>
      </c>
      <c r="C176">
        <f>DATA!I176</f>
        <v>2</v>
      </c>
      <c r="D176" s="12">
        <f>DATA!M176</f>
        <v>1</v>
      </c>
    </row>
    <row r="177" spans="1:4" x14ac:dyDescent="0.3">
      <c r="A177">
        <v>0</v>
      </c>
      <c r="B177">
        <f>DATA!C177</f>
        <v>398</v>
      </c>
      <c r="C177">
        <f>DATA!I177</f>
        <v>1</v>
      </c>
      <c r="D177" s="12">
        <f>DATA!M177</f>
        <v>1</v>
      </c>
    </row>
    <row r="178" spans="1:4" x14ac:dyDescent="0.3">
      <c r="A178">
        <v>0</v>
      </c>
      <c r="B178">
        <f>DATA!C178</f>
        <v>459</v>
      </c>
      <c r="C178">
        <f>DATA!I178</f>
        <v>3</v>
      </c>
      <c r="D178" s="12">
        <f>DATA!M178</f>
        <v>0</v>
      </c>
    </row>
    <row r="179" spans="1:4" x14ac:dyDescent="0.3">
      <c r="A179">
        <v>0</v>
      </c>
      <c r="B179">
        <f>DATA!C179</f>
        <v>816</v>
      </c>
      <c r="C179">
        <f>DATA!I179</f>
        <v>2</v>
      </c>
      <c r="D179" s="12">
        <f>DATA!M179</f>
        <v>1</v>
      </c>
    </row>
    <row r="180" spans="1:4" x14ac:dyDescent="0.3">
      <c r="A180">
        <v>0</v>
      </c>
      <c r="B180">
        <f>DATA!C180</f>
        <v>529</v>
      </c>
      <c r="C180">
        <f>DATA!I180</f>
        <v>2</v>
      </c>
      <c r="D180" s="12">
        <f>DATA!M180</f>
        <v>1</v>
      </c>
    </row>
    <row r="181" spans="1:4" x14ac:dyDescent="0.3">
      <c r="A181">
        <v>0</v>
      </c>
      <c r="B181">
        <f>DATA!C181</f>
        <v>399</v>
      </c>
      <c r="C181">
        <f>DATA!I181</f>
        <v>4</v>
      </c>
      <c r="D181" s="12">
        <f>DATA!M181</f>
        <v>0</v>
      </c>
    </row>
    <row r="182" spans="1:4" x14ac:dyDescent="0.3">
      <c r="A182">
        <v>0</v>
      </c>
      <c r="B182">
        <f>DATA!C182</f>
        <v>421</v>
      </c>
      <c r="C182">
        <f>DATA!I182</f>
        <v>4</v>
      </c>
      <c r="D182" s="12">
        <f>DATA!M182</f>
        <v>1</v>
      </c>
    </row>
    <row r="183" spans="1:4" x14ac:dyDescent="0.3">
      <c r="A183">
        <v>0</v>
      </c>
      <c r="B183">
        <f>DATA!C183</f>
        <v>696</v>
      </c>
      <c r="C183">
        <f>DATA!I183</f>
        <v>2</v>
      </c>
      <c r="D183" s="12">
        <f>DATA!M183</f>
        <v>0</v>
      </c>
    </row>
    <row r="184" spans="1:4" x14ac:dyDescent="0.3">
      <c r="A184">
        <v>0</v>
      </c>
      <c r="B184">
        <f>DATA!C184</f>
        <v>783</v>
      </c>
      <c r="C184">
        <f>DATA!I184</f>
        <v>3</v>
      </c>
      <c r="D184" s="12">
        <f>DATA!M184</f>
        <v>0</v>
      </c>
    </row>
    <row r="185" spans="1:4" x14ac:dyDescent="0.3">
      <c r="A185">
        <v>0</v>
      </c>
      <c r="B185">
        <f>DATA!C185</f>
        <v>844</v>
      </c>
      <c r="C185">
        <f>DATA!I185</f>
        <v>1</v>
      </c>
      <c r="D185" s="12">
        <f>DATA!M185</f>
        <v>0</v>
      </c>
    </row>
    <row r="186" spans="1:4" x14ac:dyDescent="0.3">
      <c r="A186">
        <v>0</v>
      </c>
      <c r="B186">
        <f>DATA!C186</f>
        <v>635</v>
      </c>
      <c r="C186">
        <f>DATA!I186</f>
        <v>3</v>
      </c>
      <c r="D186" s="12">
        <f>DATA!M186</f>
        <v>0</v>
      </c>
    </row>
    <row r="187" spans="1:4" x14ac:dyDescent="0.3">
      <c r="A187">
        <v>0</v>
      </c>
      <c r="B187">
        <f>DATA!C187</f>
        <v>353</v>
      </c>
      <c r="C187">
        <f>DATA!I187</f>
        <v>4</v>
      </c>
      <c r="D187" s="12">
        <f>DATA!M187</f>
        <v>1</v>
      </c>
    </row>
    <row r="188" spans="1:4" x14ac:dyDescent="0.3">
      <c r="A188">
        <v>0</v>
      </c>
      <c r="B188">
        <f>DATA!C188</f>
        <v>424</v>
      </c>
      <c r="C188">
        <f>DATA!I188</f>
        <v>1</v>
      </c>
      <c r="D188" s="12">
        <f>DATA!M188</f>
        <v>1</v>
      </c>
    </row>
    <row r="189" spans="1:4" x14ac:dyDescent="0.3">
      <c r="A189">
        <v>0</v>
      </c>
      <c r="B189">
        <f>DATA!C189</f>
        <v>434</v>
      </c>
      <c r="C189">
        <f>DATA!I189</f>
        <v>2</v>
      </c>
      <c r="D189" s="12">
        <f>DATA!M189</f>
        <v>0</v>
      </c>
    </row>
    <row r="190" spans="1:4" x14ac:dyDescent="0.3">
      <c r="A190">
        <v>1</v>
      </c>
      <c r="B190">
        <f>DATA!C190</f>
        <v>840</v>
      </c>
      <c r="C190">
        <f>DATA!I190</f>
        <v>3</v>
      </c>
      <c r="D190" s="12">
        <f>DATA!M190</f>
        <v>1</v>
      </c>
    </row>
    <row r="191" spans="1:4" x14ac:dyDescent="0.3">
      <c r="A191">
        <v>0</v>
      </c>
      <c r="B191">
        <f>DATA!C191</f>
        <v>671</v>
      </c>
      <c r="C191">
        <f>DATA!I191</f>
        <v>2</v>
      </c>
      <c r="D191" s="12">
        <f>DATA!M191</f>
        <v>1</v>
      </c>
    </row>
    <row r="192" spans="1:4" x14ac:dyDescent="0.3">
      <c r="A192">
        <v>0</v>
      </c>
      <c r="B192">
        <f>DATA!C192</f>
        <v>725</v>
      </c>
      <c r="C192">
        <f>DATA!I192</f>
        <v>1</v>
      </c>
      <c r="D192" s="12">
        <f>DATA!M192</f>
        <v>0</v>
      </c>
    </row>
    <row r="193" spans="1:4" x14ac:dyDescent="0.3">
      <c r="A193">
        <v>1</v>
      </c>
      <c r="B193">
        <f>DATA!C193</f>
        <v>370</v>
      </c>
      <c r="C193">
        <f>DATA!I193</f>
        <v>2</v>
      </c>
      <c r="D193" s="12">
        <f>DATA!M193</f>
        <v>0</v>
      </c>
    </row>
    <row r="194" spans="1:4" x14ac:dyDescent="0.3">
      <c r="A194">
        <v>0</v>
      </c>
      <c r="B194">
        <f>DATA!C194</f>
        <v>558</v>
      </c>
      <c r="C194">
        <f>DATA!I194</f>
        <v>2</v>
      </c>
      <c r="D194" s="12">
        <f>DATA!M194</f>
        <v>1</v>
      </c>
    </row>
    <row r="195" spans="1:4" x14ac:dyDescent="0.3">
      <c r="A195">
        <v>0</v>
      </c>
      <c r="B195">
        <f>DATA!C195</f>
        <v>392</v>
      </c>
      <c r="C195">
        <f>DATA!I195</f>
        <v>1</v>
      </c>
      <c r="D195" s="12">
        <f>DATA!M195</f>
        <v>1</v>
      </c>
    </row>
    <row r="196" spans="1:4" x14ac:dyDescent="0.3">
      <c r="A196">
        <v>0</v>
      </c>
      <c r="B196">
        <f>DATA!C196</f>
        <v>848</v>
      </c>
      <c r="C196">
        <f>DATA!I196</f>
        <v>1</v>
      </c>
      <c r="D196" s="12">
        <f>DATA!M196</f>
        <v>1</v>
      </c>
    </row>
    <row r="197" spans="1:4" x14ac:dyDescent="0.3">
      <c r="A197">
        <v>1</v>
      </c>
      <c r="B197">
        <f>DATA!C197</f>
        <v>378</v>
      </c>
      <c r="C197">
        <f>DATA!I197</f>
        <v>2</v>
      </c>
      <c r="D197" s="12">
        <f>DATA!M197</f>
        <v>0</v>
      </c>
    </row>
    <row r="198" spans="1:4" x14ac:dyDescent="0.3">
      <c r="A198">
        <v>0</v>
      </c>
      <c r="B198">
        <f>DATA!C198</f>
        <v>760</v>
      </c>
      <c r="C198">
        <f>DATA!I198</f>
        <v>1</v>
      </c>
      <c r="D198" s="12">
        <f>DATA!M198</f>
        <v>0</v>
      </c>
    </row>
    <row r="199" spans="1:4" x14ac:dyDescent="0.3">
      <c r="A199">
        <v>0</v>
      </c>
      <c r="B199">
        <f>DATA!C199</f>
        <v>693</v>
      </c>
      <c r="C199">
        <f>DATA!I199</f>
        <v>3</v>
      </c>
      <c r="D199" s="12">
        <f>DATA!M199</f>
        <v>1</v>
      </c>
    </row>
    <row r="200" spans="1:4" x14ac:dyDescent="0.3">
      <c r="A200">
        <v>0</v>
      </c>
      <c r="B200">
        <f>DATA!C200</f>
        <v>530</v>
      </c>
      <c r="C200">
        <f>DATA!I200</f>
        <v>3</v>
      </c>
      <c r="D200" s="12">
        <f>DATA!M200</f>
        <v>1</v>
      </c>
    </row>
    <row r="201" spans="1:4" x14ac:dyDescent="0.3">
      <c r="A201">
        <v>1</v>
      </c>
      <c r="B201">
        <f>DATA!C201</f>
        <v>654</v>
      </c>
      <c r="C201">
        <f>DATA!I201</f>
        <v>1</v>
      </c>
      <c r="D201" s="12">
        <f>DATA!M201</f>
        <v>1</v>
      </c>
    </row>
    <row r="202" spans="1:4" x14ac:dyDescent="0.3">
      <c r="A202">
        <v>1</v>
      </c>
      <c r="B202">
        <f>DATA!C202</f>
        <v>800</v>
      </c>
      <c r="C202">
        <f>DATA!I202</f>
        <v>4</v>
      </c>
      <c r="D202" s="12">
        <f>DATA!M202</f>
        <v>0</v>
      </c>
    </row>
    <row r="203" spans="1:4" x14ac:dyDescent="0.3">
      <c r="A203">
        <v>0</v>
      </c>
      <c r="B203">
        <f>DATA!C203</f>
        <v>452</v>
      </c>
      <c r="C203">
        <f>DATA!I203</f>
        <v>3</v>
      </c>
      <c r="D203" s="12">
        <f>DATA!M203</f>
        <v>1</v>
      </c>
    </row>
    <row r="204" spans="1:4" x14ac:dyDescent="0.3">
      <c r="A204">
        <v>0</v>
      </c>
      <c r="B204">
        <f>DATA!C204</f>
        <v>615</v>
      </c>
      <c r="C204">
        <f>DATA!I204</f>
        <v>2</v>
      </c>
      <c r="D204" s="12">
        <f>DATA!M204</f>
        <v>1</v>
      </c>
    </row>
    <row r="205" spans="1:4" x14ac:dyDescent="0.3">
      <c r="A205">
        <v>0</v>
      </c>
      <c r="B205">
        <f>DATA!C205</f>
        <v>608</v>
      </c>
      <c r="C205">
        <f>DATA!I205</f>
        <v>1</v>
      </c>
      <c r="D205" s="12">
        <f>DATA!M205</f>
        <v>0</v>
      </c>
    </row>
    <row r="206" spans="1:4" x14ac:dyDescent="0.3">
      <c r="A206">
        <v>1</v>
      </c>
      <c r="B206">
        <f>DATA!C206</f>
        <v>722</v>
      </c>
      <c r="C206">
        <f>DATA!I206</f>
        <v>4</v>
      </c>
      <c r="D206" s="12">
        <f>DATA!M206</f>
        <v>1</v>
      </c>
    </row>
    <row r="207" spans="1:4" x14ac:dyDescent="0.3">
      <c r="A207">
        <v>0</v>
      </c>
      <c r="B207">
        <f>DATA!C207</f>
        <v>714</v>
      </c>
      <c r="C207">
        <f>DATA!I207</f>
        <v>3</v>
      </c>
      <c r="D207" s="12">
        <f>DATA!M207</f>
        <v>1</v>
      </c>
    </row>
    <row r="208" spans="1:4" x14ac:dyDescent="0.3">
      <c r="A208">
        <v>1</v>
      </c>
      <c r="B208">
        <f>DATA!C208</f>
        <v>583</v>
      </c>
      <c r="C208">
        <f>DATA!I208</f>
        <v>1</v>
      </c>
      <c r="D208" s="12">
        <f>DATA!M208</f>
        <v>1</v>
      </c>
    </row>
    <row r="209" spans="1:4" x14ac:dyDescent="0.3">
      <c r="A209">
        <v>1</v>
      </c>
      <c r="B209">
        <f>DATA!C209</f>
        <v>695</v>
      </c>
      <c r="C209">
        <f>DATA!I209</f>
        <v>4</v>
      </c>
      <c r="D209" s="12">
        <f>DATA!M209</f>
        <v>0</v>
      </c>
    </row>
    <row r="210" spans="1:4" x14ac:dyDescent="0.3">
      <c r="A210">
        <v>0</v>
      </c>
      <c r="B210">
        <f>DATA!C210</f>
        <v>730</v>
      </c>
      <c r="C210">
        <f>DATA!I210</f>
        <v>3</v>
      </c>
      <c r="D210" s="12">
        <f>DATA!M210</f>
        <v>0</v>
      </c>
    </row>
    <row r="211" spans="1:4" x14ac:dyDescent="0.3">
      <c r="A211">
        <v>0</v>
      </c>
      <c r="B211">
        <f>DATA!C211</f>
        <v>723</v>
      </c>
      <c r="C211">
        <f>DATA!I211</f>
        <v>1</v>
      </c>
      <c r="D211" s="12">
        <f>DATA!M211</f>
        <v>0</v>
      </c>
    </row>
    <row r="212" spans="1:4" x14ac:dyDescent="0.3">
      <c r="A212">
        <v>1</v>
      </c>
      <c r="B212">
        <f>DATA!C212</f>
        <v>450</v>
      </c>
      <c r="C212">
        <f>DATA!I212</f>
        <v>4</v>
      </c>
      <c r="D212" s="12">
        <f>DATA!M212</f>
        <v>1</v>
      </c>
    </row>
    <row r="213" spans="1:4" x14ac:dyDescent="0.3">
      <c r="A213">
        <v>0</v>
      </c>
      <c r="B213">
        <f>DATA!C213</f>
        <v>440</v>
      </c>
      <c r="C213">
        <f>DATA!I213</f>
        <v>2</v>
      </c>
      <c r="D213" s="12">
        <f>DATA!M213</f>
        <v>0</v>
      </c>
    </row>
    <row r="214" spans="1:4" x14ac:dyDescent="0.3">
      <c r="A214">
        <v>0</v>
      </c>
      <c r="B214">
        <f>DATA!C214</f>
        <v>418</v>
      </c>
      <c r="C214">
        <f>DATA!I214</f>
        <v>4</v>
      </c>
      <c r="D214" s="12">
        <f>DATA!M214</f>
        <v>0</v>
      </c>
    </row>
    <row r="215" spans="1:4" x14ac:dyDescent="0.3">
      <c r="A215">
        <v>0</v>
      </c>
      <c r="B215">
        <f>DATA!C215</f>
        <v>455</v>
      </c>
      <c r="C215">
        <f>DATA!I215</f>
        <v>4</v>
      </c>
      <c r="D215" s="12">
        <f>DATA!M215</f>
        <v>0</v>
      </c>
    </row>
    <row r="216" spans="1:4" x14ac:dyDescent="0.3">
      <c r="A216">
        <v>0</v>
      </c>
      <c r="B216">
        <f>DATA!C216</f>
        <v>360</v>
      </c>
      <c r="C216">
        <f>DATA!I216</f>
        <v>2</v>
      </c>
      <c r="D216" s="12">
        <f>DATA!M216</f>
        <v>1</v>
      </c>
    </row>
    <row r="217" spans="1:4" x14ac:dyDescent="0.3">
      <c r="A217">
        <v>0</v>
      </c>
      <c r="B217">
        <f>DATA!C217</f>
        <v>362</v>
      </c>
      <c r="C217">
        <f>DATA!I217</f>
        <v>4</v>
      </c>
      <c r="D217" s="12">
        <f>DATA!M217</f>
        <v>0</v>
      </c>
    </row>
    <row r="218" spans="1:4" x14ac:dyDescent="0.3">
      <c r="A218">
        <v>1</v>
      </c>
      <c r="B218">
        <f>DATA!C218</f>
        <v>454</v>
      </c>
      <c r="C218">
        <f>DATA!I218</f>
        <v>1</v>
      </c>
      <c r="D218" s="12">
        <f>DATA!M218</f>
        <v>1</v>
      </c>
    </row>
    <row r="219" spans="1:4" x14ac:dyDescent="0.3">
      <c r="A219">
        <v>1</v>
      </c>
      <c r="B219">
        <f>DATA!C219</f>
        <v>575</v>
      </c>
      <c r="C219">
        <f>DATA!I219</f>
        <v>3</v>
      </c>
      <c r="D219" s="12">
        <f>DATA!M219</f>
        <v>1</v>
      </c>
    </row>
    <row r="220" spans="1:4" x14ac:dyDescent="0.3">
      <c r="A220">
        <v>1</v>
      </c>
      <c r="B220">
        <f>DATA!C220</f>
        <v>771</v>
      </c>
      <c r="C220">
        <f>DATA!I220</f>
        <v>3</v>
      </c>
      <c r="D220" s="12">
        <f>DATA!M220</f>
        <v>0</v>
      </c>
    </row>
    <row r="221" spans="1:4" x14ac:dyDescent="0.3">
      <c r="A221">
        <v>1</v>
      </c>
      <c r="B221">
        <f>DATA!C221</f>
        <v>517</v>
      </c>
      <c r="C221">
        <f>DATA!I221</f>
        <v>1</v>
      </c>
      <c r="D221" s="12">
        <f>DATA!M221</f>
        <v>0</v>
      </c>
    </row>
    <row r="222" spans="1:4" x14ac:dyDescent="0.3">
      <c r="A222">
        <v>0</v>
      </c>
      <c r="B222">
        <f>DATA!C222</f>
        <v>766</v>
      </c>
      <c r="C222">
        <f>DATA!I222</f>
        <v>3</v>
      </c>
      <c r="D222" s="12">
        <f>DATA!M222</f>
        <v>0</v>
      </c>
    </row>
    <row r="223" spans="1:4" x14ac:dyDescent="0.3">
      <c r="A223">
        <v>1</v>
      </c>
      <c r="B223">
        <f>DATA!C223</f>
        <v>728</v>
      </c>
      <c r="C223">
        <f>DATA!I223</f>
        <v>3</v>
      </c>
      <c r="D223" s="12">
        <f>DATA!M223</f>
        <v>1</v>
      </c>
    </row>
    <row r="224" spans="1:4" x14ac:dyDescent="0.3">
      <c r="A224">
        <v>0</v>
      </c>
      <c r="B224">
        <f>DATA!C224</f>
        <v>639</v>
      </c>
      <c r="C224">
        <f>DATA!I224</f>
        <v>1</v>
      </c>
      <c r="D224" s="12">
        <f>DATA!M224</f>
        <v>0</v>
      </c>
    </row>
    <row r="225" spans="1:4" x14ac:dyDescent="0.3">
      <c r="A225">
        <v>0</v>
      </c>
      <c r="B225">
        <f>DATA!C225</f>
        <v>760</v>
      </c>
      <c r="C225">
        <f>DATA!I225</f>
        <v>4</v>
      </c>
      <c r="D225" s="12">
        <f>DATA!M225</f>
        <v>0</v>
      </c>
    </row>
    <row r="226" spans="1:4" x14ac:dyDescent="0.3">
      <c r="A226">
        <v>1</v>
      </c>
      <c r="B226">
        <f>DATA!C226</f>
        <v>449</v>
      </c>
      <c r="C226">
        <f>DATA!I226</f>
        <v>3</v>
      </c>
      <c r="D226" s="12">
        <f>DATA!M226</f>
        <v>0</v>
      </c>
    </row>
    <row r="227" spans="1:4" x14ac:dyDescent="0.3">
      <c r="A227">
        <v>1</v>
      </c>
      <c r="B227">
        <f>DATA!C227</f>
        <v>567</v>
      </c>
      <c r="C227">
        <f>DATA!I227</f>
        <v>2</v>
      </c>
      <c r="D227" s="12">
        <f>DATA!M227</f>
        <v>0</v>
      </c>
    </row>
    <row r="228" spans="1:4" x14ac:dyDescent="0.3">
      <c r="A228">
        <v>1</v>
      </c>
      <c r="B228">
        <f>DATA!C228</f>
        <v>656</v>
      </c>
      <c r="C228">
        <f>DATA!I228</f>
        <v>3</v>
      </c>
      <c r="D228" s="12">
        <f>DATA!M228</f>
        <v>1</v>
      </c>
    </row>
    <row r="229" spans="1:4" x14ac:dyDescent="0.3">
      <c r="A229">
        <v>1</v>
      </c>
      <c r="B229">
        <f>DATA!C229</f>
        <v>694</v>
      </c>
      <c r="C229">
        <f>DATA!I229</f>
        <v>4</v>
      </c>
      <c r="D229" s="12">
        <f>DATA!M229</f>
        <v>1</v>
      </c>
    </row>
    <row r="230" spans="1:4" x14ac:dyDescent="0.3">
      <c r="A230">
        <v>1</v>
      </c>
      <c r="B230">
        <f>DATA!C230</f>
        <v>560</v>
      </c>
      <c r="C230">
        <f>DATA!I230</f>
        <v>1</v>
      </c>
      <c r="D230" s="12">
        <f>DATA!M230</f>
        <v>1</v>
      </c>
    </row>
    <row r="231" spans="1:4" x14ac:dyDescent="0.3">
      <c r="A231">
        <v>0</v>
      </c>
      <c r="B231">
        <f>DATA!C231</f>
        <v>626</v>
      </c>
      <c r="C231">
        <f>DATA!I231</f>
        <v>1</v>
      </c>
      <c r="D231" s="12">
        <f>DATA!M231</f>
        <v>1</v>
      </c>
    </row>
    <row r="232" spans="1:4" x14ac:dyDescent="0.3">
      <c r="A232">
        <v>1</v>
      </c>
      <c r="B232">
        <f>DATA!C232</f>
        <v>572</v>
      </c>
      <c r="C232">
        <f>DATA!I232</f>
        <v>1</v>
      </c>
      <c r="D232" s="12">
        <f>DATA!M232</f>
        <v>0</v>
      </c>
    </row>
    <row r="233" spans="1:4" x14ac:dyDescent="0.3">
      <c r="A233">
        <v>0</v>
      </c>
      <c r="B233">
        <f>DATA!C233</f>
        <v>506</v>
      </c>
      <c r="C233">
        <f>DATA!I233</f>
        <v>2</v>
      </c>
      <c r="D233" s="12">
        <f>DATA!M233</f>
        <v>1</v>
      </c>
    </row>
    <row r="234" spans="1:4" x14ac:dyDescent="0.3">
      <c r="A234">
        <v>0</v>
      </c>
      <c r="B234">
        <f>DATA!C234</f>
        <v>422</v>
      </c>
      <c r="C234">
        <f>DATA!I234</f>
        <v>3</v>
      </c>
      <c r="D234" s="12">
        <f>DATA!M234</f>
        <v>1</v>
      </c>
    </row>
    <row r="235" spans="1:4" x14ac:dyDescent="0.3">
      <c r="A235">
        <v>0</v>
      </c>
      <c r="B235">
        <f>DATA!C235</f>
        <v>624</v>
      </c>
      <c r="C235">
        <f>DATA!I235</f>
        <v>1</v>
      </c>
      <c r="D235" s="12">
        <f>DATA!M235</f>
        <v>1</v>
      </c>
    </row>
    <row r="236" spans="1:4" x14ac:dyDescent="0.3">
      <c r="A236">
        <v>1</v>
      </c>
      <c r="B236">
        <f>DATA!C236</f>
        <v>759</v>
      </c>
      <c r="C236">
        <f>DATA!I236</f>
        <v>4</v>
      </c>
      <c r="D236" s="12">
        <f>DATA!M236</f>
        <v>1</v>
      </c>
    </row>
    <row r="237" spans="1:4" x14ac:dyDescent="0.3">
      <c r="A237">
        <v>0</v>
      </c>
      <c r="B237">
        <f>DATA!C237</f>
        <v>758</v>
      </c>
      <c r="C237">
        <f>DATA!I237</f>
        <v>1</v>
      </c>
      <c r="D237" s="12">
        <f>DATA!M237</f>
        <v>0</v>
      </c>
    </row>
    <row r="238" spans="1:4" x14ac:dyDescent="0.3">
      <c r="A238">
        <v>0</v>
      </c>
      <c r="B238">
        <f>DATA!C238</f>
        <v>389</v>
      </c>
      <c r="C238">
        <f>DATA!I238</f>
        <v>1</v>
      </c>
      <c r="D238" s="12">
        <f>DATA!M238</f>
        <v>0</v>
      </c>
    </row>
    <row r="239" spans="1:4" x14ac:dyDescent="0.3">
      <c r="A239">
        <v>1</v>
      </c>
      <c r="B239">
        <f>DATA!C239</f>
        <v>584</v>
      </c>
      <c r="C239">
        <f>DATA!I239</f>
        <v>3</v>
      </c>
      <c r="D239" s="12">
        <f>DATA!M239</f>
        <v>0</v>
      </c>
    </row>
    <row r="240" spans="1:4" x14ac:dyDescent="0.3">
      <c r="A240">
        <v>0</v>
      </c>
      <c r="B240">
        <f>DATA!C240</f>
        <v>473</v>
      </c>
      <c r="C240">
        <f>DATA!I240</f>
        <v>3</v>
      </c>
      <c r="D240" s="12">
        <f>DATA!M240</f>
        <v>1</v>
      </c>
    </row>
    <row r="241" spans="1:4" x14ac:dyDescent="0.3">
      <c r="A241">
        <v>1</v>
      </c>
      <c r="B241">
        <f>DATA!C241</f>
        <v>634</v>
      </c>
      <c r="C241">
        <f>DATA!I241</f>
        <v>3</v>
      </c>
      <c r="D241" s="12">
        <f>DATA!M241</f>
        <v>1</v>
      </c>
    </row>
    <row r="242" spans="1:4" x14ac:dyDescent="0.3">
      <c r="A242">
        <v>0</v>
      </c>
      <c r="B242">
        <f>DATA!C242</f>
        <v>502</v>
      </c>
      <c r="C242">
        <f>DATA!I242</f>
        <v>4</v>
      </c>
      <c r="D242" s="12">
        <f>DATA!M242</f>
        <v>1</v>
      </c>
    </row>
    <row r="243" spans="1:4" x14ac:dyDescent="0.3">
      <c r="A243">
        <v>1</v>
      </c>
      <c r="B243">
        <f>DATA!C243</f>
        <v>496</v>
      </c>
      <c r="C243">
        <f>DATA!I243</f>
        <v>3</v>
      </c>
      <c r="D243" s="12">
        <f>DATA!M243</f>
        <v>0</v>
      </c>
    </row>
    <row r="244" spans="1:4" x14ac:dyDescent="0.3">
      <c r="A244">
        <v>1</v>
      </c>
      <c r="B244">
        <f>DATA!C244</f>
        <v>545</v>
      </c>
      <c r="C244">
        <f>DATA!I244</f>
        <v>3</v>
      </c>
      <c r="D244" s="12">
        <f>DATA!M244</f>
        <v>0</v>
      </c>
    </row>
    <row r="245" spans="1:4" x14ac:dyDescent="0.3">
      <c r="A245">
        <v>1</v>
      </c>
      <c r="B245">
        <f>DATA!C245</f>
        <v>522</v>
      </c>
      <c r="C245">
        <f>DATA!I245</f>
        <v>3</v>
      </c>
      <c r="D245" s="12">
        <f>DATA!M245</f>
        <v>1</v>
      </c>
    </row>
    <row r="246" spans="1:4" x14ac:dyDescent="0.3">
      <c r="A246">
        <v>0</v>
      </c>
      <c r="B246">
        <f>DATA!C246</f>
        <v>561</v>
      </c>
      <c r="C246">
        <f>DATA!I246</f>
        <v>1</v>
      </c>
      <c r="D246" s="12">
        <f>DATA!M246</f>
        <v>1</v>
      </c>
    </row>
    <row r="247" spans="1:4" x14ac:dyDescent="0.3">
      <c r="A247">
        <v>0</v>
      </c>
      <c r="B247">
        <f>DATA!C247</f>
        <v>651</v>
      </c>
      <c r="C247">
        <f>DATA!I247</f>
        <v>4</v>
      </c>
      <c r="D247" s="12">
        <f>DATA!M247</f>
        <v>0</v>
      </c>
    </row>
    <row r="248" spans="1:4" x14ac:dyDescent="0.3">
      <c r="A248">
        <v>1</v>
      </c>
      <c r="B248">
        <f>DATA!C248</f>
        <v>660</v>
      </c>
      <c r="C248">
        <f>DATA!I248</f>
        <v>2</v>
      </c>
      <c r="D248" s="12">
        <f>DATA!M248</f>
        <v>0</v>
      </c>
    </row>
    <row r="249" spans="1:4" x14ac:dyDescent="0.3">
      <c r="A249">
        <v>1</v>
      </c>
      <c r="B249">
        <f>DATA!C249</f>
        <v>350</v>
      </c>
      <c r="C249">
        <f>DATA!I249</f>
        <v>4</v>
      </c>
      <c r="D249" s="12">
        <f>DATA!M249</f>
        <v>0</v>
      </c>
    </row>
    <row r="250" spans="1:4" x14ac:dyDescent="0.3">
      <c r="A250">
        <v>0</v>
      </c>
      <c r="B250">
        <f>DATA!C250</f>
        <v>488</v>
      </c>
      <c r="C250">
        <f>DATA!I250</f>
        <v>1</v>
      </c>
      <c r="D250" s="12">
        <f>DATA!M250</f>
        <v>0</v>
      </c>
    </row>
    <row r="251" spans="1:4" x14ac:dyDescent="0.3">
      <c r="A251">
        <v>1</v>
      </c>
      <c r="B251">
        <f>DATA!C251</f>
        <v>545</v>
      </c>
      <c r="C251">
        <f>DATA!I251</f>
        <v>2</v>
      </c>
      <c r="D251" s="12">
        <f>DATA!M251</f>
        <v>0</v>
      </c>
    </row>
    <row r="252" spans="1:4" x14ac:dyDescent="0.3">
      <c r="A252">
        <v>1</v>
      </c>
      <c r="B252">
        <f>DATA!C252</f>
        <v>740</v>
      </c>
      <c r="C252">
        <f>DATA!I252</f>
        <v>4</v>
      </c>
      <c r="D252" s="12">
        <f>DATA!M252</f>
        <v>0</v>
      </c>
    </row>
    <row r="253" spans="1:4" x14ac:dyDescent="0.3">
      <c r="A253">
        <v>0</v>
      </c>
      <c r="B253">
        <f>DATA!C253</f>
        <v>569</v>
      </c>
      <c r="C253">
        <f>DATA!I253</f>
        <v>1</v>
      </c>
      <c r="D253" s="12">
        <f>DATA!M253</f>
        <v>1</v>
      </c>
    </row>
    <row r="254" spans="1:4" x14ac:dyDescent="0.3">
      <c r="A254">
        <v>0</v>
      </c>
      <c r="B254">
        <f>DATA!C254</f>
        <v>705</v>
      </c>
      <c r="C254">
        <f>DATA!I254</f>
        <v>1</v>
      </c>
      <c r="D254" s="12">
        <f>DATA!M254</f>
        <v>0</v>
      </c>
    </row>
    <row r="255" spans="1:4" x14ac:dyDescent="0.3">
      <c r="A255">
        <v>0</v>
      </c>
      <c r="B255">
        <f>DATA!C255</f>
        <v>791</v>
      </c>
      <c r="C255">
        <f>DATA!I255</f>
        <v>2</v>
      </c>
      <c r="D255" s="12">
        <f>DATA!M255</f>
        <v>1</v>
      </c>
    </row>
    <row r="256" spans="1:4" x14ac:dyDescent="0.3">
      <c r="A256">
        <v>0</v>
      </c>
      <c r="B256">
        <f>DATA!C256</f>
        <v>804</v>
      </c>
      <c r="C256">
        <f>DATA!I256</f>
        <v>1</v>
      </c>
      <c r="D256" s="12">
        <f>DATA!M256</f>
        <v>0</v>
      </c>
    </row>
    <row r="257" spans="1:4" x14ac:dyDescent="0.3">
      <c r="A257">
        <v>0</v>
      </c>
      <c r="B257">
        <f>DATA!C257</f>
        <v>753</v>
      </c>
      <c r="C257">
        <f>DATA!I257</f>
        <v>2</v>
      </c>
      <c r="D257" s="12">
        <f>DATA!M257</f>
        <v>1</v>
      </c>
    </row>
    <row r="258" spans="1:4" x14ac:dyDescent="0.3">
      <c r="A258">
        <v>1</v>
      </c>
      <c r="B258">
        <f>DATA!C258</f>
        <v>512</v>
      </c>
      <c r="C258">
        <f>DATA!I258</f>
        <v>4</v>
      </c>
      <c r="D258" s="12">
        <f>DATA!M258</f>
        <v>1</v>
      </c>
    </row>
    <row r="259" spans="1:4" x14ac:dyDescent="0.3">
      <c r="A259">
        <v>1</v>
      </c>
      <c r="B259">
        <f>DATA!C259</f>
        <v>400</v>
      </c>
      <c r="C259">
        <f>DATA!I259</f>
        <v>2</v>
      </c>
      <c r="D259" s="12">
        <f>DATA!M259</f>
        <v>1</v>
      </c>
    </row>
    <row r="260" spans="1:4" x14ac:dyDescent="0.3">
      <c r="A260">
        <v>1</v>
      </c>
      <c r="B260">
        <f>DATA!C260</f>
        <v>592</v>
      </c>
      <c r="C260">
        <f>DATA!I260</f>
        <v>2</v>
      </c>
      <c r="D260" s="12">
        <f>DATA!M260</f>
        <v>1</v>
      </c>
    </row>
    <row r="261" spans="1:4" x14ac:dyDescent="0.3">
      <c r="A261">
        <v>1</v>
      </c>
      <c r="B261">
        <f>DATA!C261</f>
        <v>708</v>
      </c>
      <c r="C261">
        <f>DATA!I261</f>
        <v>1</v>
      </c>
      <c r="D261" s="12">
        <f>DATA!M261</f>
        <v>0</v>
      </c>
    </row>
    <row r="262" spans="1:4" x14ac:dyDescent="0.3">
      <c r="A262">
        <v>1</v>
      </c>
      <c r="B262">
        <f>DATA!C262</f>
        <v>370</v>
      </c>
      <c r="C262">
        <f>DATA!I262</f>
        <v>3</v>
      </c>
      <c r="D262" s="12">
        <f>DATA!M262</f>
        <v>1</v>
      </c>
    </row>
    <row r="263" spans="1:4" x14ac:dyDescent="0.3">
      <c r="A263">
        <v>1</v>
      </c>
      <c r="B263">
        <f>DATA!C263</f>
        <v>521</v>
      </c>
      <c r="C263">
        <f>DATA!I263</f>
        <v>1</v>
      </c>
      <c r="D263" s="12">
        <f>DATA!M263</f>
        <v>1</v>
      </c>
    </row>
    <row r="264" spans="1:4" x14ac:dyDescent="0.3">
      <c r="A264">
        <v>1</v>
      </c>
      <c r="B264">
        <f>DATA!C264</f>
        <v>468</v>
      </c>
      <c r="C264">
        <f>DATA!I264</f>
        <v>1</v>
      </c>
      <c r="D264" s="12">
        <f>DATA!M264</f>
        <v>0</v>
      </c>
    </row>
    <row r="265" spans="1:4" x14ac:dyDescent="0.3">
      <c r="A265">
        <v>1</v>
      </c>
      <c r="B265">
        <f>DATA!C265</f>
        <v>478</v>
      </c>
      <c r="C265">
        <f>DATA!I265</f>
        <v>4</v>
      </c>
      <c r="D265" s="12">
        <f>DATA!M265</f>
        <v>1</v>
      </c>
    </row>
    <row r="266" spans="1:4" x14ac:dyDescent="0.3">
      <c r="A266">
        <v>1</v>
      </c>
      <c r="B266">
        <f>DATA!C266</f>
        <v>834</v>
      </c>
      <c r="C266">
        <f>DATA!I266</f>
        <v>2</v>
      </c>
      <c r="D266" s="12">
        <f>DATA!M266</f>
        <v>0</v>
      </c>
    </row>
    <row r="267" spans="1:4" x14ac:dyDescent="0.3">
      <c r="A267">
        <v>0</v>
      </c>
      <c r="B267">
        <f>DATA!C267</f>
        <v>715</v>
      </c>
      <c r="C267">
        <f>DATA!I267</f>
        <v>4</v>
      </c>
      <c r="D267" s="12">
        <f>DATA!M267</f>
        <v>1</v>
      </c>
    </row>
    <row r="268" spans="1:4" x14ac:dyDescent="0.3">
      <c r="A268">
        <v>1</v>
      </c>
      <c r="B268">
        <f>DATA!C268</f>
        <v>455</v>
      </c>
      <c r="C268">
        <f>DATA!I268</f>
        <v>4</v>
      </c>
      <c r="D268" s="12">
        <f>DATA!M268</f>
        <v>0</v>
      </c>
    </row>
    <row r="269" spans="1:4" x14ac:dyDescent="0.3">
      <c r="A269">
        <v>1</v>
      </c>
      <c r="B269">
        <f>DATA!C269</f>
        <v>544</v>
      </c>
      <c r="C269">
        <f>DATA!I269</f>
        <v>2</v>
      </c>
      <c r="D269" s="12">
        <f>DATA!M269</f>
        <v>1</v>
      </c>
    </row>
    <row r="270" spans="1:4" x14ac:dyDescent="0.3">
      <c r="A270">
        <v>0</v>
      </c>
      <c r="B270">
        <f>DATA!C270</f>
        <v>575</v>
      </c>
      <c r="C270">
        <f>DATA!I270</f>
        <v>4</v>
      </c>
      <c r="D270" s="12">
        <f>DATA!M270</f>
        <v>1</v>
      </c>
    </row>
    <row r="271" spans="1:4" x14ac:dyDescent="0.3">
      <c r="A271">
        <v>1</v>
      </c>
      <c r="B271">
        <f>DATA!C271</f>
        <v>490</v>
      </c>
      <c r="C271">
        <f>DATA!I271</f>
        <v>3</v>
      </c>
      <c r="D271" s="12">
        <f>DATA!M271</f>
        <v>1</v>
      </c>
    </row>
    <row r="272" spans="1:4" x14ac:dyDescent="0.3">
      <c r="A272">
        <v>1</v>
      </c>
      <c r="B272">
        <f>DATA!C272</f>
        <v>621</v>
      </c>
      <c r="C272">
        <f>DATA!I272</f>
        <v>2</v>
      </c>
      <c r="D272" s="12">
        <f>DATA!M272</f>
        <v>1</v>
      </c>
    </row>
    <row r="273" spans="1:4" x14ac:dyDescent="0.3">
      <c r="A273">
        <v>0</v>
      </c>
      <c r="B273">
        <f>DATA!C273</f>
        <v>468</v>
      </c>
      <c r="C273">
        <f>DATA!I273</f>
        <v>4</v>
      </c>
      <c r="D273" s="12">
        <f>DATA!M273</f>
        <v>1</v>
      </c>
    </row>
    <row r="274" spans="1:4" x14ac:dyDescent="0.3">
      <c r="A274">
        <v>0</v>
      </c>
      <c r="B274">
        <f>DATA!C274</f>
        <v>383</v>
      </c>
      <c r="C274">
        <f>DATA!I274</f>
        <v>3</v>
      </c>
      <c r="D274" s="12">
        <f>DATA!M274</f>
        <v>1</v>
      </c>
    </row>
    <row r="275" spans="1:4" x14ac:dyDescent="0.3">
      <c r="A275">
        <v>0</v>
      </c>
      <c r="B275">
        <f>DATA!C275</f>
        <v>501</v>
      </c>
      <c r="C275">
        <f>DATA!I275</f>
        <v>1</v>
      </c>
      <c r="D275" s="12">
        <f>DATA!M275</f>
        <v>0</v>
      </c>
    </row>
    <row r="276" spans="1:4" x14ac:dyDescent="0.3">
      <c r="A276">
        <v>0</v>
      </c>
      <c r="B276">
        <f>DATA!C276</f>
        <v>746</v>
      </c>
      <c r="C276">
        <f>DATA!I276</f>
        <v>2</v>
      </c>
      <c r="D276" s="12">
        <f>DATA!M276</f>
        <v>0</v>
      </c>
    </row>
    <row r="277" spans="1:4" x14ac:dyDescent="0.3">
      <c r="A277">
        <v>0</v>
      </c>
      <c r="B277">
        <f>DATA!C277</f>
        <v>739</v>
      </c>
      <c r="C277">
        <f>DATA!I277</f>
        <v>1</v>
      </c>
      <c r="D277" s="12">
        <f>DATA!M277</f>
        <v>0</v>
      </c>
    </row>
    <row r="278" spans="1:4" x14ac:dyDescent="0.3">
      <c r="A278">
        <v>0</v>
      </c>
      <c r="B278">
        <f>DATA!C278</f>
        <v>388</v>
      </c>
      <c r="C278">
        <f>DATA!I278</f>
        <v>4</v>
      </c>
      <c r="D278" s="12">
        <f>DATA!M278</f>
        <v>1</v>
      </c>
    </row>
    <row r="279" spans="1:4" x14ac:dyDescent="0.3">
      <c r="A279">
        <v>1</v>
      </c>
      <c r="B279">
        <f>DATA!C279</f>
        <v>607</v>
      </c>
      <c r="C279">
        <f>DATA!I279</f>
        <v>3</v>
      </c>
      <c r="D279" s="12">
        <f>DATA!M279</f>
        <v>1</v>
      </c>
    </row>
    <row r="280" spans="1:4" x14ac:dyDescent="0.3">
      <c r="A280">
        <v>1</v>
      </c>
      <c r="B280">
        <f>DATA!C280</f>
        <v>616</v>
      </c>
      <c r="C280">
        <f>DATA!I280</f>
        <v>3</v>
      </c>
      <c r="D280" s="12">
        <f>DATA!M280</f>
        <v>1</v>
      </c>
    </row>
    <row r="281" spans="1:4" x14ac:dyDescent="0.3">
      <c r="A281">
        <v>1</v>
      </c>
      <c r="B281">
        <f>DATA!C281</f>
        <v>356</v>
      </c>
      <c r="C281">
        <f>DATA!I281</f>
        <v>3</v>
      </c>
      <c r="D281" s="12">
        <f>DATA!M281</f>
        <v>1</v>
      </c>
    </row>
    <row r="282" spans="1:4" x14ac:dyDescent="0.3">
      <c r="A282">
        <v>1</v>
      </c>
      <c r="B282">
        <f>DATA!C282</f>
        <v>731</v>
      </c>
      <c r="C282">
        <f>DATA!I282</f>
        <v>1</v>
      </c>
      <c r="D282" s="12">
        <f>DATA!M282</f>
        <v>1</v>
      </c>
    </row>
    <row r="283" spans="1:4" x14ac:dyDescent="0.3">
      <c r="A283">
        <v>1</v>
      </c>
      <c r="B283">
        <f>DATA!C283</f>
        <v>612</v>
      </c>
      <c r="C283">
        <f>DATA!I283</f>
        <v>3</v>
      </c>
      <c r="D283" s="12">
        <f>DATA!M283</f>
        <v>1</v>
      </c>
    </row>
    <row r="284" spans="1:4" x14ac:dyDescent="0.3">
      <c r="A284">
        <v>1</v>
      </c>
      <c r="B284">
        <f>DATA!C284</f>
        <v>452</v>
      </c>
      <c r="C284">
        <f>DATA!I284</f>
        <v>3</v>
      </c>
      <c r="D284" s="12">
        <f>DATA!M284</f>
        <v>0</v>
      </c>
    </row>
    <row r="285" spans="1:4" x14ac:dyDescent="0.3">
      <c r="A285">
        <v>0</v>
      </c>
      <c r="B285">
        <f>DATA!C285</f>
        <v>772</v>
      </c>
      <c r="C285">
        <f>DATA!I285</f>
        <v>1</v>
      </c>
      <c r="D285" s="12">
        <f>DATA!M285</f>
        <v>1</v>
      </c>
    </row>
    <row r="286" spans="1:4" x14ac:dyDescent="0.3">
      <c r="A286">
        <v>1</v>
      </c>
      <c r="B286">
        <f>DATA!C286</f>
        <v>681</v>
      </c>
      <c r="C286">
        <f>DATA!I286</f>
        <v>1</v>
      </c>
      <c r="D286" s="12">
        <f>DATA!M286</f>
        <v>1</v>
      </c>
    </row>
    <row r="287" spans="1:4" x14ac:dyDescent="0.3">
      <c r="A287">
        <v>0</v>
      </c>
      <c r="B287">
        <f>DATA!C287</f>
        <v>720</v>
      </c>
      <c r="C287">
        <f>DATA!I287</f>
        <v>3</v>
      </c>
      <c r="D287" s="12">
        <f>DATA!M287</f>
        <v>1</v>
      </c>
    </row>
    <row r="288" spans="1:4" x14ac:dyDescent="0.3">
      <c r="A288">
        <v>0</v>
      </c>
      <c r="B288">
        <f>DATA!C288</f>
        <v>691</v>
      </c>
      <c r="C288">
        <f>DATA!I288</f>
        <v>4</v>
      </c>
      <c r="D288" s="12">
        <f>DATA!M288</f>
        <v>0</v>
      </c>
    </row>
    <row r="289" spans="1:4" x14ac:dyDescent="0.3">
      <c r="A289">
        <v>1</v>
      </c>
      <c r="B289">
        <f>DATA!C289</f>
        <v>732</v>
      </c>
      <c r="C289">
        <f>DATA!I289</f>
        <v>4</v>
      </c>
      <c r="D289" s="12">
        <f>DATA!M289</f>
        <v>1</v>
      </c>
    </row>
    <row r="290" spans="1:4" x14ac:dyDescent="0.3">
      <c r="A290">
        <v>0</v>
      </c>
      <c r="B290">
        <f>DATA!C290</f>
        <v>720</v>
      </c>
      <c r="C290">
        <f>DATA!I290</f>
        <v>2</v>
      </c>
      <c r="D290" s="12">
        <f>DATA!M290</f>
        <v>0</v>
      </c>
    </row>
    <row r="291" spans="1:4" x14ac:dyDescent="0.3">
      <c r="A291">
        <v>0</v>
      </c>
      <c r="B291">
        <f>DATA!C291</f>
        <v>528</v>
      </c>
      <c r="C291">
        <f>DATA!I291</f>
        <v>3</v>
      </c>
      <c r="D291" s="12">
        <f>DATA!M291</f>
        <v>0</v>
      </c>
    </row>
    <row r="292" spans="1:4" x14ac:dyDescent="0.3">
      <c r="A292">
        <v>0</v>
      </c>
      <c r="B292">
        <f>DATA!C292</f>
        <v>657</v>
      </c>
      <c r="C292">
        <f>DATA!I292</f>
        <v>2</v>
      </c>
      <c r="D292" s="12">
        <f>DATA!M292</f>
        <v>0</v>
      </c>
    </row>
    <row r="293" spans="1:4" x14ac:dyDescent="0.3">
      <c r="A293">
        <v>1</v>
      </c>
      <c r="B293">
        <f>DATA!C293</f>
        <v>608</v>
      </c>
      <c r="C293">
        <f>DATA!I293</f>
        <v>1</v>
      </c>
      <c r="D293" s="12">
        <f>DATA!M293</f>
        <v>1</v>
      </c>
    </row>
    <row r="294" spans="1:4" x14ac:dyDescent="0.3">
      <c r="A294">
        <v>1</v>
      </c>
      <c r="B294">
        <f>DATA!C294</f>
        <v>682</v>
      </c>
      <c r="C294">
        <f>DATA!I294</f>
        <v>1</v>
      </c>
      <c r="D294" s="12">
        <f>DATA!M294</f>
        <v>0</v>
      </c>
    </row>
    <row r="295" spans="1:4" x14ac:dyDescent="0.3">
      <c r="A295">
        <v>0</v>
      </c>
      <c r="B295">
        <f>DATA!C295</f>
        <v>507</v>
      </c>
      <c r="C295">
        <f>DATA!I295</f>
        <v>1</v>
      </c>
      <c r="D295" s="12">
        <f>DATA!M295</f>
        <v>1</v>
      </c>
    </row>
    <row r="296" spans="1:4" x14ac:dyDescent="0.3">
      <c r="A296">
        <v>1</v>
      </c>
      <c r="B296">
        <f>DATA!C296</f>
        <v>359</v>
      </c>
      <c r="C296">
        <f>DATA!I296</f>
        <v>1</v>
      </c>
      <c r="D296" s="12">
        <f>DATA!M296</f>
        <v>0</v>
      </c>
    </row>
    <row r="297" spans="1:4" x14ac:dyDescent="0.3">
      <c r="A297">
        <v>1</v>
      </c>
      <c r="B297">
        <f>DATA!C297</f>
        <v>465</v>
      </c>
      <c r="C297">
        <f>DATA!I297</f>
        <v>4</v>
      </c>
      <c r="D297" s="12">
        <f>DATA!M297</f>
        <v>0</v>
      </c>
    </row>
    <row r="298" spans="1:4" x14ac:dyDescent="0.3">
      <c r="A298">
        <v>0</v>
      </c>
      <c r="B298">
        <f>DATA!C298</f>
        <v>806</v>
      </c>
      <c r="C298">
        <f>DATA!I298</f>
        <v>1</v>
      </c>
      <c r="D298" s="12">
        <f>DATA!M298</f>
        <v>1</v>
      </c>
    </row>
    <row r="299" spans="1:4" x14ac:dyDescent="0.3">
      <c r="A299">
        <v>1</v>
      </c>
      <c r="B299">
        <f>DATA!C299</f>
        <v>739</v>
      </c>
      <c r="C299">
        <f>DATA!I299</f>
        <v>1</v>
      </c>
      <c r="D299" s="12">
        <f>DATA!M299</f>
        <v>1</v>
      </c>
    </row>
    <row r="300" spans="1:4" x14ac:dyDescent="0.3">
      <c r="A300">
        <v>0</v>
      </c>
      <c r="B300">
        <f>DATA!C300</f>
        <v>466</v>
      </c>
      <c r="C300">
        <f>DATA!I300</f>
        <v>4</v>
      </c>
      <c r="D300" s="12">
        <f>DATA!M300</f>
        <v>1</v>
      </c>
    </row>
    <row r="301" spans="1:4" x14ac:dyDescent="0.3">
      <c r="A301">
        <v>1</v>
      </c>
      <c r="B301">
        <f>DATA!C301</f>
        <v>531</v>
      </c>
      <c r="C301">
        <f>DATA!I301</f>
        <v>1</v>
      </c>
      <c r="D301" s="12">
        <f>DATA!M301</f>
        <v>0</v>
      </c>
    </row>
    <row r="302" spans="1:4" x14ac:dyDescent="0.3">
      <c r="A302">
        <v>1</v>
      </c>
      <c r="B302">
        <f>DATA!C302</f>
        <v>585</v>
      </c>
      <c r="C302">
        <f>DATA!I302</f>
        <v>2</v>
      </c>
      <c r="D302" s="12">
        <f>DATA!M302</f>
        <v>1</v>
      </c>
    </row>
    <row r="303" spans="1:4" x14ac:dyDescent="0.3">
      <c r="A303">
        <v>0</v>
      </c>
      <c r="B303">
        <f>DATA!C303</f>
        <v>543</v>
      </c>
      <c r="C303">
        <f>DATA!I303</f>
        <v>3</v>
      </c>
      <c r="D303" s="12">
        <f>DATA!M303</f>
        <v>1</v>
      </c>
    </row>
    <row r="304" spans="1:4" x14ac:dyDescent="0.3">
      <c r="A304">
        <v>0</v>
      </c>
      <c r="B304">
        <f>DATA!C304</f>
        <v>649</v>
      </c>
      <c r="C304">
        <f>DATA!I304</f>
        <v>3</v>
      </c>
      <c r="D304" s="12">
        <f>DATA!M304</f>
        <v>0</v>
      </c>
    </row>
    <row r="305" spans="1:4" x14ac:dyDescent="0.3">
      <c r="A305">
        <v>0</v>
      </c>
      <c r="B305">
        <f>DATA!C305</f>
        <v>429</v>
      </c>
      <c r="C305">
        <f>DATA!I305</f>
        <v>1</v>
      </c>
      <c r="D305" s="12">
        <f>DATA!M305</f>
        <v>1</v>
      </c>
    </row>
    <row r="306" spans="1:4" x14ac:dyDescent="0.3">
      <c r="A306">
        <v>1</v>
      </c>
      <c r="B306">
        <f>DATA!C306</f>
        <v>412</v>
      </c>
      <c r="C306">
        <f>DATA!I306</f>
        <v>1</v>
      </c>
      <c r="D306" s="12">
        <f>DATA!M306</f>
        <v>0</v>
      </c>
    </row>
    <row r="307" spans="1:4" x14ac:dyDescent="0.3">
      <c r="A307">
        <v>0</v>
      </c>
      <c r="B307">
        <f>DATA!C307</f>
        <v>682</v>
      </c>
      <c r="C307">
        <f>DATA!I307</f>
        <v>1</v>
      </c>
      <c r="D307" s="12">
        <f>DATA!M307</f>
        <v>0</v>
      </c>
    </row>
    <row r="308" spans="1:4" x14ac:dyDescent="0.3">
      <c r="A308">
        <v>1</v>
      </c>
      <c r="B308">
        <f>DATA!C308</f>
        <v>397</v>
      </c>
      <c r="C308">
        <f>DATA!I308</f>
        <v>4</v>
      </c>
      <c r="D308" s="12">
        <f>DATA!M308</f>
        <v>1</v>
      </c>
    </row>
    <row r="309" spans="1:4" x14ac:dyDescent="0.3">
      <c r="A309">
        <v>1</v>
      </c>
      <c r="B309">
        <f>DATA!C309</f>
        <v>426</v>
      </c>
      <c r="C309">
        <f>DATA!I309</f>
        <v>3</v>
      </c>
      <c r="D309" s="12">
        <f>DATA!M309</f>
        <v>0</v>
      </c>
    </row>
    <row r="310" spans="1:4" x14ac:dyDescent="0.3">
      <c r="A310">
        <v>1</v>
      </c>
      <c r="B310">
        <f>DATA!C310</f>
        <v>499</v>
      </c>
      <c r="C310">
        <f>DATA!I310</f>
        <v>2</v>
      </c>
      <c r="D310" s="12">
        <f>DATA!M310</f>
        <v>1</v>
      </c>
    </row>
    <row r="311" spans="1:4" x14ac:dyDescent="0.3">
      <c r="A311">
        <v>1</v>
      </c>
      <c r="B311">
        <f>DATA!C311</f>
        <v>470</v>
      </c>
      <c r="C311">
        <f>DATA!I311</f>
        <v>4</v>
      </c>
      <c r="D311" s="12">
        <f>DATA!M311</f>
        <v>1</v>
      </c>
    </row>
    <row r="312" spans="1:4" x14ac:dyDescent="0.3">
      <c r="A312">
        <v>0</v>
      </c>
      <c r="B312">
        <f>DATA!C312</f>
        <v>624</v>
      </c>
      <c r="C312">
        <f>DATA!I312</f>
        <v>4</v>
      </c>
      <c r="D312" s="12">
        <f>DATA!M312</f>
        <v>0</v>
      </c>
    </row>
    <row r="313" spans="1:4" x14ac:dyDescent="0.3">
      <c r="A313">
        <v>0</v>
      </c>
      <c r="B313">
        <f>DATA!C313</f>
        <v>695</v>
      </c>
      <c r="C313">
        <f>DATA!I313</f>
        <v>4</v>
      </c>
      <c r="D313" s="12">
        <f>DATA!M313</f>
        <v>1</v>
      </c>
    </row>
    <row r="314" spans="1:4" x14ac:dyDescent="0.3">
      <c r="A314">
        <v>0</v>
      </c>
      <c r="B314">
        <f>DATA!C314</f>
        <v>363</v>
      </c>
      <c r="C314">
        <f>DATA!I314</f>
        <v>2</v>
      </c>
      <c r="D314" s="12">
        <f>DATA!M314</f>
        <v>1</v>
      </c>
    </row>
    <row r="315" spans="1:4" x14ac:dyDescent="0.3">
      <c r="A315">
        <v>0</v>
      </c>
      <c r="B315">
        <f>DATA!C315</f>
        <v>572</v>
      </c>
      <c r="C315">
        <f>DATA!I315</f>
        <v>2</v>
      </c>
      <c r="D315" s="12">
        <f>DATA!M315</f>
        <v>1</v>
      </c>
    </row>
    <row r="316" spans="1:4" x14ac:dyDescent="0.3">
      <c r="A316">
        <v>1</v>
      </c>
      <c r="B316">
        <f>DATA!C316</f>
        <v>442</v>
      </c>
      <c r="C316">
        <f>DATA!I316</f>
        <v>3</v>
      </c>
      <c r="D316" s="12">
        <f>DATA!M316</f>
        <v>0</v>
      </c>
    </row>
    <row r="317" spans="1:4" x14ac:dyDescent="0.3">
      <c r="A317">
        <v>0</v>
      </c>
      <c r="B317">
        <f>DATA!C317</f>
        <v>586</v>
      </c>
      <c r="C317">
        <f>DATA!I317</f>
        <v>2</v>
      </c>
      <c r="D317" s="12">
        <f>DATA!M317</f>
        <v>0</v>
      </c>
    </row>
    <row r="318" spans="1:4" x14ac:dyDescent="0.3">
      <c r="A318">
        <v>0</v>
      </c>
      <c r="B318">
        <f>DATA!C318</f>
        <v>455</v>
      </c>
      <c r="C318">
        <f>DATA!I318</f>
        <v>1</v>
      </c>
      <c r="D318" s="12">
        <f>DATA!M318</f>
        <v>1</v>
      </c>
    </row>
    <row r="319" spans="1:4" x14ac:dyDescent="0.3">
      <c r="A319">
        <v>1</v>
      </c>
      <c r="B319">
        <f>DATA!C319</f>
        <v>563</v>
      </c>
      <c r="C319">
        <f>DATA!I319</f>
        <v>1</v>
      </c>
      <c r="D319" s="12">
        <f>DATA!M319</f>
        <v>1</v>
      </c>
    </row>
    <row r="320" spans="1:4" x14ac:dyDescent="0.3">
      <c r="A320">
        <v>0</v>
      </c>
      <c r="B320">
        <f>DATA!C320</f>
        <v>356</v>
      </c>
      <c r="C320">
        <f>DATA!I320</f>
        <v>3</v>
      </c>
      <c r="D320" s="12">
        <f>DATA!M320</f>
        <v>1</v>
      </c>
    </row>
    <row r="321" spans="1:4" x14ac:dyDescent="0.3">
      <c r="A321">
        <v>0</v>
      </c>
      <c r="B321">
        <f>DATA!C321</f>
        <v>450</v>
      </c>
      <c r="C321">
        <f>DATA!I321</f>
        <v>2</v>
      </c>
      <c r="D321" s="12">
        <f>DATA!M321</f>
        <v>1</v>
      </c>
    </row>
    <row r="322" spans="1:4" x14ac:dyDescent="0.3">
      <c r="A322">
        <v>0</v>
      </c>
      <c r="B322">
        <f>DATA!C322</f>
        <v>398</v>
      </c>
      <c r="C322">
        <f>DATA!I322</f>
        <v>3</v>
      </c>
      <c r="D322" s="12">
        <f>DATA!M322</f>
        <v>0</v>
      </c>
    </row>
    <row r="323" spans="1:4" x14ac:dyDescent="0.3">
      <c r="A323">
        <v>1</v>
      </c>
      <c r="B323">
        <f>DATA!C323</f>
        <v>390</v>
      </c>
      <c r="C323">
        <f>DATA!I323</f>
        <v>3</v>
      </c>
      <c r="D323" s="12">
        <f>DATA!M323</f>
        <v>1</v>
      </c>
    </row>
    <row r="324" spans="1:4" x14ac:dyDescent="0.3">
      <c r="A324">
        <v>0</v>
      </c>
      <c r="B324">
        <f>DATA!C324</f>
        <v>760</v>
      </c>
      <c r="C324">
        <f>DATA!I324</f>
        <v>2</v>
      </c>
      <c r="D324" s="12">
        <f>DATA!M324</f>
        <v>1</v>
      </c>
    </row>
    <row r="325" spans="1:4" x14ac:dyDescent="0.3">
      <c r="A325">
        <v>0</v>
      </c>
      <c r="B325">
        <f>DATA!C325</f>
        <v>508</v>
      </c>
      <c r="C325">
        <f>DATA!I325</f>
        <v>4</v>
      </c>
      <c r="D325" s="12">
        <f>DATA!M325</f>
        <v>0</v>
      </c>
    </row>
    <row r="326" spans="1:4" x14ac:dyDescent="0.3">
      <c r="A326">
        <v>0</v>
      </c>
      <c r="B326">
        <f>DATA!C326</f>
        <v>739</v>
      </c>
      <c r="C326">
        <f>DATA!I326</f>
        <v>2</v>
      </c>
      <c r="D326" s="12">
        <f>DATA!M326</f>
        <v>1</v>
      </c>
    </row>
    <row r="327" spans="1:4" x14ac:dyDescent="0.3">
      <c r="A327">
        <v>1</v>
      </c>
      <c r="B327">
        <f>DATA!C327</f>
        <v>493</v>
      </c>
      <c r="C327">
        <f>DATA!I327</f>
        <v>1</v>
      </c>
      <c r="D327" s="12">
        <f>DATA!M327</f>
        <v>1</v>
      </c>
    </row>
    <row r="328" spans="1:4" x14ac:dyDescent="0.3">
      <c r="A328">
        <v>1</v>
      </c>
      <c r="B328">
        <f>DATA!C328</f>
        <v>797</v>
      </c>
      <c r="C328">
        <f>DATA!I328</f>
        <v>2</v>
      </c>
      <c r="D328" s="12">
        <f>DATA!M328</f>
        <v>1</v>
      </c>
    </row>
    <row r="329" spans="1:4" x14ac:dyDescent="0.3">
      <c r="A329">
        <v>0</v>
      </c>
      <c r="B329">
        <f>DATA!C329</f>
        <v>835</v>
      </c>
      <c r="C329">
        <f>DATA!I329</f>
        <v>4</v>
      </c>
      <c r="D329" s="12">
        <f>DATA!M329</f>
        <v>0</v>
      </c>
    </row>
    <row r="330" spans="1:4" x14ac:dyDescent="0.3">
      <c r="A330">
        <v>0</v>
      </c>
      <c r="B330">
        <f>DATA!C330</f>
        <v>387</v>
      </c>
      <c r="C330">
        <f>DATA!I330</f>
        <v>2</v>
      </c>
      <c r="D330" s="12">
        <f>DATA!M330</f>
        <v>0</v>
      </c>
    </row>
    <row r="331" spans="1:4" x14ac:dyDescent="0.3">
      <c r="A331">
        <v>1</v>
      </c>
      <c r="B331">
        <f>DATA!C331</f>
        <v>409</v>
      </c>
      <c r="C331">
        <f>DATA!I331</f>
        <v>1</v>
      </c>
      <c r="D331" s="12">
        <f>DATA!M331</f>
        <v>0</v>
      </c>
    </row>
    <row r="332" spans="1:4" x14ac:dyDescent="0.3">
      <c r="A332">
        <v>0</v>
      </c>
      <c r="B332">
        <f>DATA!C332</f>
        <v>463</v>
      </c>
      <c r="C332">
        <f>DATA!I332</f>
        <v>1</v>
      </c>
      <c r="D332" s="12">
        <f>DATA!M332</f>
        <v>1</v>
      </c>
    </row>
    <row r="333" spans="1:4" x14ac:dyDescent="0.3">
      <c r="A333">
        <v>0</v>
      </c>
      <c r="B333">
        <f>DATA!C333</f>
        <v>445</v>
      </c>
      <c r="C333">
        <f>DATA!I333</f>
        <v>4</v>
      </c>
      <c r="D333" s="12">
        <f>DATA!M333</f>
        <v>0</v>
      </c>
    </row>
    <row r="334" spans="1:4" x14ac:dyDescent="0.3">
      <c r="A334">
        <v>1</v>
      </c>
      <c r="B334">
        <f>DATA!C334</f>
        <v>702</v>
      </c>
      <c r="C334">
        <f>DATA!I334</f>
        <v>4</v>
      </c>
      <c r="D334" s="12">
        <f>DATA!M334</f>
        <v>1</v>
      </c>
    </row>
    <row r="335" spans="1:4" x14ac:dyDescent="0.3">
      <c r="A335">
        <v>0</v>
      </c>
      <c r="B335">
        <f>DATA!C335</f>
        <v>846</v>
      </c>
      <c r="C335">
        <f>DATA!I335</f>
        <v>1</v>
      </c>
      <c r="D335" s="12">
        <f>DATA!M335</f>
        <v>1</v>
      </c>
    </row>
    <row r="336" spans="1:4" x14ac:dyDescent="0.3">
      <c r="A336">
        <v>0</v>
      </c>
      <c r="B336">
        <f>DATA!C336</f>
        <v>558</v>
      </c>
      <c r="C336">
        <f>DATA!I336</f>
        <v>1</v>
      </c>
      <c r="D336" s="12">
        <f>DATA!M336</f>
        <v>0</v>
      </c>
    </row>
    <row r="337" spans="1:4" x14ac:dyDescent="0.3">
      <c r="A337">
        <v>0</v>
      </c>
      <c r="B337">
        <f>DATA!C337</f>
        <v>638</v>
      </c>
      <c r="C337">
        <f>DATA!I337</f>
        <v>2</v>
      </c>
      <c r="D337" s="12">
        <f>DATA!M337</f>
        <v>1</v>
      </c>
    </row>
    <row r="338" spans="1:4" x14ac:dyDescent="0.3">
      <c r="A338">
        <v>0</v>
      </c>
      <c r="B338">
        <f>DATA!C338</f>
        <v>412</v>
      </c>
      <c r="C338">
        <f>DATA!I338</f>
        <v>3</v>
      </c>
      <c r="D338" s="12">
        <f>DATA!M338</f>
        <v>1</v>
      </c>
    </row>
    <row r="339" spans="1:4" x14ac:dyDescent="0.3">
      <c r="A339">
        <v>1</v>
      </c>
      <c r="B339">
        <f>DATA!C339</f>
        <v>744</v>
      </c>
      <c r="C339">
        <f>DATA!I339</f>
        <v>3</v>
      </c>
      <c r="D339" s="12">
        <f>DATA!M339</f>
        <v>1</v>
      </c>
    </row>
    <row r="340" spans="1:4" x14ac:dyDescent="0.3">
      <c r="A340">
        <v>0</v>
      </c>
      <c r="B340">
        <f>DATA!C340</f>
        <v>746</v>
      </c>
      <c r="C340">
        <f>DATA!I340</f>
        <v>4</v>
      </c>
      <c r="D340" s="12">
        <f>DATA!M340</f>
        <v>1</v>
      </c>
    </row>
    <row r="341" spans="1:4" x14ac:dyDescent="0.3">
      <c r="A341">
        <v>0</v>
      </c>
      <c r="B341">
        <f>DATA!C341</f>
        <v>443</v>
      </c>
      <c r="C341">
        <f>DATA!I341</f>
        <v>4</v>
      </c>
      <c r="D341" s="12">
        <f>DATA!M341</f>
        <v>1</v>
      </c>
    </row>
    <row r="342" spans="1:4" x14ac:dyDescent="0.3">
      <c r="A342">
        <v>1</v>
      </c>
      <c r="B342">
        <f>DATA!C342</f>
        <v>670</v>
      </c>
      <c r="C342">
        <f>DATA!I342</f>
        <v>3</v>
      </c>
      <c r="D342" s="12">
        <f>DATA!M342</f>
        <v>0</v>
      </c>
    </row>
    <row r="343" spans="1:4" x14ac:dyDescent="0.3">
      <c r="A343">
        <v>0</v>
      </c>
      <c r="B343">
        <f>DATA!C343</f>
        <v>763</v>
      </c>
      <c r="C343">
        <f>DATA!I343</f>
        <v>1</v>
      </c>
      <c r="D343" s="12">
        <f>DATA!M343</f>
        <v>1</v>
      </c>
    </row>
    <row r="344" spans="1:4" x14ac:dyDescent="0.3">
      <c r="A344">
        <v>1</v>
      </c>
      <c r="B344">
        <f>DATA!C344</f>
        <v>696</v>
      </c>
      <c r="C344">
        <f>DATA!I344</f>
        <v>4</v>
      </c>
      <c r="D344" s="12">
        <f>DATA!M344</f>
        <v>1</v>
      </c>
    </row>
    <row r="345" spans="1:4" x14ac:dyDescent="0.3">
      <c r="A345">
        <v>0</v>
      </c>
      <c r="B345">
        <f>DATA!C345</f>
        <v>837</v>
      </c>
      <c r="C345">
        <f>DATA!I345</f>
        <v>2</v>
      </c>
      <c r="D345" s="12">
        <f>DATA!M345</f>
        <v>1</v>
      </c>
    </row>
    <row r="346" spans="1:4" x14ac:dyDescent="0.3">
      <c r="A346">
        <v>0</v>
      </c>
      <c r="B346">
        <f>DATA!C346</f>
        <v>500</v>
      </c>
      <c r="C346">
        <f>DATA!I346</f>
        <v>3</v>
      </c>
      <c r="D346" s="12">
        <f>DATA!M346</f>
        <v>0</v>
      </c>
    </row>
    <row r="347" spans="1:4" x14ac:dyDescent="0.3">
      <c r="A347">
        <v>0</v>
      </c>
      <c r="B347">
        <f>DATA!C347</f>
        <v>753</v>
      </c>
      <c r="C347">
        <f>DATA!I347</f>
        <v>2</v>
      </c>
      <c r="D347" s="12">
        <f>DATA!M347</f>
        <v>0</v>
      </c>
    </row>
    <row r="348" spans="1:4" x14ac:dyDescent="0.3">
      <c r="A348">
        <v>1</v>
      </c>
      <c r="B348">
        <f>DATA!C348</f>
        <v>739</v>
      </c>
      <c r="C348">
        <f>DATA!I348</f>
        <v>2</v>
      </c>
      <c r="D348" s="12">
        <f>DATA!M348</f>
        <v>0</v>
      </c>
    </row>
    <row r="349" spans="1:4" x14ac:dyDescent="0.3">
      <c r="A349">
        <v>0</v>
      </c>
      <c r="B349">
        <f>DATA!C349</f>
        <v>642</v>
      </c>
      <c r="C349">
        <f>DATA!I349</f>
        <v>1</v>
      </c>
      <c r="D349" s="12">
        <f>DATA!M349</f>
        <v>0</v>
      </c>
    </row>
    <row r="350" spans="1:4" x14ac:dyDescent="0.3">
      <c r="A350">
        <v>1</v>
      </c>
      <c r="B350">
        <f>DATA!C350</f>
        <v>433</v>
      </c>
      <c r="C350">
        <f>DATA!I350</f>
        <v>4</v>
      </c>
      <c r="D350" s="12">
        <f>DATA!M350</f>
        <v>0</v>
      </c>
    </row>
    <row r="351" spans="1:4" x14ac:dyDescent="0.3">
      <c r="A351">
        <v>0</v>
      </c>
      <c r="B351">
        <f>DATA!C351</f>
        <v>477</v>
      </c>
      <c r="C351">
        <f>DATA!I351</f>
        <v>4</v>
      </c>
      <c r="D351" s="12">
        <f>DATA!M351</f>
        <v>0</v>
      </c>
    </row>
    <row r="352" spans="1:4" x14ac:dyDescent="0.3">
      <c r="A352">
        <v>0</v>
      </c>
      <c r="B352">
        <f>DATA!C352</f>
        <v>834</v>
      </c>
      <c r="C352">
        <f>DATA!I352</f>
        <v>4</v>
      </c>
      <c r="D352" s="12">
        <f>DATA!M352</f>
        <v>1</v>
      </c>
    </row>
    <row r="353" spans="1:4" x14ac:dyDescent="0.3">
      <c r="A353">
        <v>0</v>
      </c>
      <c r="B353">
        <f>DATA!C353</f>
        <v>611</v>
      </c>
      <c r="C353">
        <f>DATA!I353</f>
        <v>1</v>
      </c>
      <c r="D353" s="12">
        <f>DATA!M353</f>
        <v>1</v>
      </c>
    </row>
    <row r="354" spans="1:4" x14ac:dyDescent="0.3">
      <c r="A354">
        <v>1</v>
      </c>
      <c r="B354">
        <f>DATA!C354</f>
        <v>698</v>
      </c>
      <c r="C354">
        <f>DATA!I354</f>
        <v>2</v>
      </c>
      <c r="D354" s="12">
        <f>DATA!M354</f>
        <v>0</v>
      </c>
    </row>
    <row r="355" spans="1:4" x14ac:dyDescent="0.3">
      <c r="A355">
        <v>0</v>
      </c>
      <c r="B355">
        <f>DATA!C355</f>
        <v>810</v>
      </c>
      <c r="C355">
        <f>DATA!I355</f>
        <v>2</v>
      </c>
      <c r="D355" s="12">
        <f>DATA!M355</f>
        <v>1</v>
      </c>
    </row>
    <row r="356" spans="1:4" x14ac:dyDescent="0.3">
      <c r="A356">
        <v>1</v>
      </c>
      <c r="B356">
        <f>DATA!C356</f>
        <v>504</v>
      </c>
      <c r="C356">
        <f>DATA!I356</f>
        <v>2</v>
      </c>
      <c r="D356" s="12">
        <f>DATA!M356</f>
        <v>1</v>
      </c>
    </row>
    <row r="357" spans="1:4" x14ac:dyDescent="0.3">
      <c r="A357">
        <v>0</v>
      </c>
      <c r="B357">
        <f>DATA!C357</f>
        <v>591</v>
      </c>
      <c r="C357">
        <f>DATA!I357</f>
        <v>2</v>
      </c>
      <c r="D357" s="12">
        <f>DATA!M357</f>
        <v>1</v>
      </c>
    </row>
    <row r="358" spans="1:4" x14ac:dyDescent="0.3">
      <c r="A358">
        <v>1</v>
      </c>
      <c r="B358">
        <f>DATA!C358</f>
        <v>433</v>
      </c>
      <c r="C358">
        <f>DATA!I358</f>
        <v>4</v>
      </c>
      <c r="D358" s="12">
        <f>DATA!M358</f>
        <v>1</v>
      </c>
    </row>
    <row r="359" spans="1:4" x14ac:dyDescent="0.3">
      <c r="A359">
        <v>0</v>
      </c>
      <c r="B359">
        <f>DATA!C359</f>
        <v>746</v>
      </c>
      <c r="C359">
        <f>DATA!I359</f>
        <v>4</v>
      </c>
      <c r="D359" s="12">
        <f>DATA!M359</f>
        <v>0</v>
      </c>
    </row>
    <row r="360" spans="1:4" x14ac:dyDescent="0.3">
      <c r="A360">
        <v>0</v>
      </c>
      <c r="B360">
        <f>DATA!C360</f>
        <v>836</v>
      </c>
      <c r="C360">
        <f>DATA!I360</f>
        <v>2</v>
      </c>
      <c r="D360" s="12">
        <f>DATA!M360</f>
        <v>1</v>
      </c>
    </row>
    <row r="361" spans="1:4" x14ac:dyDescent="0.3">
      <c r="A361">
        <v>1</v>
      </c>
      <c r="B361">
        <f>DATA!C361</f>
        <v>485</v>
      </c>
      <c r="C361">
        <f>DATA!I361</f>
        <v>2</v>
      </c>
      <c r="D361" s="12">
        <f>DATA!M361</f>
        <v>0</v>
      </c>
    </row>
    <row r="362" spans="1:4" x14ac:dyDescent="0.3">
      <c r="A362">
        <v>0</v>
      </c>
      <c r="B362">
        <f>DATA!C362</f>
        <v>530</v>
      </c>
      <c r="C362">
        <f>DATA!I362</f>
        <v>1</v>
      </c>
      <c r="D362" s="12">
        <f>DATA!M362</f>
        <v>0</v>
      </c>
    </row>
    <row r="363" spans="1:4" x14ac:dyDescent="0.3">
      <c r="A363">
        <v>1</v>
      </c>
      <c r="B363">
        <f>DATA!C363</f>
        <v>430</v>
      </c>
      <c r="C363">
        <f>DATA!I363</f>
        <v>4</v>
      </c>
      <c r="D363" s="12">
        <f>DATA!M363</f>
        <v>1</v>
      </c>
    </row>
    <row r="364" spans="1:4" x14ac:dyDescent="0.3">
      <c r="A364">
        <v>0</v>
      </c>
      <c r="B364">
        <f>DATA!C364</f>
        <v>763</v>
      </c>
      <c r="C364">
        <f>DATA!I364</f>
        <v>4</v>
      </c>
      <c r="D364" s="12">
        <f>DATA!M364</f>
        <v>0</v>
      </c>
    </row>
    <row r="365" spans="1:4" x14ac:dyDescent="0.3">
      <c r="A365">
        <v>0</v>
      </c>
      <c r="B365">
        <f>DATA!C365</f>
        <v>350</v>
      </c>
      <c r="C365">
        <f>DATA!I365</f>
        <v>2</v>
      </c>
      <c r="D365" s="12">
        <f>DATA!M365</f>
        <v>1</v>
      </c>
    </row>
    <row r="366" spans="1:4" x14ac:dyDescent="0.3">
      <c r="A366">
        <v>1</v>
      </c>
      <c r="B366">
        <f>DATA!C366</f>
        <v>565</v>
      </c>
      <c r="C366">
        <f>DATA!I366</f>
        <v>4</v>
      </c>
      <c r="D366" s="12">
        <f>DATA!M366</f>
        <v>0</v>
      </c>
    </row>
    <row r="367" spans="1:4" x14ac:dyDescent="0.3">
      <c r="A367">
        <v>1</v>
      </c>
      <c r="B367">
        <f>DATA!C367</f>
        <v>557</v>
      </c>
      <c r="C367">
        <f>DATA!I367</f>
        <v>4</v>
      </c>
      <c r="D367" s="12">
        <f>DATA!M367</f>
        <v>1</v>
      </c>
    </row>
    <row r="368" spans="1:4" x14ac:dyDescent="0.3">
      <c r="A368">
        <v>0</v>
      </c>
      <c r="B368">
        <f>DATA!C368</f>
        <v>680</v>
      </c>
      <c r="C368">
        <f>DATA!I368</f>
        <v>2</v>
      </c>
      <c r="D368" s="12">
        <f>DATA!M368</f>
        <v>1</v>
      </c>
    </row>
    <row r="369" spans="1:4" x14ac:dyDescent="0.3">
      <c r="A369">
        <v>1</v>
      </c>
      <c r="B369">
        <f>DATA!C369</f>
        <v>602</v>
      </c>
      <c r="C369">
        <f>DATA!I369</f>
        <v>3</v>
      </c>
      <c r="D369" s="12">
        <f>DATA!M369</f>
        <v>0</v>
      </c>
    </row>
    <row r="370" spans="1:4" x14ac:dyDescent="0.3">
      <c r="A370">
        <v>0</v>
      </c>
      <c r="B370">
        <f>DATA!C370</f>
        <v>481</v>
      </c>
      <c r="C370">
        <f>DATA!I370</f>
        <v>3</v>
      </c>
      <c r="D370" s="12">
        <f>DATA!M370</f>
        <v>1</v>
      </c>
    </row>
    <row r="371" spans="1:4" x14ac:dyDescent="0.3">
      <c r="A371">
        <v>1</v>
      </c>
      <c r="B371">
        <f>DATA!C371</f>
        <v>411</v>
      </c>
      <c r="C371">
        <f>DATA!I371</f>
        <v>3</v>
      </c>
      <c r="D371" s="12">
        <f>DATA!M371</f>
        <v>0</v>
      </c>
    </row>
    <row r="372" spans="1:4" x14ac:dyDescent="0.3">
      <c r="A372">
        <v>0</v>
      </c>
      <c r="B372">
        <f>DATA!C372</f>
        <v>673</v>
      </c>
      <c r="C372">
        <f>DATA!I372</f>
        <v>4</v>
      </c>
      <c r="D372" s="12">
        <f>DATA!M372</f>
        <v>1</v>
      </c>
    </row>
    <row r="373" spans="1:4" x14ac:dyDescent="0.3">
      <c r="A373">
        <v>0</v>
      </c>
      <c r="B373">
        <f>DATA!C373</f>
        <v>494</v>
      </c>
      <c r="C373">
        <f>DATA!I373</f>
        <v>1</v>
      </c>
      <c r="D373" s="12">
        <f>DATA!M373</f>
        <v>0</v>
      </c>
    </row>
    <row r="374" spans="1:4" x14ac:dyDescent="0.3">
      <c r="A374">
        <v>0</v>
      </c>
      <c r="B374">
        <f>DATA!C374</f>
        <v>718</v>
      </c>
      <c r="C374">
        <f>DATA!I374</f>
        <v>4</v>
      </c>
      <c r="D374" s="12">
        <f>DATA!M374</f>
        <v>0</v>
      </c>
    </row>
    <row r="375" spans="1:4" x14ac:dyDescent="0.3">
      <c r="A375">
        <v>1</v>
      </c>
      <c r="B375">
        <f>DATA!C375</f>
        <v>807</v>
      </c>
      <c r="C375">
        <f>DATA!I375</f>
        <v>2</v>
      </c>
      <c r="D375" s="12">
        <f>DATA!M375</f>
        <v>0</v>
      </c>
    </row>
    <row r="376" spans="1:4" x14ac:dyDescent="0.3">
      <c r="A376">
        <v>1</v>
      </c>
      <c r="B376">
        <f>DATA!C376</f>
        <v>434</v>
      </c>
      <c r="C376">
        <f>DATA!I376</f>
        <v>1</v>
      </c>
      <c r="D376" s="12">
        <f>DATA!M376</f>
        <v>0</v>
      </c>
    </row>
    <row r="377" spans="1:4" x14ac:dyDescent="0.3">
      <c r="A377">
        <v>1</v>
      </c>
      <c r="B377">
        <f>DATA!C377</f>
        <v>466</v>
      </c>
      <c r="C377">
        <f>DATA!I377</f>
        <v>2</v>
      </c>
      <c r="D377" s="12">
        <f>DATA!M377</f>
        <v>1</v>
      </c>
    </row>
    <row r="378" spans="1:4" x14ac:dyDescent="0.3">
      <c r="A378">
        <v>1</v>
      </c>
      <c r="B378">
        <f>DATA!C378</f>
        <v>579</v>
      </c>
      <c r="C378">
        <f>DATA!I378</f>
        <v>1</v>
      </c>
      <c r="D378" s="12">
        <f>DATA!M378</f>
        <v>0</v>
      </c>
    </row>
    <row r="379" spans="1:4" x14ac:dyDescent="0.3">
      <c r="A379">
        <v>1</v>
      </c>
      <c r="B379">
        <f>DATA!C379</f>
        <v>605</v>
      </c>
      <c r="C379">
        <f>DATA!I379</f>
        <v>1</v>
      </c>
      <c r="D379" s="12">
        <f>DATA!M379</f>
        <v>0</v>
      </c>
    </row>
    <row r="380" spans="1:4" x14ac:dyDescent="0.3">
      <c r="A380">
        <v>0</v>
      </c>
      <c r="B380">
        <f>DATA!C380</f>
        <v>662</v>
      </c>
      <c r="C380">
        <f>DATA!I380</f>
        <v>1</v>
      </c>
      <c r="D380" s="12">
        <f>DATA!M380</f>
        <v>1</v>
      </c>
    </row>
    <row r="381" spans="1:4" x14ac:dyDescent="0.3">
      <c r="A381">
        <v>1</v>
      </c>
      <c r="B381">
        <f>DATA!C381</f>
        <v>668</v>
      </c>
      <c r="C381">
        <f>DATA!I381</f>
        <v>1</v>
      </c>
      <c r="D381" s="12">
        <f>DATA!M381</f>
        <v>1</v>
      </c>
    </row>
    <row r="382" spans="1:4" x14ac:dyDescent="0.3">
      <c r="A382">
        <v>1</v>
      </c>
      <c r="B382">
        <f>DATA!C382</f>
        <v>790</v>
      </c>
      <c r="C382">
        <f>DATA!I382</f>
        <v>3</v>
      </c>
      <c r="D382" s="12">
        <f>DATA!M382</f>
        <v>1</v>
      </c>
    </row>
    <row r="383" spans="1:4" x14ac:dyDescent="0.3">
      <c r="A383">
        <v>1</v>
      </c>
      <c r="B383">
        <f>DATA!C383</f>
        <v>398</v>
      </c>
      <c r="C383">
        <f>DATA!I383</f>
        <v>1</v>
      </c>
      <c r="D383" s="12">
        <f>DATA!M383</f>
        <v>1</v>
      </c>
    </row>
    <row r="384" spans="1:4" x14ac:dyDescent="0.3">
      <c r="A384">
        <v>1</v>
      </c>
      <c r="B384">
        <f>DATA!C384</f>
        <v>495</v>
      </c>
      <c r="C384">
        <f>DATA!I384</f>
        <v>1</v>
      </c>
      <c r="D384" s="12">
        <f>DATA!M384</f>
        <v>1</v>
      </c>
    </row>
    <row r="385" spans="1:4" x14ac:dyDescent="0.3">
      <c r="A385">
        <v>1</v>
      </c>
      <c r="B385">
        <f>DATA!C385</f>
        <v>723</v>
      </c>
      <c r="C385">
        <f>DATA!I385</f>
        <v>2</v>
      </c>
      <c r="D385" s="12">
        <f>DATA!M385</f>
        <v>0</v>
      </c>
    </row>
    <row r="386" spans="1:4" x14ac:dyDescent="0.3">
      <c r="A386">
        <v>1</v>
      </c>
      <c r="B386">
        <f>DATA!C386</f>
        <v>791</v>
      </c>
      <c r="C386">
        <f>DATA!I386</f>
        <v>2</v>
      </c>
      <c r="D386" s="12">
        <f>DATA!M386</f>
        <v>0</v>
      </c>
    </row>
    <row r="387" spans="1:4" x14ac:dyDescent="0.3">
      <c r="A387">
        <v>1</v>
      </c>
      <c r="B387">
        <f>DATA!C387</f>
        <v>359</v>
      </c>
      <c r="C387">
        <f>DATA!I387</f>
        <v>3</v>
      </c>
      <c r="D387" s="12">
        <f>DATA!M387</f>
        <v>0</v>
      </c>
    </row>
    <row r="388" spans="1:4" x14ac:dyDescent="0.3">
      <c r="A388">
        <v>1</v>
      </c>
      <c r="B388">
        <f>DATA!C388</f>
        <v>842</v>
      </c>
      <c r="C388">
        <f>DATA!I388</f>
        <v>1</v>
      </c>
      <c r="D388" s="12">
        <f>DATA!M388</f>
        <v>0</v>
      </c>
    </row>
    <row r="389" spans="1:4" x14ac:dyDescent="0.3">
      <c r="A389">
        <v>1</v>
      </c>
      <c r="B389">
        <f>DATA!C389</f>
        <v>540</v>
      </c>
      <c r="C389">
        <f>DATA!I389</f>
        <v>2</v>
      </c>
      <c r="D389" s="12">
        <f>DATA!M389</f>
        <v>0</v>
      </c>
    </row>
    <row r="390" spans="1:4" x14ac:dyDescent="0.3">
      <c r="A390">
        <v>1</v>
      </c>
      <c r="B390">
        <f>DATA!C390</f>
        <v>429</v>
      </c>
      <c r="C390">
        <f>DATA!I390</f>
        <v>1</v>
      </c>
      <c r="D390" s="12">
        <f>DATA!M390</f>
        <v>1</v>
      </c>
    </row>
    <row r="391" spans="1:4" x14ac:dyDescent="0.3">
      <c r="A391">
        <v>1</v>
      </c>
      <c r="B391">
        <f>DATA!C391</f>
        <v>580</v>
      </c>
      <c r="C391">
        <f>DATA!I391</f>
        <v>1</v>
      </c>
      <c r="D391" s="12">
        <f>DATA!M391</f>
        <v>1</v>
      </c>
    </row>
    <row r="392" spans="1:4" x14ac:dyDescent="0.3">
      <c r="A392">
        <v>0</v>
      </c>
      <c r="B392">
        <f>DATA!C392</f>
        <v>556</v>
      </c>
      <c r="C392">
        <f>DATA!I392</f>
        <v>4</v>
      </c>
      <c r="D392" s="12">
        <f>DATA!M392</f>
        <v>1</v>
      </c>
    </row>
    <row r="393" spans="1:4" x14ac:dyDescent="0.3">
      <c r="A393">
        <v>0</v>
      </c>
      <c r="B393">
        <f>DATA!C393</f>
        <v>767</v>
      </c>
      <c r="C393">
        <f>DATA!I393</f>
        <v>1</v>
      </c>
      <c r="D393" s="12">
        <f>DATA!M393</f>
        <v>1</v>
      </c>
    </row>
    <row r="394" spans="1:4" x14ac:dyDescent="0.3">
      <c r="A394">
        <v>1</v>
      </c>
      <c r="B394">
        <f>DATA!C394</f>
        <v>738</v>
      </c>
      <c r="C394">
        <f>DATA!I394</f>
        <v>2</v>
      </c>
      <c r="D394" s="12">
        <f>DATA!M394</f>
        <v>0</v>
      </c>
    </row>
    <row r="395" spans="1:4" x14ac:dyDescent="0.3">
      <c r="A395">
        <v>1</v>
      </c>
      <c r="B395">
        <f>DATA!C395</f>
        <v>750</v>
      </c>
      <c r="C395">
        <f>DATA!I395</f>
        <v>4</v>
      </c>
      <c r="D395" s="12">
        <f>DATA!M395</f>
        <v>1</v>
      </c>
    </row>
    <row r="396" spans="1:4" x14ac:dyDescent="0.3">
      <c r="A396">
        <v>0</v>
      </c>
      <c r="B396">
        <f>DATA!C396</f>
        <v>578</v>
      </c>
      <c r="C396">
        <f>DATA!I396</f>
        <v>4</v>
      </c>
      <c r="D396" s="12">
        <f>DATA!M396</f>
        <v>1</v>
      </c>
    </row>
    <row r="397" spans="1:4" x14ac:dyDescent="0.3">
      <c r="A397">
        <v>1</v>
      </c>
      <c r="B397">
        <f>DATA!C397</f>
        <v>677</v>
      </c>
      <c r="C397">
        <f>DATA!I397</f>
        <v>2</v>
      </c>
      <c r="D397" s="12">
        <f>DATA!M397</f>
        <v>0</v>
      </c>
    </row>
    <row r="398" spans="1:4" x14ac:dyDescent="0.3">
      <c r="A398">
        <v>1</v>
      </c>
      <c r="B398">
        <f>DATA!C398</f>
        <v>668</v>
      </c>
      <c r="C398">
        <f>DATA!I398</f>
        <v>1</v>
      </c>
      <c r="D398" s="12">
        <f>DATA!M398</f>
        <v>1</v>
      </c>
    </row>
    <row r="399" spans="1:4" x14ac:dyDescent="0.3">
      <c r="A399">
        <v>0</v>
      </c>
      <c r="B399">
        <f>DATA!C399</f>
        <v>629</v>
      </c>
      <c r="C399">
        <f>DATA!I399</f>
        <v>1</v>
      </c>
      <c r="D399" s="12">
        <f>DATA!M399</f>
        <v>0</v>
      </c>
    </row>
    <row r="400" spans="1:4" x14ac:dyDescent="0.3">
      <c r="A400">
        <v>0</v>
      </c>
      <c r="B400">
        <f>DATA!C400</f>
        <v>697</v>
      </c>
      <c r="C400">
        <f>DATA!I400</f>
        <v>1</v>
      </c>
      <c r="D400" s="12">
        <f>DATA!M400</f>
        <v>1</v>
      </c>
    </row>
    <row r="401" spans="1:4" x14ac:dyDescent="0.3">
      <c r="A401">
        <v>0</v>
      </c>
      <c r="B401">
        <f>DATA!C401</f>
        <v>716</v>
      </c>
      <c r="C401">
        <f>DATA!I401</f>
        <v>4</v>
      </c>
      <c r="D401" s="12">
        <f>DATA!M401</f>
        <v>0</v>
      </c>
    </row>
    <row r="402" spans="1:4" x14ac:dyDescent="0.3">
      <c r="A402">
        <v>1</v>
      </c>
      <c r="B402">
        <f>DATA!C402</f>
        <v>357</v>
      </c>
      <c r="C402">
        <f>DATA!I402</f>
        <v>2</v>
      </c>
      <c r="D402" s="12">
        <f>DATA!M402</f>
        <v>0</v>
      </c>
    </row>
    <row r="403" spans="1:4" x14ac:dyDescent="0.3">
      <c r="A403">
        <v>1</v>
      </c>
      <c r="B403">
        <f>DATA!C403</f>
        <v>628</v>
      </c>
      <c r="C403">
        <f>DATA!I403</f>
        <v>4</v>
      </c>
      <c r="D403" s="12">
        <f>DATA!M403</f>
        <v>1</v>
      </c>
    </row>
    <row r="404" spans="1:4" x14ac:dyDescent="0.3">
      <c r="A404">
        <v>0</v>
      </c>
      <c r="B404">
        <f>DATA!C404</f>
        <v>704</v>
      </c>
      <c r="C404">
        <f>DATA!I404</f>
        <v>4</v>
      </c>
      <c r="D404" s="12">
        <f>DATA!M404</f>
        <v>1</v>
      </c>
    </row>
    <row r="405" spans="1:4" x14ac:dyDescent="0.3">
      <c r="A405">
        <v>1</v>
      </c>
      <c r="B405">
        <f>DATA!C405</f>
        <v>508</v>
      </c>
      <c r="C405">
        <f>DATA!I405</f>
        <v>1</v>
      </c>
      <c r="D405" s="12">
        <f>DATA!M405</f>
        <v>1</v>
      </c>
    </row>
    <row r="406" spans="1:4" x14ac:dyDescent="0.3">
      <c r="A406">
        <v>1</v>
      </c>
      <c r="B406">
        <f>DATA!C406</f>
        <v>596</v>
      </c>
      <c r="C406">
        <f>DATA!I406</f>
        <v>3</v>
      </c>
      <c r="D406" s="12">
        <f>DATA!M406</f>
        <v>1</v>
      </c>
    </row>
    <row r="407" spans="1:4" x14ac:dyDescent="0.3">
      <c r="A407">
        <v>1</v>
      </c>
      <c r="B407">
        <f>DATA!C407</f>
        <v>430</v>
      </c>
      <c r="C407">
        <f>DATA!I407</f>
        <v>1</v>
      </c>
      <c r="D407" s="12">
        <f>DATA!M407</f>
        <v>1</v>
      </c>
    </row>
    <row r="408" spans="1:4" x14ac:dyDescent="0.3">
      <c r="A408">
        <v>1</v>
      </c>
      <c r="B408">
        <f>DATA!C408</f>
        <v>505</v>
      </c>
      <c r="C408">
        <f>DATA!I408</f>
        <v>3</v>
      </c>
      <c r="D408" s="12">
        <f>DATA!M408</f>
        <v>0</v>
      </c>
    </row>
    <row r="409" spans="1:4" x14ac:dyDescent="0.3">
      <c r="A409">
        <v>1</v>
      </c>
      <c r="B409">
        <f>DATA!C409</f>
        <v>397</v>
      </c>
      <c r="C409">
        <f>DATA!I409</f>
        <v>2</v>
      </c>
      <c r="D409" s="12">
        <f>DATA!M409</f>
        <v>0</v>
      </c>
    </row>
    <row r="410" spans="1:4" x14ac:dyDescent="0.3">
      <c r="A410">
        <v>0</v>
      </c>
      <c r="B410">
        <f>DATA!C410</f>
        <v>845</v>
      </c>
      <c r="C410">
        <f>DATA!I410</f>
        <v>4</v>
      </c>
      <c r="D410" s="12">
        <f>DATA!M410</f>
        <v>1</v>
      </c>
    </row>
    <row r="411" spans="1:4" x14ac:dyDescent="0.3">
      <c r="A411">
        <v>0</v>
      </c>
      <c r="B411">
        <f>DATA!C411</f>
        <v>464</v>
      </c>
      <c r="C411">
        <f>DATA!I411</f>
        <v>1</v>
      </c>
      <c r="D411" s="12">
        <f>DATA!M411</f>
        <v>1</v>
      </c>
    </row>
    <row r="412" spans="1:4" x14ac:dyDescent="0.3">
      <c r="A412">
        <v>0</v>
      </c>
      <c r="B412">
        <f>DATA!C412</f>
        <v>361</v>
      </c>
      <c r="C412">
        <f>DATA!I412</f>
        <v>2</v>
      </c>
      <c r="D412" s="12">
        <f>DATA!M412</f>
        <v>1</v>
      </c>
    </row>
    <row r="413" spans="1:4" x14ac:dyDescent="0.3">
      <c r="A413">
        <v>0</v>
      </c>
      <c r="B413">
        <f>DATA!C413</f>
        <v>821</v>
      </c>
      <c r="C413">
        <f>DATA!I413</f>
        <v>3</v>
      </c>
      <c r="D413" s="12">
        <f>DATA!M413</f>
        <v>1</v>
      </c>
    </row>
    <row r="414" spans="1:4" x14ac:dyDescent="0.3">
      <c r="A414">
        <v>0</v>
      </c>
      <c r="B414">
        <f>DATA!C414</f>
        <v>684</v>
      </c>
      <c r="C414">
        <f>DATA!I414</f>
        <v>4</v>
      </c>
      <c r="D414" s="12">
        <f>DATA!M414</f>
        <v>0</v>
      </c>
    </row>
    <row r="415" spans="1:4" x14ac:dyDescent="0.3">
      <c r="A415">
        <v>0</v>
      </c>
      <c r="B415">
        <f>DATA!C415</f>
        <v>837</v>
      </c>
      <c r="C415">
        <f>DATA!I415</f>
        <v>4</v>
      </c>
      <c r="D415" s="12">
        <f>DATA!M415</f>
        <v>1</v>
      </c>
    </row>
    <row r="416" spans="1:4" x14ac:dyDescent="0.3">
      <c r="A416">
        <v>0</v>
      </c>
      <c r="B416">
        <f>DATA!C416</f>
        <v>636</v>
      </c>
      <c r="C416">
        <f>DATA!I416</f>
        <v>2</v>
      </c>
      <c r="D416" s="12">
        <f>DATA!M416</f>
        <v>1</v>
      </c>
    </row>
    <row r="417" spans="1:4" x14ac:dyDescent="0.3">
      <c r="A417">
        <v>0</v>
      </c>
      <c r="B417">
        <f>DATA!C417</f>
        <v>440</v>
      </c>
      <c r="C417">
        <f>DATA!I417</f>
        <v>2</v>
      </c>
      <c r="D417" s="12">
        <f>DATA!M417</f>
        <v>1</v>
      </c>
    </row>
    <row r="418" spans="1:4" x14ac:dyDescent="0.3">
      <c r="A418">
        <v>0</v>
      </c>
      <c r="B418">
        <f>DATA!C418</f>
        <v>640</v>
      </c>
      <c r="C418">
        <f>DATA!I418</f>
        <v>2</v>
      </c>
      <c r="D418" s="12">
        <f>DATA!M418</f>
        <v>1</v>
      </c>
    </row>
    <row r="419" spans="1:4" x14ac:dyDescent="0.3">
      <c r="A419">
        <v>1</v>
      </c>
      <c r="B419">
        <f>DATA!C419</f>
        <v>404</v>
      </c>
      <c r="C419">
        <f>DATA!I419</f>
        <v>1</v>
      </c>
      <c r="D419" s="12">
        <f>DATA!M419</f>
        <v>1</v>
      </c>
    </row>
    <row r="420" spans="1:4" x14ac:dyDescent="0.3">
      <c r="A420">
        <v>0</v>
      </c>
      <c r="B420">
        <f>DATA!C420</f>
        <v>687</v>
      </c>
      <c r="C420">
        <f>DATA!I420</f>
        <v>4</v>
      </c>
      <c r="D420" s="12">
        <f>DATA!M420</f>
        <v>0</v>
      </c>
    </row>
    <row r="421" spans="1:4" x14ac:dyDescent="0.3">
      <c r="A421">
        <v>1</v>
      </c>
      <c r="B421">
        <f>DATA!C421</f>
        <v>513</v>
      </c>
      <c r="C421">
        <f>DATA!I421</f>
        <v>2</v>
      </c>
      <c r="D421" s="12">
        <f>DATA!M421</f>
        <v>0</v>
      </c>
    </row>
    <row r="422" spans="1:4" x14ac:dyDescent="0.3">
      <c r="A422">
        <v>1</v>
      </c>
      <c r="B422">
        <f>DATA!C422</f>
        <v>421</v>
      </c>
      <c r="C422">
        <f>DATA!I422</f>
        <v>3</v>
      </c>
      <c r="D422" s="12">
        <f>DATA!M422</f>
        <v>0</v>
      </c>
    </row>
    <row r="423" spans="1:4" x14ac:dyDescent="0.3">
      <c r="A423">
        <v>0</v>
      </c>
      <c r="B423">
        <f>DATA!C423</f>
        <v>715</v>
      </c>
      <c r="C423">
        <f>DATA!I423</f>
        <v>1</v>
      </c>
      <c r="D423" s="12">
        <f>DATA!M423</f>
        <v>1</v>
      </c>
    </row>
    <row r="424" spans="1:4" x14ac:dyDescent="0.3">
      <c r="A424">
        <v>0</v>
      </c>
      <c r="B424">
        <f>DATA!C424</f>
        <v>665</v>
      </c>
      <c r="C424">
        <f>DATA!I424</f>
        <v>3</v>
      </c>
      <c r="D424" s="12">
        <f>DATA!M424</f>
        <v>1</v>
      </c>
    </row>
    <row r="425" spans="1:4" x14ac:dyDescent="0.3">
      <c r="A425">
        <v>0</v>
      </c>
      <c r="B425">
        <f>DATA!C425</f>
        <v>462</v>
      </c>
      <c r="C425">
        <f>DATA!I425</f>
        <v>4</v>
      </c>
      <c r="D425" s="12">
        <f>DATA!M425</f>
        <v>1</v>
      </c>
    </row>
    <row r="426" spans="1:4" x14ac:dyDescent="0.3">
      <c r="A426">
        <v>0</v>
      </c>
      <c r="B426">
        <f>DATA!C426</f>
        <v>771</v>
      </c>
      <c r="C426">
        <f>DATA!I426</f>
        <v>4</v>
      </c>
      <c r="D426" s="12">
        <f>DATA!M426</f>
        <v>1</v>
      </c>
    </row>
    <row r="427" spans="1:4" x14ac:dyDescent="0.3">
      <c r="A427">
        <v>1</v>
      </c>
      <c r="B427">
        <f>DATA!C427</f>
        <v>418</v>
      </c>
      <c r="C427">
        <f>DATA!I427</f>
        <v>3</v>
      </c>
      <c r="D427" s="12">
        <f>DATA!M427</f>
        <v>1</v>
      </c>
    </row>
    <row r="428" spans="1:4" x14ac:dyDescent="0.3">
      <c r="A428">
        <v>0</v>
      </c>
      <c r="B428">
        <f>DATA!C428</f>
        <v>787</v>
      </c>
      <c r="C428">
        <f>DATA!I428</f>
        <v>1</v>
      </c>
      <c r="D428" s="12">
        <f>DATA!M428</f>
        <v>0</v>
      </c>
    </row>
    <row r="429" spans="1:4" x14ac:dyDescent="0.3">
      <c r="A429">
        <v>1</v>
      </c>
      <c r="B429">
        <f>DATA!C429</f>
        <v>363</v>
      </c>
      <c r="C429">
        <f>DATA!I429</f>
        <v>2</v>
      </c>
      <c r="D429" s="12">
        <f>DATA!M429</f>
        <v>1</v>
      </c>
    </row>
    <row r="430" spans="1:4" x14ac:dyDescent="0.3">
      <c r="A430">
        <v>0</v>
      </c>
      <c r="B430">
        <f>DATA!C430</f>
        <v>451</v>
      </c>
      <c r="C430">
        <f>DATA!I430</f>
        <v>2</v>
      </c>
      <c r="D430" s="12">
        <f>DATA!M430</f>
        <v>1</v>
      </c>
    </row>
    <row r="431" spans="1:4" x14ac:dyDescent="0.3">
      <c r="A431">
        <v>0</v>
      </c>
      <c r="B431">
        <f>DATA!C431</f>
        <v>625</v>
      </c>
      <c r="C431">
        <f>DATA!I431</f>
        <v>2</v>
      </c>
      <c r="D431" s="12">
        <f>DATA!M431</f>
        <v>0</v>
      </c>
    </row>
    <row r="432" spans="1:4" x14ac:dyDescent="0.3">
      <c r="A432">
        <v>1</v>
      </c>
      <c r="B432">
        <f>DATA!C432</f>
        <v>713</v>
      </c>
      <c r="C432">
        <f>DATA!I432</f>
        <v>2</v>
      </c>
      <c r="D432" s="12">
        <f>DATA!M432</f>
        <v>0</v>
      </c>
    </row>
    <row r="433" spans="1:4" x14ac:dyDescent="0.3">
      <c r="A433">
        <v>0</v>
      </c>
      <c r="B433">
        <f>DATA!C433</f>
        <v>614</v>
      </c>
      <c r="C433">
        <f>DATA!I433</f>
        <v>2</v>
      </c>
      <c r="D433" s="12">
        <f>DATA!M433</f>
        <v>1</v>
      </c>
    </row>
    <row r="434" spans="1:4" x14ac:dyDescent="0.3">
      <c r="A434">
        <v>1</v>
      </c>
      <c r="B434">
        <f>DATA!C434</f>
        <v>702</v>
      </c>
      <c r="C434">
        <f>DATA!I434</f>
        <v>3</v>
      </c>
      <c r="D434" s="12">
        <f>DATA!M434</f>
        <v>1</v>
      </c>
    </row>
    <row r="435" spans="1:4" x14ac:dyDescent="0.3">
      <c r="A435">
        <v>1</v>
      </c>
      <c r="B435">
        <f>DATA!C435</f>
        <v>559</v>
      </c>
      <c r="C435">
        <f>DATA!I435</f>
        <v>3</v>
      </c>
      <c r="D435" s="12">
        <f>DATA!M435</f>
        <v>1</v>
      </c>
    </row>
    <row r="436" spans="1:4" x14ac:dyDescent="0.3">
      <c r="A436">
        <v>1</v>
      </c>
      <c r="B436">
        <f>DATA!C436</f>
        <v>547</v>
      </c>
      <c r="C436">
        <f>DATA!I436</f>
        <v>1</v>
      </c>
      <c r="D436" s="12">
        <f>DATA!M436</f>
        <v>1</v>
      </c>
    </row>
    <row r="437" spans="1:4" x14ac:dyDescent="0.3">
      <c r="A437">
        <v>1</v>
      </c>
      <c r="B437">
        <f>DATA!C437</f>
        <v>730</v>
      </c>
      <c r="C437">
        <f>DATA!I437</f>
        <v>4</v>
      </c>
      <c r="D437" s="12">
        <f>DATA!M437</f>
        <v>1</v>
      </c>
    </row>
    <row r="438" spans="1:4" x14ac:dyDescent="0.3">
      <c r="A438">
        <v>1</v>
      </c>
      <c r="B438">
        <f>DATA!C438</f>
        <v>450</v>
      </c>
      <c r="C438">
        <f>DATA!I438</f>
        <v>2</v>
      </c>
      <c r="D438" s="12">
        <f>DATA!M438</f>
        <v>0</v>
      </c>
    </row>
    <row r="439" spans="1:4" x14ac:dyDescent="0.3">
      <c r="A439">
        <v>1</v>
      </c>
      <c r="B439">
        <f>DATA!C439</f>
        <v>735</v>
      </c>
      <c r="C439">
        <f>DATA!I439</f>
        <v>4</v>
      </c>
      <c r="D439" s="12">
        <f>DATA!M439</f>
        <v>0</v>
      </c>
    </row>
    <row r="440" spans="1:4" x14ac:dyDescent="0.3">
      <c r="A440">
        <v>1</v>
      </c>
      <c r="B440">
        <f>DATA!C440</f>
        <v>603</v>
      </c>
      <c r="C440">
        <f>DATA!I440</f>
        <v>2</v>
      </c>
      <c r="D440" s="12">
        <f>DATA!M440</f>
        <v>0</v>
      </c>
    </row>
    <row r="441" spans="1:4" x14ac:dyDescent="0.3">
      <c r="A441">
        <v>1</v>
      </c>
      <c r="B441">
        <f>DATA!C441</f>
        <v>507</v>
      </c>
      <c r="C441">
        <f>DATA!I441</f>
        <v>2</v>
      </c>
      <c r="D441" s="12">
        <f>DATA!M441</f>
        <v>1</v>
      </c>
    </row>
    <row r="442" spans="1:4" x14ac:dyDescent="0.3">
      <c r="A442">
        <v>0</v>
      </c>
      <c r="B442">
        <f>DATA!C442</f>
        <v>739</v>
      </c>
      <c r="C442">
        <f>DATA!I442</f>
        <v>3</v>
      </c>
      <c r="D442" s="12">
        <f>DATA!M442</f>
        <v>1</v>
      </c>
    </row>
    <row r="443" spans="1:4" x14ac:dyDescent="0.3">
      <c r="A443">
        <v>1</v>
      </c>
      <c r="B443">
        <f>DATA!C443</f>
        <v>814</v>
      </c>
      <c r="C443">
        <f>DATA!I443</f>
        <v>1</v>
      </c>
      <c r="D443" s="12">
        <f>DATA!M443</f>
        <v>1</v>
      </c>
    </row>
    <row r="444" spans="1:4" x14ac:dyDescent="0.3">
      <c r="A444">
        <v>1</v>
      </c>
      <c r="B444">
        <f>DATA!C444</f>
        <v>580</v>
      </c>
      <c r="C444">
        <f>DATA!I444</f>
        <v>2</v>
      </c>
      <c r="D444" s="12">
        <f>DATA!M444</f>
        <v>1</v>
      </c>
    </row>
    <row r="445" spans="1:4" x14ac:dyDescent="0.3">
      <c r="A445">
        <v>0</v>
      </c>
      <c r="B445">
        <f>DATA!C445</f>
        <v>774</v>
      </c>
      <c r="C445">
        <f>DATA!I445</f>
        <v>4</v>
      </c>
      <c r="D445" s="12">
        <f>DATA!M445</f>
        <v>0</v>
      </c>
    </row>
    <row r="446" spans="1:4" x14ac:dyDescent="0.3">
      <c r="A446">
        <v>1</v>
      </c>
      <c r="B446">
        <f>DATA!C446</f>
        <v>500</v>
      </c>
      <c r="C446">
        <f>DATA!I446</f>
        <v>1</v>
      </c>
      <c r="D446" s="12">
        <f>DATA!M446</f>
        <v>1</v>
      </c>
    </row>
    <row r="447" spans="1:4" x14ac:dyDescent="0.3">
      <c r="A447">
        <v>1</v>
      </c>
      <c r="B447">
        <f>DATA!C447</f>
        <v>380</v>
      </c>
      <c r="C447">
        <f>DATA!I447</f>
        <v>3</v>
      </c>
      <c r="D447" s="12">
        <f>DATA!M447</f>
        <v>1</v>
      </c>
    </row>
    <row r="448" spans="1:4" x14ac:dyDescent="0.3">
      <c r="A448">
        <v>1</v>
      </c>
      <c r="B448">
        <f>DATA!C448</f>
        <v>605</v>
      </c>
      <c r="C448">
        <f>DATA!I448</f>
        <v>2</v>
      </c>
      <c r="D448" s="12">
        <f>DATA!M448</f>
        <v>1</v>
      </c>
    </row>
    <row r="449" spans="1:4" x14ac:dyDescent="0.3">
      <c r="A449">
        <v>1</v>
      </c>
      <c r="B449">
        <f>DATA!C449</f>
        <v>369</v>
      </c>
      <c r="C449">
        <f>DATA!I449</f>
        <v>3</v>
      </c>
      <c r="D449" s="12">
        <f>DATA!M449</f>
        <v>0</v>
      </c>
    </row>
    <row r="450" spans="1:4" x14ac:dyDescent="0.3">
      <c r="A450">
        <v>1</v>
      </c>
      <c r="B450">
        <f>DATA!C450</f>
        <v>610</v>
      </c>
      <c r="C450">
        <f>DATA!I450</f>
        <v>2</v>
      </c>
      <c r="D450" s="12">
        <f>DATA!M450</f>
        <v>1</v>
      </c>
    </row>
    <row r="451" spans="1:4" x14ac:dyDescent="0.3">
      <c r="A451">
        <v>0</v>
      </c>
      <c r="B451">
        <f>DATA!C451</f>
        <v>498</v>
      </c>
      <c r="C451">
        <f>DATA!I451</f>
        <v>4</v>
      </c>
      <c r="D451" s="12">
        <f>DATA!M451</f>
        <v>0</v>
      </c>
    </row>
    <row r="452" spans="1:4" x14ac:dyDescent="0.3">
      <c r="A452">
        <v>1</v>
      </c>
      <c r="B452">
        <f>DATA!C452</f>
        <v>712</v>
      </c>
      <c r="C452">
        <f>DATA!I452</f>
        <v>1</v>
      </c>
      <c r="D452" s="12">
        <f>DATA!M452</f>
        <v>0</v>
      </c>
    </row>
    <row r="453" spans="1:4" x14ac:dyDescent="0.3">
      <c r="A453">
        <v>0</v>
      </c>
      <c r="B453">
        <f>DATA!C453</f>
        <v>424</v>
      </c>
      <c r="C453">
        <f>DATA!I453</f>
        <v>4</v>
      </c>
      <c r="D453" s="12">
        <f>DATA!M453</f>
        <v>1</v>
      </c>
    </row>
    <row r="454" spans="1:4" x14ac:dyDescent="0.3">
      <c r="A454">
        <v>1</v>
      </c>
      <c r="B454">
        <f>DATA!C454</f>
        <v>473</v>
      </c>
      <c r="C454">
        <f>DATA!I454</f>
        <v>2</v>
      </c>
      <c r="D454" s="12">
        <f>DATA!M454</f>
        <v>1</v>
      </c>
    </row>
    <row r="455" spans="1:4" x14ac:dyDescent="0.3">
      <c r="A455">
        <v>0</v>
      </c>
      <c r="B455">
        <f>DATA!C455</f>
        <v>801</v>
      </c>
      <c r="C455">
        <f>DATA!I455</f>
        <v>2</v>
      </c>
      <c r="D455" s="12">
        <f>DATA!M455</f>
        <v>0</v>
      </c>
    </row>
    <row r="456" spans="1:4" x14ac:dyDescent="0.3">
      <c r="A456">
        <v>1</v>
      </c>
      <c r="B456">
        <f>DATA!C456</f>
        <v>564</v>
      </c>
      <c r="C456">
        <f>DATA!I456</f>
        <v>3</v>
      </c>
      <c r="D456" s="12">
        <f>DATA!M456</f>
        <v>0</v>
      </c>
    </row>
    <row r="457" spans="1:4" x14ac:dyDescent="0.3">
      <c r="A457">
        <v>0</v>
      </c>
      <c r="B457">
        <f>DATA!C457</f>
        <v>666</v>
      </c>
      <c r="C457">
        <f>DATA!I457</f>
        <v>1</v>
      </c>
      <c r="D457" s="12">
        <f>DATA!M457</f>
        <v>0</v>
      </c>
    </row>
    <row r="458" spans="1:4" x14ac:dyDescent="0.3">
      <c r="A458">
        <v>0</v>
      </c>
      <c r="B458">
        <f>DATA!C458</f>
        <v>579</v>
      </c>
      <c r="C458">
        <f>DATA!I458</f>
        <v>4</v>
      </c>
      <c r="D458" s="12">
        <f>DATA!M458</f>
        <v>0</v>
      </c>
    </row>
    <row r="459" spans="1:4" x14ac:dyDescent="0.3">
      <c r="A459">
        <v>0</v>
      </c>
      <c r="B459">
        <f>DATA!C459</f>
        <v>600</v>
      </c>
      <c r="C459">
        <f>DATA!I459</f>
        <v>1</v>
      </c>
      <c r="D459" s="12">
        <f>DATA!M459</f>
        <v>1</v>
      </c>
    </row>
    <row r="460" spans="1:4" x14ac:dyDescent="0.3">
      <c r="A460">
        <v>1</v>
      </c>
      <c r="B460">
        <f>DATA!C460</f>
        <v>443</v>
      </c>
      <c r="C460">
        <f>DATA!I460</f>
        <v>2</v>
      </c>
      <c r="D460" s="12">
        <f>DATA!M460</f>
        <v>1</v>
      </c>
    </row>
    <row r="461" spans="1:4" x14ac:dyDescent="0.3">
      <c r="A461">
        <v>0</v>
      </c>
      <c r="B461">
        <f>DATA!C461</f>
        <v>519</v>
      </c>
      <c r="C461">
        <f>DATA!I461</f>
        <v>4</v>
      </c>
      <c r="D461" s="12">
        <f>DATA!M461</f>
        <v>1</v>
      </c>
    </row>
    <row r="462" spans="1:4" x14ac:dyDescent="0.3">
      <c r="A462">
        <v>0</v>
      </c>
      <c r="B462">
        <f>DATA!C462</f>
        <v>390</v>
      </c>
      <c r="C462">
        <f>DATA!I462</f>
        <v>3</v>
      </c>
      <c r="D462" s="12">
        <f>DATA!M462</f>
        <v>1</v>
      </c>
    </row>
    <row r="463" spans="1:4" x14ac:dyDescent="0.3">
      <c r="A463">
        <v>0</v>
      </c>
      <c r="B463">
        <f>DATA!C463</f>
        <v>538</v>
      </c>
      <c r="C463">
        <f>DATA!I463</f>
        <v>2</v>
      </c>
      <c r="D463" s="12">
        <f>DATA!M463</f>
        <v>1</v>
      </c>
    </row>
    <row r="464" spans="1:4" x14ac:dyDescent="0.3">
      <c r="A464">
        <v>1</v>
      </c>
      <c r="B464">
        <f>DATA!C464</f>
        <v>559</v>
      </c>
      <c r="C464">
        <f>DATA!I464</f>
        <v>3</v>
      </c>
      <c r="D464" s="12">
        <f>DATA!M464</f>
        <v>1</v>
      </c>
    </row>
    <row r="465" spans="1:4" x14ac:dyDescent="0.3">
      <c r="A465">
        <v>0</v>
      </c>
      <c r="B465">
        <f>DATA!C465</f>
        <v>529</v>
      </c>
      <c r="C465">
        <f>DATA!I465</f>
        <v>4</v>
      </c>
      <c r="D465" s="12">
        <f>DATA!M465</f>
        <v>0</v>
      </c>
    </row>
    <row r="466" spans="1:4" x14ac:dyDescent="0.3">
      <c r="A466">
        <v>0</v>
      </c>
      <c r="B466">
        <f>DATA!C466</f>
        <v>646</v>
      </c>
      <c r="C466">
        <f>DATA!I466</f>
        <v>4</v>
      </c>
      <c r="D466" s="12">
        <f>DATA!M466</f>
        <v>1</v>
      </c>
    </row>
    <row r="467" spans="1:4" x14ac:dyDescent="0.3">
      <c r="A467">
        <v>1</v>
      </c>
      <c r="B467">
        <f>DATA!C467</f>
        <v>409</v>
      </c>
      <c r="C467">
        <f>DATA!I467</f>
        <v>2</v>
      </c>
      <c r="D467" s="12">
        <f>DATA!M467</f>
        <v>0</v>
      </c>
    </row>
    <row r="468" spans="1:4" x14ac:dyDescent="0.3">
      <c r="A468">
        <v>0</v>
      </c>
      <c r="B468">
        <f>DATA!C468</f>
        <v>840</v>
      </c>
      <c r="C468">
        <f>DATA!I468</f>
        <v>2</v>
      </c>
      <c r="D468" s="12">
        <f>DATA!M468</f>
        <v>1</v>
      </c>
    </row>
    <row r="469" spans="1:4" x14ac:dyDescent="0.3">
      <c r="A469">
        <v>1</v>
      </c>
      <c r="B469">
        <f>DATA!C469</f>
        <v>828</v>
      </c>
      <c r="C469">
        <f>DATA!I469</f>
        <v>3</v>
      </c>
      <c r="D469" s="12">
        <f>DATA!M469</f>
        <v>1</v>
      </c>
    </row>
    <row r="470" spans="1:4" x14ac:dyDescent="0.3">
      <c r="A470">
        <v>1</v>
      </c>
      <c r="B470">
        <f>DATA!C470</f>
        <v>379</v>
      </c>
      <c r="C470">
        <f>DATA!I470</f>
        <v>2</v>
      </c>
      <c r="D470" s="12">
        <f>DATA!M470</f>
        <v>0</v>
      </c>
    </row>
    <row r="471" spans="1:4" x14ac:dyDescent="0.3">
      <c r="A471">
        <v>1</v>
      </c>
      <c r="B471">
        <f>DATA!C471</f>
        <v>575</v>
      </c>
      <c r="C471">
        <f>DATA!I471</f>
        <v>1</v>
      </c>
      <c r="D471" s="12">
        <f>DATA!M471</f>
        <v>0</v>
      </c>
    </row>
    <row r="472" spans="1:4" x14ac:dyDescent="0.3">
      <c r="A472">
        <v>0</v>
      </c>
      <c r="B472">
        <f>DATA!C472</f>
        <v>444</v>
      </c>
      <c r="C472">
        <f>DATA!I472</f>
        <v>1</v>
      </c>
      <c r="D472" s="12">
        <f>DATA!M472</f>
        <v>1</v>
      </c>
    </row>
    <row r="473" spans="1:4" x14ac:dyDescent="0.3">
      <c r="A473">
        <v>1</v>
      </c>
      <c r="B473">
        <f>DATA!C473</f>
        <v>588</v>
      </c>
      <c r="C473">
        <f>DATA!I473</f>
        <v>3</v>
      </c>
      <c r="D473" s="12">
        <f>DATA!M473</f>
        <v>1</v>
      </c>
    </row>
    <row r="474" spans="1:4" x14ac:dyDescent="0.3">
      <c r="A474">
        <v>0</v>
      </c>
      <c r="B474">
        <f>DATA!C474</f>
        <v>515</v>
      </c>
      <c r="C474">
        <f>DATA!I474</f>
        <v>3</v>
      </c>
      <c r="D474" s="12">
        <f>DATA!M474</f>
        <v>0</v>
      </c>
    </row>
    <row r="475" spans="1:4" x14ac:dyDescent="0.3">
      <c r="A475">
        <v>1</v>
      </c>
      <c r="B475">
        <f>DATA!C475</f>
        <v>732</v>
      </c>
      <c r="C475">
        <f>DATA!I475</f>
        <v>2</v>
      </c>
      <c r="D475" s="12">
        <f>DATA!M475</f>
        <v>1</v>
      </c>
    </row>
    <row r="476" spans="1:4" x14ac:dyDescent="0.3">
      <c r="A476">
        <v>0</v>
      </c>
      <c r="B476">
        <f>DATA!C476</f>
        <v>566</v>
      </c>
      <c r="C476">
        <f>DATA!I476</f>
        <v>2</v>
      </c>
      <c r="D476" s="12">
        <f>DATA!M476</f>
        <v>0</v>
      </c>
    </row>
    <row r="477" spans="1:4" x14ac:dyDescent="0.3">
      <c r="A477">
        <v>1</v>
      </c>
      <c r="B477">
        <f>DATA!C477</f>
        <v>622</v>
      </c>
      <c r="C477">
        <f>DATA!I477</f>
        <v>1</v>
      </c>
      <c r="D477" s="12">
        <f>DATA!M477</f>
        <v>0</v>
      </c>
    </row>
    <row r="478" spans="1:4" x14ac:dyDescent="0.3">
      <c r="A478">
        <v>0</v>
      </c>
      <c r="B478">
        <f>DATA!C478</f>
        <v>705</v>
      </c>
      <c r="C478">
        <f>DATA!I478</f>
        <v>3</v>
      </c>
      <c r="D478" s="12">
        <f>DATA!M478</f>
        <v>1</v>
      </c>
    </row>
    <row r="479" spans="1:4" x14ac:dyDescent="0.3">
      <c r="A479">
        <v>0</v>
      </c>
      <c r="B479">
        <f>DATA!C479</f>
        <v>517</v>
      </c>
      <c r="C479">
        <f>DATA!I479</f>
        <v>3</v>
      </c>
      <c r="D479" s="12">
        <f>DATA!M479</f>
        <v>1</v>
      </c>
    </row>
    <row r="480" spans="1:4" x14ac:dyDescent="0.3">
      <c r="A480">
        <v>1</v>
      </c>
      <c r="B480">
        <f>DATA!C480</f>
        <v>507</v>
      </c>
      <c r="C480">
        <f>DATA!I480</f>
        <v>1</v>
      </c>
      <c r="D480" s="12">
        <f>DATA!M480</f>
        <v>0</v>
      </c>
    </row>
    <row r="481" spans="1:4" x14ac:dyDescent="0.3">
      <c r="A481">
        <v>0</v>
      </c>
      <c r="B481">
        <f>DATA!C481</f>
        <v>415</v>
      </c>
      <c r="C481">
        <f>DATA!I481</f>
        <v>3</v>
      </c>
      <c r="D481" s="12">
        <f>DATA!M481</f>
        <v>0</v>
      </c>
    </row>
    <row r="482" spans="1:4" x14ac:dyDescent="0.3">
      <c r="A482">
        <v>0</v>
      </c>
      <c r="B482">
        <f>DATA!C482</f>
        <v>629</v>
      </c>
      <c r="C482">
        <f>DATA!I482</f>
        <v>2</v>
      </c>
      <c r="D482" s="12">
        <f>DATA!M482</f>
        <v>0</v>
      </c>
    </row>
    <row r="483" spans="1:4" x14ac:dyDescent="0.3">
      <c r="A483">
        <v>0</v>
      </c>
      <c r="B483">
        <f>DATA!C483</f>
        <v>550</v>
      </c>
      <c r="C483">
        <f>DATA!I483</f>
        <v>3</v>
      </c>
      <c r="D483" s="12">
        <f>DATA!M483</f>
        <v>0</v>
      </c>
    </row>
    <row r="484" spans="1:4" x14ac:dyDescent="0.3">
      <c r="A484">
        <v>1</v>
      </c>
      <c r="B484">
        <f>DATA!C484</f>
        <v>734</v>
      </c>
      <c r="C484">
        <f>DATA!I484</f>
        <v>3</v>
      </c>
      <c r="D484" s="12">
        <f>DATA!M484</f>
        <v>0</v>
      </c>
    </row>
    <row r="485" spans="1:4" x14ac:dyDescent="0.3">
      <c r="A485">
        <v>1</v>
      </c>
      <c r="B485">
        <f>DATA!C485</f>
        <v>437</v>
      </c>
      <c r="C485">
        <f>DATA!I485</f>
        <v>2</v>
      </c>
      <c r="D485" s="12">
        <f>DATA!M485</f>
        <v>0</v>
      </c>
    </row>
    <row r="486" spans="1:4" x14ac:dyDescent="0.3">
      <c r="A486">
        <v>1</v>
      </c>
      <c r="B486">
        <f>DATA!C486</f>
        <v>643</v>
      </c>
      <c r="C486">
        <f>DATA!I486</f>
        <v>2</v>
      </c>
      <c r="D486" s="12">
        <f>DATA!M486</f>
        <v>1</v>
      </c>
    </row>
    <row r="487" spans="1:4" x14ac:dyDescent="0.3">
      <c r="A487">
        <v>0</v>
      </c>
      <c r="B487">
        <f>DATA!C487</f>
        <v>717</v>
      </c>
      <c r="C487">
        <f>DATA!I487</f>
        <v>1</v>
      </c>
      <c r="D487" s="12">
        <f>DATA!M487</f>
        <v>1</v>
      </c>
    </row>
    <row r="488" spans="1:4" x14ac:dyDescent="0.3">
      <c r="A488">
        <v>1</v>
      </c>
      <c r="B488">
        <f>DATA!C488</f>
        <v>797</v>
      </c>
      <c r="C488">
        <f>DATA!I488</f>
        <v>1</v>
      </c>
      <c r="D488" s="12">
        <f>DATA!M488</f>
        <v>1</v>
      </c>
    </row>
    <row r="489" spans="1:4" x14ac:dyDescent="0.3">
      <c r="A489">
        <v>1</v>
      </c>
      <c r="B489">
        <f>DATA!C489</f>
        <v>760</v>
      </c>
      <c r="C489">
        <f>DATA!I489</f>
        <v>1</v>
      </c>
      <c r="D489" s="12">
        <f>DATA!M489</f>
        <v>0</v>
      </c>
    </row>
    <row r="490" spans="1:4" x14ac:dyDescent="0.3">
      <c r="A490">
        <v>1</v>
      </c>
      <c r="B490">
        <f>DATA!C490</f>
        <v>567</v>
      </c>
      <c r="C490">
        <f>DATA!I490</f>
        <v>4</v>
      </c>
      <c r="D490" s="12">
        <f>DATA!M490</f>
        <v>0</v>
      </c>
    </row>
    <row r="491" spans="1:4" x14ac:dyDescent="0.3">
      <c r="A491">
        <v>1</v>
      </c>
      <c r="B491">
        <f>DATA!C491</f>
        <v>695</v>
      </c>
      <c r="C491">
        <f>DATA!I491</f>
        <v>4</v>
      </c>
      <c r="D491" s="12">
        <f>DATA!M491</f>
        <v>0</v>
      </c>
    </row>
    <row r="492" spans="1:4" x14ac:dyDescent="0.3">
      <c r="A492">
        <v>1</v>
      </c>
      <c r="B492">
        <f>DATA!C492</f>
        <v>484</v>
      </c>
      <c r="C492">
        <f>DATA!I492</f>
        <v>3</v>
      </c>
      <c r="D492" s="12">
        <f>DATA!M492</f>
        <v>1</v>
      </c>
    </row>
    <row r="493" spans="1:4" x14ac:dyDescent="0.3">
      <c r="A493">
        <v>0</v>
      </c>
      <c r="B493">
        <f>DATA!C493</f>
        <v>566</v>
      </c>
      <c r="C493">
        <f>DATA!I493</f>
        <v>2</v>
      </c>
      <c r="D493" s="12">
        <f>DATA!M493</f>
        <v>0</v>
      </c>
    </row>
    <row r="494" spans="1:4" x14ac:dyDescent="0.3">
      <c r="A494">
        <v>1</v>
      </c>
      <c r="B494">
        <f>DATA!C494</f>
        <v>813</v>
      </c>
      <c r="C494">
        <f>DATA!I494</f>
        <v>3</v>
      </c>
      <c r="D494" s="12">
        <f>DATA!M494</f>
        <v>0</v>
      </c>
    </row>
    <row r="495" spans="1:4" x14ac:dyDescent="0.3">
      <c r="A495">
        <v>1</v>
      </c>
      <c r="B495">
        <f>DATA!C495</f>
        <v>451</v>
      </c>
      <c r="C495">
        <f>DATA!I495</f>
        <v>2</v>
      </c>
      <c r="D495" s="12">
        <f>DATA!M495</f>
        <v>0</v>
      </c>
    </row>
    <row r="496" spans="1:4" x14ac:dyDescent="0.3">
      <c r="A496">
        <v>0</v>
      </c>
      <c r="B496">
        <f>DATA!C496</f>
        <v>647</v>
      </c>
      <c r="C496">
        <f>DATA!I496</f>
        <v>2</v>
      </c>
      <c r="D496" s="12">
        <f>DATA!M496</f>
        <v>1</v>
      </c>
    </row>
    <row r="497" spans="1:4" x14ac:dyDescent="0.3">
      <c r="A497">
        <v>1</v>
      </c>
      <c r="B497">
        <f>DATA!C497</f>
        <v>751</v>
      </c>
      <c r="C497">
        <f>DATA!I497</f>
        <v>3</v>
      </c>
      <c r="D497" s="12">
        <f>DATA!M497</f>
        <v>1</v>
      </c>
    </row>
    <row r="498" spans="1:4" x14ac:dyDescent="0.3">
      <c r="A498">
        <v>0</v>
      </c>
      <c r="B498">
        <f>DATA!C498</f>
        <v>814</v>
      </c>
      <c r="C498">
        <f>DATA!I498</f>
        <v>3</v>
      </c>
      <c r="D498" s="12">
        <f>DATA!M498</f>
        <v>0</v>
      </c>
    </row>
    <row r="499" spans="1:4" x14ac:dyDescent="0.3">
      <c r="A499">
        <v>0</v>
      </c>
      <c r="B499">
        <f>DATA!C499</f>
        <v>718</v>
      </c>
      <c r="C499">
        <f>DATA!I499</f>
        <v>4</v>
      </c>
      <c r="D499" s="12">
        <f>DATA!M499</f>
        <v>1</v>
      </c>
    </row>
    <row r="500" spans="1:4" x14ac:dyDescent="0.3">
      <c r="A500">
        <v>1</v>
      </c>
      <c r="B500">
        <f>DATA!C500</f>
        <v>393</v>
      </c>
      <c r="C500">
        <f>DATA!I500</f>
        <v>3</v>
      </c>
      <c r="D500" s="12">
        <f>DATA!M500</f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F26C0-81A8-44FF-9095-06A76DC203D6}">
  <dimension ref="A1:O500"/>
  <sheetViews>
    <sheetView workbookViewId="0">
      <selection activeCell="K23" sqref="K23"/>
    </sheetView>
  </sheetViews>
  <sheetFormatPr defaultRowHeight="14.4" x14ac:dyDescent="0.3"/>
  <cols>
    <col min="2" max="2" width="10" bestFit="1" customWidth="1"/>
    <col min="3" max="3" width="14.5546875" bestFit="1" customWidth="1"/>
    <col min="7" max="7" width="17.44140625" bestFit="1" customWidth="1"/>
    <col min="8" max="8" width="12.6640625" bestFit="1" customWidth="1"/>
    <col min="9" max="9" width="13.44140625" bestFit="1" customWidth="1"/>
  </cols>
  <sheetData>
    <row r="1" spans="1:12" s="10" customFormat="1" x14ac:dyDescent="0.3">
      <c r="A1" s="10" t="str" cm="1">
        <f t="array" ref="A1:A500">DATA!G1:G500</f>
        <v>Tenure</v>
      </c>
      <c r="B1" s="10" t="str">
        <f>DATA!H1</f>
        <v>Balance</v>
      </c>
      <c r="C1" s="10" t="str">
        <f>DATA!L1</f>
        <v>EstimatedSalary</v>
      </c>
      <c r="D1" s="10" t="str">
        <f>DATA!M1</f>
        <v>Churn</v>
      </c>
    </row>
    <row r="2" spans="1:12" x14ac:dyDescent="0.3">
      <c r="A2">
        <v>7</v>
      </c>
      <c r="B2">
        <f>DATA!H2</f>
        <v>119274.87</v>
      </c>
      <c r="C2">
        <f>DATA!L2</f>
        <v>107886.77</v>
      </c>
      <c r="D2" s="12">
        <f>DATA!M2</f>
        <v>0</v>
      </c>
    </row>
    <row r="3" spans="1:12" x14ac:dyDescent="0.3">
      <c r="A3">
        <v>3</v>
      </c>
      <c r="B3">
        <f>DATA!H3</f>
        <v>203737.4</v>
      </c>
      <c r="C3">
        <f>DATA!L3</f>
        <v>52848.11</v>
      </c>
      <c r="D3" s="12">
        <f>DATA!M3</f>
        <v>0</v>
      </c>
    </row>
    <row r="4" spans="1:12" x14ac:dyDescent="0.3">
      <c r="A4">
        <v>6</v>
      </c>
      <c r="B4">
        <f>DATA!H4</f>
        <v>146780.5</v>
      </c>
      <c r="C4">
        <f>DATA!L4</f>
        <v>94395.02</v>
      </c>
      <c r="D4" s="12">
        <f>DATA!M4</f>
        <v>0</v>
      </c>
      <c r="G4" t="s">
        <v>63</v>
      </c>
    </row>
    <row r="5" spans="1:12" ht="15" thickBot="1" x14ac:dyDescent="0.35">
      <c r="A5">
        <v>0</v>
      </c>
      <c r="B5">
        <f>DATA!H5</f>
        <v>23572.03</v>
      </c>
      <c r="C5">
        <f>DATA!L5</f>
        <v>146739.54999999999</v>
      </c>
      <c r="D5" s="12">
        <f>DATA!M5</f>
        <v>0</v>
      </c>
    </row>
    <row r="6" spans="1:12" x14ac:dyDescent="0.3">
      <c r="A6">
        <v>2</v>
      </c>
      <c r="B6">
        <f>DATA!H6</f>
        <v>7463.43</v>
      </c>
      <c r="C6">
        <f>DATA!L6</f>
        <v>16036.55</v>
      </c>
      <c r="D6" s="12">
        <f>DATA!M6</f>
        <v>0</v>
      </c>
      <c r="G6" s="15" t="s">
        <v>64</v>
      </c>
      <c r="H6" s="15"/>
    </row>
    <row r="7" spans="1:12" x14ac:dyDescent="0.3">
      <c r="A7">
        <v>0</v>
      </c>
      <c r="B7">
        <f>DATA!H7</f>
        <v>127812.9</v>
      </c>
      <c r="C7">
        <f>DATA!L7</f>
        <v>65189.1</v>
      </c>
      <c r="D7" s="12">
        <f>DATA!M7</f>
        <v>0</v>
      </c>
      <c r="G7" t="s">
        <v>65</v>
      </c>
      <c r="H7" s="4">
        <v>6.7935436633099824E-2</v>
      </c>
    </row>
    <row r="8" spans="1:12" x14ac:dyDescent="0.3">
      <c r="A8">
        <v>10</v>
      </c>
      <c r="B8">
        <f>DATA!H8</f>
        <v>136164.96</v>
      </c>
      <c r="C8">
        <f>DATA!L8</f>
        <v>135962.88</v>
      </c>
      <c r="D8" s="12">
        <f>DATA!M8</f>
        <v>0</v>
      </c>
      <c r="G8" t="s">
        <v>66</v>
      </c>
      <c r="H8" s="4">
        <v>4.615223550529921E-3</v>
      </c>
    </row>
    <row r="9" spans="1:12" x14ac:dyDescent="0.3">
      <c r="A9">
        <v>5</v>
      </c>
      <c r="B9">
        <f>DATA!H9</f>
        <v>204042.02</v>
      </c>
      <c r="C9">
        <f>DATA!L9</f>
        <v>92581.54</v>
      </c>
      <c r="D9" s="12">
        <f>DATA!M9</f>
        <v>1</v>
      </c>
      <c r="G9" t="s">
        <v>67</v>
      </c>
      <c r="H9" s="4">
        <v>-1.4174114582547464E-3</v>
      </c>
    </row>
    <row r="10" spans="1:12" x14ac:dyDescent="0.3">
      <c r="A10">
        <v>1</v>
      </c>
      <c r="B10">
        <f>DATA!H10</f>
        <v>182609.21</v>
      </c>
      <c r="C10">
        <f>DATA!L10</f>
        <v>141848.51</v>
      </c>
      <c r="D10" s="12">
        <f>DATA!M10</f>
        <v>1</v>
      </c>
      <c r="G10" t="s">
        <v>68</v>
      </c>
      <c r="H10" s="4">
        <v>0.49881557508176899</v>
      </c>
    </row>
    <row r="11" spans="1:12" ht="15" thickBot="1" x14ac:dyDescent="0.35">
      <c r="A11">
        <v>7</v>
      </c>
      <c r="B11">
        <f>DATA!H11</f>
        <v>56345.73</v>
      </c>
      <c r="C11">
        <f>DATA!L11</f>
        <v>143065.1</v>
      </c>
      <c r="D11" s="12">
        <f>DATA!M11</f>
        <v>1</v>
      </c>
      <c r="G11" s="13" t="s">
        <v>69</v>
      </c>
      <c r="H11" s="16">
        <v>499</v>
      </c>
    </row>
    <row r="12" spans="1:12" x14ac:dyDescent="0.3">
      <c r="A12">
        <v>10</v>
      </c>
      <c r="B12">
        <f>DATA!H12</f>
        <v>198399.26</v>
      </c>
      <c r="C12">
        <f>DATA!L12</f>
        <v>125839.96</v>
      </c>
      <c r="D12" s="12">
        <f>DATA!M12</f>
        <v>1</v>
      </c>
    </row>
    <row r="13" spans="1:12" ht="15" thickBot="1" x14ac:dyDescent="0.35">
      <c r="A13">
        <v>3</v>
      </c>
      <c r="B13">
        <f>DATA!H13</f>
        <v>157278.91</v>
      </c>
      <c r="C13">
        <f>DATA!L13</f>
        <v>58708.71</v>
      </c>
      <c r="D13" s="12">
        <f>DATA!M13</f>
        <v>1</v>
      </c>
      <c r="G13" t="s">
        <v>70</v>
      </c>
    </row>
    <row r="14" spans="1:12" x14ac:dyDescent="0.3">
      <c r="A14">
        <v>2</v>
      </c>
      <c r="B14">
        <f>DATA!H14</f>
        <v>58317.75</v>
      </c>
      <c r="C14">
        <f>DATA!L14</f>
        <v>13740.96</v>
      </c>
      <c r="D14" s="12">
        <f>DATA!M14</f>
        <v>0</v>
      </c>
      <c r="G14" s="14"/>
      <c r="H14" s="14" t="s">
        <v>75</v>
      </c>
      <c r="I14" s="14" t="s">
        <v>76</v>
      </c>
      <c r="J14" s="14" t="s">
        <v>77</v>
      </c>
      <c r="K14" s="14" t="s">
        <v>78</v>
      </c>
      <c r="L14" s="14" t="s">
        <v>79</v>
      </c>
    </row>
    <row r="15" spans="1:12" x14ac:dyDescent="0.3">
      <c r="A15">
        <v>3</v>
      </c>
      <c r="B15">
        <f>DATA!H15</f>
        <v>128968.35</v>
      </c>
      <c r="C15">
        <f>DATA!L15</f>
        <v>143532.82</v>
      </c>
      <c r="D15" s="12">
        <f>DATA!M15</f>
        <v>1</v>
      </c>
      <c r="G15" t="s">
        <v>71</v>
      </c>
      <c r="H15" s="4">
        <v>3</v>
      </c>
      <c r="I15" s="4">
        <v>0.57106685952689418</v>
      </c>
      <c r="J15" s="4">
        <v>0.19035561984229807</v>
      </c>
      <c r="K15" s="4">
        <v>0.76504272905774606</v>
      </c>
      <c r="L15" s="4">
        <v>0.51402952297712146</v>
      </c>
    </row>
    <row r="16" spans="1:12" x14ac:dyDescent="0.3">
      <c r="A16">
        <v>2</v>
      </c>
      <c r="B16">
        <f>DATA!H16</f>
        <v>60006.91</v>
      </c>
      <c r="C16">
        <f>DATA!L16</f>
        <v>38571.279999999999</v>
      </c>
      <c r="D16" s="12">
        <f>DATA!M16</f>
        <v>0</v>
      </c>
      <c r="G16" t="s">
        <v>72</v>
      </c>
      <c r="H16" s="4">
        <v>495</v>
      </c>
      <c r="I16" s="4">
        <v>123.16440408235719</v>
      </c>
      <c r="J16" s="4">
        <v>0.24881697794415594</v>
      </c>
      <c r="K16" s="4"/>
      <c r="L16" s="4"/>
    </row>
    <row r="17" spans="1:15" ht="15" thickBot="1" x14ac:dyDescent="0.35">
      <c r="A17">
        <v>3</v>
      </c>
      <c r="B17">
        <f>DATA!H17</f>
        <v>180430.72</v>
      </c>
      <c r="C17">
        <f>DATA!L17</f>
        <v>43961.45</v>
      </c>
      <c r="D17" s="12">
        <f>DATA!M17</f>
        <v>1</v>
      </c>
      <c r="G17" s="13" t="s">
        <v>73</v>
      </c>
      <c r="H17" s="16">
        <v>498</v>
      </c>
      <c r="I17" s="16">
        <v>123.73547094188409</v>
      </c>
      <c r="J17" s="16"/>
      <c r="K17" s="16"/>
      <c r="L17" s="16"/>
    </row>
    <row r="18" spans="1:15" ht="15" thickBot="1" x14ac:dyDescent="0.35">
      <c r="A18">
        <v>7</v>
      </c>
      <c r="B18">
        <f>DATA!H18</f>
        <v>75466.39</v>
      </c>
      <c r="C18">
        <f>DATA!L18</f>
        <v>103226.64</v>
      </c>
      <c r="D18" s="12">
        <f>DATA!M18</f>
        <v>1</v>
      </c>
    </row>
    <row r="19" spans="1:15" x14ac:dyDescent="0.3">
      <c r="A19">
        <v>7</v>
      </c>
      <c r="B19">
        <f>DATA!H19</f>
        <v>124186.11</v>
      </c>
      <c r="C19">
        <f>DATA!L19</f>
        <v>108305.55</v>
      </c>
      <c r="D19" s="12">
        <f>DATA!M19</f>
        <v>0</v>
      </c>
      <c r="G19" s="14"/>
      <c r="H19" s="14" t="s">
        <v>80</v>
      </c>
      <c r="I19" s="14" t="s">
        <v>68</v>
      </c>
      <c r="J19" s="14" t="s">
        <v>81</v>
      </c>
      <c r="K19" s="14" t="s">
        <v>82</v>
      </c>
      <c r="L19" s="14" t="s">
        <v>83</v>
      </c>
      <c r="M19" s="14" t="s">
        <v>84</v>
      </c>
      <c r="N19" s="14" t="s">
        <v>85</v>
      </c>
      <c r="O19" s="14" t="s">
        <v>86</v>
      </c>
    </row>
    <row r="20" spans="1:15" x14ac:dyDescent="0.3">
      <c r="A20">
        <v>1</v>
      </c>
      <c r="B20">
        <f>DATA!H20</f>
        <v>224549.07</v>
      </c>
      <c r="C20">
        <f>DATA!L20</f>
        <v>144262.57</v>
      </c>
      <c r="D20" s="12">
        <f>DATA!M20</f>
        <v>1</v>
      </c>
      <c r="G20" t="s">
        <v>74</v>
      </c>
      <c r="H20" s="4">
        <v>0.44905213666445698</v>
      </c>
      <c r="I20" s="4">
        <v>7.5317609281655734E-2</v>
      </c>
      <c r="J20" s="4">
        <v>5.962113520958872</v>
      </c>
      <c r="K20" s="4">
        <v>4.7384192659063908E-9</v>
      </c>
      <c r="L20" s="4">
        <v>0.30107050871403018</v>
      </c>
      <c r="M20" s="4">
        <v>0.597033764614884</v>
      </c>
      <c r="N20" s="4">
        <v>0.30107050871403018</v>
      </c>
      <c r="O20" s="4">
        <v>0.597033764614884</v>
      </c>
    </row>
    <row r="21" spans="1:15" x14ac:dyDescent="0.3">
      <c r="A21">
        <v>4</v>
      </c>
      <c r="B21">
        <f>DATA!H21</f>
        <v>246840.35</v>
      </c>
      <c r="C21">
        <f>DATA!L21</f>
        <v>93337.31</v>
      </c>
      <c r="D21" s="12">
        <f>DATA!M21</f>
        <v>0</v>
      </c>
      <c r="G21" t="s">
        <v>6</v>
      </c>
      <c r="H21" s="4">
        <v>8.7474673769897451E-3</v>
      </c>
      <c r="I21" s="4">
        <v>6.9403757689859525E-3</v>
      </c>
      <c r="J21" s="4">
        <v>1.2603737417329817</v>
      </c>
      <c r="K21" s="21">
        <v>0.20812837969591499</v>
      </c>
      <c r="L21" s="4">
        <v>-4.8887607863540399E-3</v>
      </c>
      <c r="M21" s="4">
        <v>2.238369554033353E-2</v>
      </c>
      <c r="N21" s="4">
        <v>-4.8887607863540399E-3</v>
      </c>
      <c r="O21" s="4">
        <v>2.238369554033353E-2</v>
      </c>
    </row>
    <row r="22" spans="1:15" x14ac:dyDescent="0.3">
      <c r="A22">
        <v>6</v>
      </c>
      <c r="B22">
        <f>DATA!H22</f>
        <v>239474.66</v>
      </c>
      <c r="C22">
        <f>DATA!L22</f>
        <v>71646.19</v>
      </c>
      <c r="D22" s="12">
        <f>DATA!M22</f>
        <v>1</v>
      </c>
      <c r="G22" t="s">
        <v>7</v>
      </c>
      <c r="H22" s="4">
        <v>1.1563176480440587E-7</v>
      </c>
      <c r="I22" s="4">
        <v>3.1183673704819399E-7</v>
      </c>
      <c r="J22" s="4">
        <v>0.37080866705751581</v>
      </c>
      <c r="K22" s="21">
        <v>0.71093867919936837</v>
      </c>
      <c r="L22" s="4">
        <v>-4.970550748770581E-7</v>
      </c>
      <c r="M22" s="4">
        <v>7.2831860448586976E-7</v>
      </c>
      <c r="N22" s="4">
        <v>-4.970550748770581E-7</v>
      </c>
      <c r="O22" s="4">
        <v>7.2831860448586976E-7</v>
      </c>
    </row>
    <row r="23" spans="1:15" ht="15" thickBot="1" x14ac:dyDescent="0.35">
      <c r="A23">
        <v>10</v>
      </c>
      <c r="B23">
        <f>DATA!H23</f>
        <v>192616.6</v>
      </c>
      <c r="C23">
        <f>DATA!L23</f>
        <v>27413.39</v>
      </c>
      <c r="D23" s="12">
        <f>DATA!M23</f>
        <v>0</v>
      </c>
      <c r="G23" s="13" t="s">
        <v>11</v>
      </c>
      <c r="H23" s="16">
        <v>4.382730584590278E-7</v>
      </c>
      <c r="I23" s="16">
        <v>5.4821465246499515E-7</v>
      </c>
      <c r="J23" s="16">
        <v>0.79945520698575745</v>
      </c>
      <c r="K23" s="20">
        <v>0.42440996300896372</v>
      </c>
      <c r="L23" s="16">
        <v>-6.3884154344863466E-7</v>
      </c>
      <c r="M23" s="16">
        <v>1.5153876603666904E-6</v>
      </c>
      <c r="N23" s="16">
        <v>-6.3884154344863466E-7</v>
      </c>
      <c r="O23" s="16">
        <v>1.5153876603666904E-6</v>
      </c>
    </row>
    <row r="24" spans="1:15" x14ac:dyDescent="0.3">
      <c r="A24">
        <v>7</v>
      </c>
      <c r="B24">
        <f>DATA!H24</f>
        <v>34050.82</v>
      </c>
      <c r="C24">
        <f>DATA!L24</f>
        <v>130037.45</v>
      </c>
      <c r="D24" s="12">
        <f>DATA!M24</f>
        <v>1</v>
      </c>
    </row>
    <row r="25" spans="1:15" x14ac:dyDescent="0.3">
      <c r="A25">
        <v>0</v>
      </c>
      <c r="B25">
        <f>DATA!H25</f>
        <v>116986.77</v>
      </c>
      <c r="C25">
        <f>DATA!L25</f>
        <v>16197.08</v>
      </c>
      <c r="D25" s="12">
        <f>DATA!M25</f>
        <v>0</v>
      </c>
    </row>
    <row r="26" spans="1:15" x14ac:dyDescent="0.3">
      <c r="A26">
        <v>0</v>
      </c>
      <c r="B26">
        <f>DATA!H26</f>
        <v>242071.38</v>
      </c>
      <c r="C26">
        <f>DATA!L26</f>
        <v>129312.08</v>
      </c>
      <c r="D26" s="12">
        <f>DATA!M26</f>
        <v>0</v>
      </c>
    </row>
    <row r="27" spans="1:15" x14ac:dyDescent="0.3">
      <c r="A27">
        <v>6</v>
      </c>
      <c r="B27">
        <f>DATA!H27</f>
        <v>88252.4</v>
      </c>
      <c r="C27">
        <f>DATA!L27</f>
        <v>57083.95</v>
      </c>
      <c r="D27" s="12">
        <f>DATA!M27</f>
        <v>0</v>
      </c>
    </row>
    <row r="28" spans="1:15" x14ac:dyDescent="0.3">
      <c r="A28">
        <v>4</v>
      </c>
      <c r="B28">
        <f>DATA!H28</f>
        <v>39874.14</v>
      </c>
      <c r="C28">
        <f>DATA!L28</f>
        <v>137124.10999999999</v>
      </c>
      <c r="D28" s="12">
        <f>DATA!M28</f>
        <v>1</v>
      </c>
    </row>
    <row r="29" spans="1:15" x14ac:dyDescent="0.3">
      <c r="A29">
        <v>4</v>
      </c>
      <c r="B29">
        <f>DATA!H29</f>
        <v>47828.14</v>
      </c>
      <c r="C29">
        <f>DATA!L29</f>
        <v>129087.2</v>
      </c>
      <c r="D29" s="12">
        <f>DATA!M29</f>
        <v>0</v>
      </c>
    </row>
    <row r="30" spans="1:15" x14ac:dyDescent="0.3">
      <c r="A30">
        <v>10</v>
      </c>
      <c r="B30">
        <f>DATA!H30</f>
        <v>137337.07999999999</v>
      </c>
      <c r="C30">
        <f>DATA!L30</f>
        <v>107849.47</v>
      </c>
      <c r="D30" s="12">
        <f>DATA!M30</f>
        <v>1</v>
      </c>
    </row>
    <row r="31" spans="1:15" x14ac:dyDescent="0.3">
      <c r="A31">
        <v>5</v>
      </c>
      <c r="B31">
        <f>DATA!H31</f>
        <v>5425.45</v>
      </c>
      <c r="C31">
        <f>DATA!L31</f>
        <v>82220.31</v>
      </c>
      <c r="D31" s="12">
        <f>DATA!M31</f>
        <v>1</v>
      </c>
    </row>
    <row r="32" spans="1:15" x14ac:dyDescent="0.3">
      <c r="A32">
        <v>1</v>
      </c>
      <c r="B32">
        <f>DATA!H32</f>
        <v>192565.36</v>
      </c>
      <c r="C32">
        <f>DATA!L32</f>
        <v>106833.18</v>
      </c>
      <c r="D32" s="12">
        <f>DATA!M32</f>
        <v>1</v>
      </c>
    </row>
    <row r="33" spans="1:4" x14ac:dyDescent="0.3">
      <c r="A33">
        <v>10</v>
      </c>
      <c r="B33">
        <f>DATA!H33</f>
        <v>98142.26</v>
      </c>
      <c r="C33">
        <f>DATA!L33</f>
        <v>88655.49</v>
      </c>
      <c r="D33" s="12">
        <f>DATA!M33</f>
        <v>1</v>
      </c>
    </row>
    <row r="34" spans="1:4" x14ac:dyDescent="0.3">
      <c r="A34">
        <v>2</v>
      </c>
      <c r="B34">
        <f>DATA!H34</f>
        <v>55839.55</v>
      </c>
      <c r="C34">
        <f>DATA!L34</f>
        <v>45305.66</v>
      </c>
      <c r="D34" s="12">
        <f>DATA!M34</f>
        <v>1</v>
      </c>
    </row>
    <row r="35" spans="1:4" x14ac:dyDescent="0.3">
      <c r="A35">
        <v>6</v>
      </c>
      <c r="B35">
        <f>DATA!H35</f>
        <v>72899.17</v>
      </c>
      <c r="C35">
        <f>DATA!L35</f>
        <v>90761.77</v>
      </c>
      <c r="D35" s="12">
        <f>DATA!M35</f>
        <v>0</v>
      </c>
    </row>
    <row r="36" spans="1:4" x14ac:dyDescent="0.3">
      <c r="A36">
        <v>8</v>
      </c>
      <c r="B36">
        <f>DATA!H36</f>
        <v>200786.02</v>
      </c>
      <c r="C36">
        <f>DATA!L36</f>
        <v>128936.13</v>
      </c>
      <c r="D36" s="12">
        <f>DATA!M36</f>
        <v>1</v>
      </c>
    </row>
    <row r="37" spans="1:4" x14ac:dyDescent="0.3">
      <c r="A37">
        <v>2</v>
      </c>
      <c r="B37">
        <f>DATA!H37</f>
        <v>9295.2900000000009</v>
      </c>
      <c r="C37">
        <f>DATA!L37</f>
        <v>39491.230000000003</v>
      </c>
      <c r="D37" s="12">
        <f>DATA!M37</f>
        <v>1</v>
      </c>
    </row>
    <row r="38" spans="1:4" x14ac:dyDescent="0.3">
      <c r="A38">
        <v>10</v>
      </c>
      <c r="B38">
        <f>DATA!H38</f>
        <v>192830.21</v>
      </c>
      <c r="C38">
        <f>DATA!L38</f>
        <v>82220.31</v>
      </c>
      <c r="D38" s="12">
        <f>DATA!M38</f>
        <v>0</v>
      </c>
    </row>
    <row r="39" spans="1:4" x14ac:dyDescent="0.3">
      <c r="A39">
        <v>9</v>
      </c>
      <c r="B39">
        <f>DATA!H39</f>
        <v>190574.23</v>
      </c>
      <c r="C39">
        <f>DATA!L39</f>
        <v>22363.52</v>
      </c>
      <c r="D39" s="12">
        <f>DATA!M39</f>
        <v>0</v>
      </c>
    </row>
    <row r="40" spans="1:4" x14ac:dyDescent="0.3">
      <c r="A40">
        <v>9</v>
      </c>
      <c r="B40">
        <f>DATA!H40</f>
        <v>20385.3</v>
      </c>
      <c r="C40">
        <f>DATA!L40</f>
        <v>118972.35</v>
      </c>
      <c r="D40" s="12">
        <f>DATA!M40</f>
        <v>1</v>
      </c>
    </row>
    <row r="41" spans="1:4" x14ac:dyDescent="0.3">
      <c r="A41">
        <v>5</v>
      </c>
      <c r="B41">
        <f>DATA!H41</f>
        <v>207759.1</v>
      </c>
      <c r="C41">
        <f>DATA!L41</f>
        <v>23908.03</v>
      </c>
      <c r="D41" s="12">
        <f>DATA!M41</f>
        <v>0</v>
      </c>
    </row>
    <row r="42" spans="1:4" x14ac:dyDescent="0.3">
      <c r="A42">
        <v>5</v>
      </c>
      <c r="B42">
        <f>DATA!H42</f>
        <v>43010.54</v>
      </c>
      <c r="C42">
        <f>DATA!L42</f>
        <v>82220.31</v>
      </c>
      <c r="D42" s="12">
        <f>DATA!M42</f>
        <v>1</v>
      </c>
    </row>
    <row r="43" spans="1:4" x14ac:dyDescent="0.3">
      <c r="A43">
        <v>8</v>
      </c>
      <c r="B43">
        <f>DATA!H43</f>
        <v>34108.089999999997</v>
      </c>
      <c r="C43">
        <f>DATA!L43</f>
        <v>81519.78</v>
      </c>
      <c r="D43" s="12">
        <f>DATA!M43</f>
        <v>0</v>
      </c>
    </row>
    <row r="44" spans="1:4" x14ac:dyDescent="0.3">
      <c r="A44">
        <v>5</v>
      </c>
      <c r="B44">
        <f>DATA!H44</f>
        <v>41600.300000000003</v>
      </c>
      <c r="C44">
        <f>DATA!L44</f>
        <v>48255.32</v>
      </c>
      <c r="D44" s="12">
        <f>DATA!M44</f>
        <v>1</v>
      </c>
    </row>
    <row r="45" spans="1:4" x14ac:dyDescent="0.3">
      <c r="A45">
        <v>9</v>
      </c>
      <c r="B45">
        <f>DATA!H45</f>
        <v>689.5</v>
      </c>
      <c r="C45">
        <f>DATA!L45</f>
        <v>19803.7</v>
      </c>
      <c r="D45" s="12">
        <f>DATA!M45</f>
        <v>0</v>
      </c>
    </row>
    <row r="46" spans="1:4" x14ac:dyDescent="0.3">
      <c r="A46">
        <v>1</v>
      </c>
      <c r="B46">
        <f>DATA!H46</f>
        <v>133364.17000000001</v>
      </c>
      <c r="C46">
        <f>DATA!L46</f>
        <v>124490.71</v>
      </c>
      <c r="D46" s="12">
        <f>DATA!M46</f>
        <v>0</v>
      </c>
    </row>
    <row r="47" spans="1:4" x14ac:dyDescent="0.3">
      <c r="A47">
        <v>9</v>
      </c>
      <c r="B47">
        <f>DATA!H47</f>
        <v>92243.96</v>
      </c>
      <c r="C47">
        <f>DATA!L47</f>
        <v>64920.41</v>
      </c>
      <c r="D47" s="12">
        <f>DATA!M47</f>
        <v>1</v>
      </c>
    </row>
    <row r="48" spans="1:4" x14ac:dyDescent="0.3">
      <c r="A48">
        <v>4</v>
      </c>
      <c r="B48">
        <f>DATA!H48</f>
        <v>35813.31</v>
      </c>
      <c r="C48">
        <f>DATA!L48</f>
        <v>133876.07999999999</v>
      </c>
      <c r="D48" s="12">
        <f>DATA!M48</f>
        <v>0</v>
      </c>
    </row>
    <row r="49" spans="1:4" x14ac:dyDescent="0.3">
      <c r="A49">
        <v>6</v>
      </c>
      <c r="B49">
        <f>DATA!H49</f>
        <v>217182.14</v>
      </c>
      <c r="C49">
        <f>DATA!L49</f>
        <v>110877.22</v>
      </c>
      <c r="D49" s="12">
        <f>DATA!M49</f>
        <v>1</v>
      </c>
    </row>
    <row r="50" spans="1:4" x14ac:dyDescent="0.3">
      <c r="A50">
        <v>9</v>
      </c>
      <c r="B50">
        <f>DATA!H50</f>
        <v>126550.42</v>
      </c>
      <c r="C50">
        <f>DATA!L50</f>
        <v>21781.599999999999</v>
      </c>
      <c r="D50" s="12">
        <f>DATA!M50</f>
        <v>1</v>
      </c>
    </row>
    <row r="51" spans="1:4" x14ac:dyDescent="0.3">
      <c r="A51">
        <v>10</v>
      </c>
      <c r="B51">
        <f>DATA!H51</f>
        <v>87177.02</v>
      </c>
      <c r="C51">
        <f>DATA!L51</f>
        <v>118097.5</v>
      </c>
      <c r="D51" s="12">
        <f>DATA!M51</f>
        <v>0</v>
      </c>
    </row>
    <row r="52" spans="1:4" x14ac:dyDescent="0.3">
      <c r="A52">
        <v>8</v>
      </c>
      <c r="B52">
        <f>DATA!H52</f>
        <v>133180.14000000001</v>
      </c>
      <c r="C52">
        <f>DATA!L52</f>
        <v>125168.23</v>
      </c>
      <c r="D52" s="12">
        <f>DATA!M52</f>
        <v>1</v>
      </c>
    </row>
    <row r="53" spans="1:4" x14ac:dyDescent="0.3">
      <c r="A53">
        <v>10</v>
      </c>
      <c r="B53">
        <f>DATA!H53</f>
        <v>202302.98</v>
      </c>
      <c r="C53">
        <f>DATA!L53</f>
        <v>24025.919999999998</v>
      </c>
      <c r="D53" s="12">
        <f>DATA!M53</f>
        <v>0</v>
      </c>
    </row>
    <row r="54" spans="1:4" x14ac:dyDescent="0.3">
      <c r="A54">
        <v>0</v>
      </c>
      <c r="B54">
        <f>DATA!H54</f>
        <v>42733.7</v>
      </c>
      <c r="C54">
        <f>DATA!L54</f>
        <v>103834.77</v>
      </c>
      <c r="D54" s="12">
        <f>DATA!M54</f>
        <v>0</v>
      </c>
    </row>
    <row r="55" spans="1:4" x14ac:dyDescent="0.3">
      <c r="A55">
        <v>5</v>
      </c>
      <c r="B55">
        <f>DATA!H55</f>
        <v>216419.15</v>
      </c>
      <c r="C55">
        <f>DATA!L55</f>
        <v>40937.339999999997</v>
      </c>
      <c r="D55" s="12">
        <f>DATA!M55</f>
        <v>1</v>
      </c>
    </row>
    <row r="56" spans="1:4" x14ac:dyDescent="0.3">
      <c r="A56">
        <v>6</v>
      </c>
      <c r="B56">
        <f>DATA!H56</f>
        <v>146361.20000000001</v>
      </c>
      <c r="C56">
        <f>DATA!L56</f>
        <v>56949.24</v>
      </c>
      <c r="D56" s="12">
        <f>DATA!M56</f>
        <v>0</v>
      </c>
    </row>
    <row r="57" spans="1:4" x14ac:dyDescent="0.3">
      <c r="A57">
        <v>0</v>
      </c>
      <c r="B57">
        <f>DATA!H57</f>
        <v>153882.97</v>
      </c>
      <c r="C57">
        <f>DATA!L57</f>
        <v>29656.959999999999</v>
      </c>
      <c r="D57" s="12">
        <f>DATA!M57</f>
        <v>1</v>
      </c>
    </row>
    <row r="58" spans="1:4" x14ac:dyDescent="0.3">
      <c r="A58">
        <v>6</v>
      </c>
      <c r="B58">
        <f>DATA!H58</f>
        <v>147135.54</v>
      </c>
      <c r="C58">
        <f>DATA!L58</f>
        <v>16131.69</v>
      </c>
      <c r="D58" s="12">
        <f>DATA!M58</f>
        <v>1</v>
      </c>
    </row>
    <row r="59" spans="1:4" x14ac:dyDescent="0.3">
      <c r="A59">
        <v>0</v>
      </c>
      <c r="B59">
        <f>DATA!H59</f>
        <v>55329.78</v>
      </c>
      <c r="C59">
        <f>DATA!L59</f>
        <v>130050.9</v>
      </c>
      <c r="D59" s="12">
        <f>DATA!M59</f>
        <v>1</v>
      </c>
    </row>
    <row r="60" spans="1:4" x14ac:dyDescent="0.3">
      <c r="A60">
        <v>6</v>
      </c>
      <c r="B60">
        <f>DATA!H60</f>
        <v>46184.63</v>
      </c>
      <c r="C60">
        <f>DATA!L60</f>
        <v>140603.54</v>
      </c>
      <c r="D60" s="12">
        <f>DATA!M60</f>
        <v>0</v>
      </c>
    </row>
    <row r="61" spans="1:4" x14ac:dyDescent="0.3">
      <c r="A61">
        <v>7</v>
      </c>
      <c r="B61">
        <f>DATA!H61</f>
        <v>119338.08</v>
      </c>
      <c r="C61">
        <f>DATA!L61</f>
        <v>111048.16</v>
      </c>
      <c r="D61" s="12">
        <f>DATA!M61</f>
        <v>1</v>
      </c>
    </row>
    <row r="62" spans="1:4" x14ac:dyDescent="0.3">
      <c r="A62">
        <v>1</v>
      </c>
      <c r="B62">
        <f>DATA!H62</f>
        <v>89085.68</v>
      </c>
      <c r="C62">
        <f>DATA!L62</f>
        <v>33012.78</v>
      </c>
      <c r="D62" s="12">
        <f>DATA!M62</f>
        <v>0</v>
      </c>
    </row>
    <row r="63" spans="1:4" x14ac:dyDescent="0.3">
      <c r="A63">
        <v>1</v>
      </c>
      <c r="B63">
        <f>DATA!H63</f>
        <v>60209.09</v>
      </c>
      <c r="C63">
        <f>DATA!L63</f>
        <v>10127.81</v>
      </c>
      <c r="D63" s="12">
        <f>DATA!M63</f>
        <v>1</v>
      </c>
    </row>
    <row r="64" spans="1:4" x14ac:dyDescent="0.3">
      <c r="A64">
        <v>5</v>
      </c>
      <c r="B64">
        <f>DATA!H64</f>
        <v>145317.32</v>
      </c>
      <c r="C64">
        <f>DATA!L64</f>
        <v>60885.4</v>
      </c>
      <c r="D64" s="12">
        <f>DATA!M64</f>
        <v>1</v>
      </c>
    </row>
    <row r="65" spans="1:4" x14ac:dyDescent="0.3">
      <c r="A65">
        <v>0</v>
      </c>
      <c r="B65">
        <f>DATA!H65</f>
        <v>214046.15</v>
      </c>
      <c r="C65">
        <f>DATA!L65</f>
        <v>86343.96</v>
      </c>
      <c r="D65" s="12">
        <f>DATA!M65</f>
        <v>0</v>
      </c>
    </row>
    <row r="66" spans="1:4" x14ac:dyDescent="0.3">
      <c r="A66">
        <v>6</v>
      </c>
      <c r="B66">
        <f>DATA!H66</f>
        <v>139224.43</v>
      </c>
      <c r="C66">
        <f>DATA!L66</f>
        <v>68374.880000000005</v>
      </c>
      <c r="D66" s="12">
        <f>DATA!M66</f>
        <v>1</v>
      </c>
    </row>
    <row r="67" spans="1:4" x14ac:dyDescent="0.3">
      <c r="A67">
        <v>4</v>
      </c>
      <c r="B67">
        <f>DATA!H67</f>
        <v>226630.81</v>
      </c>
      <c r="C67">
        <f>DATA!L67</f>
        <v>103458.26</v>
      </c>
      <c r="D67" s="12">
        <f>DATA!M67</f>
        <v>0</v>
      </c>
    </row>
    <row r="68" spans="1:4" x14ac:dyDescent="0.3">
      <c r="A68">
        <v>10</v>
      </c>
      <c r="B68">
        <f>DATA!H68</f>
        <v>179198.75</v>
      </c>
      <c r="C68">
        <f>DATA!L68</f>
        <v>48970.879999999997</v>
      </c>
      <c r="D68" s="12">
        <f>DATA!M68</f>
        <v>1</v>
      </c>
    </row>
    <row r="69" spans="1:4" x14ac:dyDescent="0.3">
      <c r="A69">
        <v>4</v>
      </c>
      <c r="B69">
        <f>DATA!H69</f>
        <v>225109.32</v>
      </c>
      <c r="C69">
        <f>DATA!L69</f>
        <v>50593.37</v>
      </c>
      <c r="D69" s="12">
        <f>DATA!M69</f>
        <v>0</v>
      </c>
    </row>
    <row r="70" spans="1:4" x14ac:dyDescent="0.3">
      <c r="A70">
        <v>7</v>
      </c>
      <c r="B70">
        <f>DATA!H70</f>
        <v>146834.15</v>
      </c>
      <c r="C70">
        <f>DATA!L70</f>
        <v>99812.42</v>
      </c>
      <c r="D70" s="12">
        <f>DATA!M70</f>
        <v>1</v>
      </c>
    </row>
    <row r="71" spans="1:4" x14ac:dyDescent="0.3">
      <c r="A71">
        <v>2</v>
      </c>
      <c r="B71">
        <f>DATA!H71</f>
        <v>88669.440000000002</v>
      </c>
      <c r="C71">
        <f>DATA!L71</f>
        <v>128437.74</v>
      </c>
      <c r="D71" s="12">
        <f>DATA!M71</f>
        <v>1</v>
      </c>
    </row>
    <row r="72" spans="1:4" x14ac:dyDescent="0.3">
      <c r="A72">
        <v>1</v>
      </c>
      <c r="B72">
        <f>DATA!H72</f>
        <v>185926.28</v>
      </c>
      <c r="C72">
        <f>DATA!L72</f>
        <v>138274.03</v>
      </c>
      <c r="D72" s="12">
        <f>DATA!M72</f>
        <v>1</v>
      </c>
    </row>
    <row r="73" spans="1:4" x14ac:dyDescent="0.3">
      <c r="A73">
        <v>4</v>
      </c>
      <c r="B73">
        <f>DATA!H73</f>
        <v>112469.92</v>
      </c>
      <c r="C73">
        <f>DATA!L73</f>
        <v>92201.91</v>
      </c>
      <c r="D73" s="12">
        <f>DATA!M73</f>
        <v>0</v>
      </c>
    </row>
    <row r="74" spans="1:4" x14ac:dyDescent="0.3">
      <c r="A74">
        <v>9</v>
      </c>
      <c r="B74">
        <f>DATA!H74</f>
        <v>103045.29</v>
      </c>
      <c r="C74">
        <f>DATA!L74</f>
        <v>36831.440000000002</v>
      </c>
      <c r="D74" s="12">
        <f>DATA!M74</f>
        <v>0</v>
      </c>
    </row>
    <row r="75" spans="1:4" x14ac:dyDescent="0.3">
      <c r="A75">
        <v>8</v>
      </c>
      <c r="B75">
        <f>DATA!H75</f>
        <v>35744.699999999997</v>
      </c>
      <c r="C75">
        <f>DATA!L75</f>
        <v>67445.009999999995</v>
      </c>
      <c r="D75" s="12">
        <f>DATA!M75</f>
        <v>0</v>
      </c>
    </row>
    <row r="76" spans="1:4" x14ac:dyDescent="0.3">
      <c r="A76">
        <v>4</v>
      </c>
      <c r="B76">
        <f>DATA!H76</f>
        <v>88638.62</v>
      </c>
      <c r="C76">
        <f>DATA!L76</f>
        <v>60075.81</v>
      </c>
      <c r="D76" s="12">
        <f>DATA!M76</f>
        <v>0</v>
      </c>
    </row>
    <row r="77" spans="1:4" x14ac:dyDescent="0.3">
      <c r="A77">
        <v>4</v>
      </c>
      <c r="B77">
        <f>DATA!H77</f>
        <v>166950.85999999999</v>
      </c>
      <c r="C77">
        <f>DATA!L77</f>
        <v>18020.810000000001</v>
      </c>
      <c r="D77" s="12">
        <f>DATA!M77</f>
        <v>0</v>
      </c>
    </row>
    <row r="78" spans="1:4" x14ac:dyDescent="0.3">
      <c r="A78">
        <v>7</v>
      </c>
      <c r="B78">
        <f>DATA!H78</f>
        <v>127193.14</v>
      </c>
      <c r="C78">
        <f>DATA!L78</f>
        <v>11971.58</v>
      </c>
      <c r="D78" s="12">
        <f>DATA!M78</f>
        <v>0</v>
      </c>
    </row>
    <row r="79" spans="1:4" x14ac:dyDescent="0.3">
      <c r="A79">
        <v>0</v>
      </c>
      <c r="B79">
        <f>DATA!H79</f>
        <v>129782.98</v>
      </c>
      <c r="C79">
        <f>DATA!L79</f>
        <v>53475.839999999997</v>
      </c>
      <c r="D79" s="12">
        <f>DATA!M79</f>
        <v>0</v>
      </c>
    </row>
    <row r="80" spans="1:4" x14ac:dyDescent="0.3">
      <c r="A80">
        <v>7</v>
      </c>
      <c r="B80">
        <f>DATA!H80</f>
        <v>162041.47</v>
      </c>
      <c r="C80">
        <f>DATA!L80</f>
        <v>109301.93</v>
      </c>
      <c r="D80" s="12">
        <f>DATA!M80</f>
        <v>1</v>
      </c>
    </row>
    <row r="81" spans="1:4" x14ac:dyDescent="0.3">
      <c r="A81">
        <v>10</v>
      </c>
      <c r="B81">
        <f>DATA!H81</f>
        <v>68959.39</v>
      </c>
      <c r="C81">
        <f>DATA!L81</f>
        <v>101131.11</v>
      </c>
      <c r="D81" s="12">
        <f>DATA!M81</f>
        <v>0</v>
      </c>
    </row>
    <row r="82" spans="1:4" x14ac:dyDescent="0.3">
      <c r="A82">
        <v>8</v>
      </c>
      <c r="B82">
        <f>DATA!H82</f>
        <v>55186.57</v>
      </c>
      <c r="C82">
        <f>DATA!L82</f>
        <v>117137.04</v>
      </c>
      <c r="D82" s="12">
        <f>DATA!M82</f>
        <v>0</v>
      </c>
    </row>
    <row r="83" spans="1:4" x14ac:dyDescent="0.3">
      <c r="A83">
        <v>9</v>
      </c>
      <c r="B83">
        <f>DATA!H83</f>
        <v>241939.64</v>
      </c>
      <c r="C83">
        <f>DATA!L83</f>
        <v>132532.96</v>
      </c>
      <c r="D83" s="12">
        <f>DATA!M83</f>
        <v>1</v>
      </c>
    </row>
    <row r="84" spans="1:4" x14ac:dyDescent="0.3">
      <c r="A84">
        <v>9</v>
      </c>
      <c r="B84">
        <f>DATA!H84</f>
        <v>34457.83</v>
      </c>
      <c r="C84">
        <f>DATA!L84</f>
        <v>142833.29999999999</v>
      </c>
      <c r="D84" s="12">
        <f>DATA!M84</f>
        <v>1</v>
      </c>
    </row>
    <row r="85" spans="1:4" x14ac:dyDescent="0.3">
      <c r="A85">
        <v>10</v>
      </c>
      <c r="B85">
        <f>DATA!H85</f>
        <v>20249.55</v>
      </c>
      <c r="C85">
        <f>DATA!L85</f>
        <v>121737.08</v>
      </c>
      <c r="D85" s="12">
        <f>DATA!M85</f>
        <v>0</v>
      </c>
    </row>
    <row r="86" spans="1:4" x14ac:dyDescent="0.3">
      <c r="A86">
        <v>5</v>
      </c>
      <c r="B86">
        <f>DATA!H86</f>
        <v>175912.59</v>
      </c>
      <c r="C86">
        <f>DATA!L86</f>
        <v>15679.54</v>
      </c>
      <c r="D86" s="12">
        <f>DATA!M86</f>
        <v>0</v>
      </c>
    </row>
    <row r="87" spans="1:4" x14ac:dyDescent="0.3">
      <c r="A87">
        <v>2</v>
      </c>
      <c r="B87">
        <f>DATA!H87</f>
        <v>161781.32999999999</v>
      </c>
      <c r="C87">
        <f>DATA!L87</f>
        <v>145603.81</v>
      </c>
      <c r="D87" s="12">
        <f>DATA!M87</f>
        <v>1</v>
      </c>
    </row>
    <row r="88" spans="1:4" x14ac:dyDescent="0.3">
      <c r="A88">
        <v>6</v>
      </c>
      <c r="B88">
        <f>DATA!H88</f>
        <v>92743.31</v>
      </c>
      <c r="C88">
        <f>DATA!L88</f>
        <v>54061.89</v>
      </c>
      <c r="D88" s="12">
        <f>DATA!M88</f>
        <v>0</v>
      </c>
    </row>
    <row r="89" spans="1:4" x14ac:dyDescent="0.3">
      <c r="A89">
        <v>9</v>
      </c>
      <c r="B89">
        <f>DATA!H89</f>
        <v>19196.560000000001</v>
      </c>
      <c r="C89">
        <f>DATA!L89</f>
        <v>133731.54999999999</v>
      </c>
      <c r="D89" s="12">
        <f>DATA!M89</f>
        <v>1</v>
      </c>
    </row>
    <row r="90" spans="1:4" x14ac:dyDescent="0.3">
      <c r="A90">
        <v>5</v>
      </c>
      <c r="B90">
        <f>DATA!H90</f>
        <v>69882.490000000005</v>
      </c>
      <c r="C90">
        <f>DATA!L90</f>
        <v>28817.75</v>
      </c>
      <c r="D90" s="12">
        <f>DATA!M90</f>
        <v>1</v>
      </c>
    </row>
    <row r="91" spans="1:4" x14ac:dyDescent="0.3">
      <c r="A91">
        <v>6</v>
      </c>
      <c r="B91">
        <f>DATA!H91</f>
        <v>15556.14</v>
      </c>
      <c r="C91">
        <f>DATA!L91</f>
        <v>101797.2</v>
      </c>
      <c r="D91" s="12">
        <f>DATA!M91</f>
        <v>0</v>
      </c>
    </row>
    <row r="92" spans="1:4" x14ac:dyDescent="0.3">
      <c r="A92">
        <v>10</v>
      </c>
      <c r="B92">
        <f>DATA!H92</f>
        <v>247280.33</v>
      </c>
      <c r="C92">
        <f>DATA!L92</f>
        <v>54977.06</v>
      </c>
      <c r="D92" s="12">
        <f>DATA!M92</f>
        <v>0</v>
      </c>
    </row>
    <row r="93" spans="1:4" x14ac:dyDescent="0.3">
      <c r="A93">
        <v>5</v>
      </c>
      <c r="B93">
        <f>DATA!H93</f>
        <v>173851.84</v>
      </c>
      <c r="C93">
        <f>DATA!L93</f>
        <v>121172.65</v>
      </c>
      <c r="D93" s="12">
        <f>DATA!M93</f>
        <v>1</v>
      </c>
    </row>
    <row r="94" spans="1:4" x14ac:dyDescent="0.3">
      <c r="A94">
        <v>3</v>
      </c>
      <c r="B94">
        <f>DATA!H94</f>
        <v>107973.28</v>
      </c>
      <c r="C94">
        <f>DATA!L94</f>
        <v>27995.72</v>
      </c>
      <c r="D94" s="12">
        <f>DATA!M94</f>
        <v>0</v>
      </c>
    </row>
    <row r="95" spans="1:4" x14ac:dyDescent="0.3">
      <c r="A95">
        <v>10</v>
      </c>
      <c r="B95">
        <f>DATA!H95</f>
        <v>229932.49</v>
      </c>
      <c r="C95">
        <f>DATA!L95</f>
        <v>81112.42</v>
      </c>
      <c r="D95" s="12">
        <f>DATA!M95</f>
        <v>0</v>
      </c>
    </row>
    <row r="96" spans="1:4" x14ac:dyDescent="0.3">
      <c r="A96">
        <v>3</v>
      </c>
      <c r="B96">
        <f>DATA!H96</f>
        <v>141361.44</v>
      </c>
      <c r="C96">
        <f>DATA!L96</f>
        <v>147488.24</v>
      </c>
      <c r="D96" s="12">
        <f>DATA!M96</f>
        <v>1</v>
      </c>
    </row>
    <row r="97" spans="1:4" x14ac:dyDescent="0.3">
      <c r="A97">
        <v>10</v>
      </c>
      <c r="B97">
        <f>DATA!H97</f>
        <v>177818.74</v>
      </c>
      <c r="C97">
        <f>DATA!L97</f>
        <v>111587.44</v>
      </c>
      <c r="D97" s="12">
        <f>DATA!M97</f>
        <v>1</v>
      </c>
    </row>
    <row r="98" spans="1:4" x14ac:dyDescent="0.3">
      <c r="A98">
        <v>0</v>
      </c>
      <c r="B98">
        <f>DATA!H98</f>
        <v>126692.44</v>
      </c>
      <c r="C98">
        <f>DATA!L98</f>
        <v>27793.35</v>
      </c>
      <c r="D98" s="12">
        <f>DATA!M98</f>
        <v>0</v>
      </c>
    </row>
    <row r="99" spans="1:4" x14ac:dyDescent="0.3">
      <c r="A99">
        <v>3</v>
      </c>
      <c r="B99">
        <f>DATA!H99</f>
        <v>206619.49</v>
      </c>
      <c r="C99">
        <f>DATA!L99</f>
        <v>102150.42</v>
      </c>
      <c r="D99" s="12">
        <f>DATA!M99</f>
        <v>0</v>
      </c>
    </row>
    <row r="100" spans="1:4" x14ac:dyDescent="0.3">
      <c r="A100">
        <v>4</v>
      </c>
      <c r="B100">
        <f>DATA!H100</f>
        <v>245611.62</v>
      </c>
      <c r="C100">
        <f>DATA!L100</f>
        <v>103995.53</v>
      </c>
      <c r="D100" s="12">
        <f>DATA!M100</f>
        <v>1</v>
      </c>
    </row>
    <row r="101" spans="1:4" x14ac:dyDescent="0.3">
      <c r="A101">
        <v>1</v>
      </c>
      <c r="B101">
        <f>DATA!H101</f>
        <v>103031.97</v>
      </c>
      <c r="C101">
        <f>DATA!L101</f>
        <v>125609.39</v>
      </c>
      <c r="D101" s="12">
        <f>DATA!M101</f>
        <v>1</v>
      </c>
    </row>
    <row r="102" spans="1:4" x14ac:dyDescent="0.3">
      <c r="A102">
        <v>0</v>
      </c>
      <c r="B102">
        <f>DATA!H102</f>
        <v>36824.33</v>
      </c>
      <c r="C102">
        <f>DATA!L102</f>
        <v>51542.45</v>
      </c>
      <c r="D102" s="12">
        <f>DATA!M102</f>
        <v>0</v>
      </c>
    </row>
    <row r="103" spans="1:4" x14ac:dyDescent="0.3">
      <c r="A103">
        <v>10</v>
      </c>
      <c r="B103">
        <f>DATA!H103</f>
        <v>100461.13</v>
      </c>
      <c r="C103">
        <f>DATA!L103</f>
        <v>30554.85</v>
      </c>
      <c r="D103" s="12">
        <f>DATA!M103</f>
        <v>0</v>
      </c>
    </row>
    <row r="104" spans="1:4" x14ac:dyDescent="0.3">
      <c r="A104">
        <v>9</v>
      </c>
      <c r="B104">
        <f>DATA!H104</f>
        <v>199427.98</v>
      </c>
      <c r="C104">
        <f>DATA!L104</f>
        <v>128540.03</v>
      </c>
      <c r="D104" s="12">
        <f>DATA!M104</f>
        <v>1</v>
      </c>
    </row>
    <row r="105" spans="1:4" x14ac:dyDescent="0.3">
      <c r="A105">
        <v>9</v>
      </c>
      <c r="B105">
        <f>DATA!H105</f>
        <v>46.68</v>
      </c>
      <c r="C105">
        <f>DATA!L105</f>
        <v>61080.02</v>
      </c>
      <c r="D105" s="12">
        <f>DATA!M105</f>
        <v>1</v>
      </c>
    </row>
    <row r="106" spans="1:4" x14ac:dyDescent="0.3">
      <c r="A106">
        <v>3</v>
      </c>
      <c r="B106">
        <f>DATA!H106</f>
        <v>238648.7</v>
      </c>
      <c r="C106">
        <f>DATA!L106</f>
        <v>71498.5</v>
      </c>
      <c r="D106" s="12">
        <f>DATA!M106</f>
        <v>1</v>
      </c>
    </row>
    <row r="107" spans="1:4" x14ac:dyDescent="0.3">
      <c r="A107">
        <v>9</v>
      </c>
      <c r="B107">
        <f>DATA!H107</f>
        <v>165628.62</v>
      </c>
      <c r="C107">
        <f>DATA!L107</f>
        <v>144375.79999999999</v>
      </c>
      <c r="D107" s="12">
        <f>DATA!M107</f>
        <v>1</v>
      </c>
    </row>
    <row r="108" spans="1:4" x14ac:dyDescent="0.3">
      <c r="A108">
        <v>10</v>
      </c>
      <c r="B108">
        <f>DATA!H108</f>
        <v>77661.960000000006</v>
      </c>
      <c r="C108">
        <f>DATA!L108</f>
        <v>74188.759999999995</v>
      </c>
      <c r="D108" s="12">
        <f>DATA!M108</f>
        <v>0</v>
      </c>
    </row>
    <row r="109" spans="1:4" x14ac:dyDescent="0.3">
      <c r="A109">
        <v>3</v>
      </c>
      <c r="B109">
        <f>DATA!H109</f>
        <v>122455.34</v>
      </c>
      <c r="C109">
        <f>DATA!L109</f>
        <v>21425.94</v>
      </c>
      <c r="D109" s="12">
        <f>DATA!M109</f>
        <v>1</v>
      </c>
    </row>
    <row r="110" spans="1:4" x14ac:dyDescent="0.3">
      <c r="A110">
        <v>4</v>
      </c>
      <c r="B110">
        <f>DATA!H110</f>
        <v>66018.19</v>
      </c>
      <c r="C110">
        <f>DATA!L110</f>
        <v>102543.92</v>
      </c>
      <c r="D110" s="12">
        <f>DATA!M110</f>
        <v>0</v>
      </c>
    </row>
    <row r="111" spans="1:4" x14ac:dyDescent="0.3">
      <c r="A111">
        <v>6</v>
      </c>
      <c r="B111">
        <f>DATA!H111</f>
        <v>108982.82</v>
      </c>
      <c r="C111">
        <f>DATA!L111</f>
        <v>110349.05</v>
      </c>
      <c r="D111" s="12">
        <f>DATA!M111</f>
        <v>1</v>
      </c>
    </row>
    <row r="112" spans="1:4" x14ac:dyDescent="0.3">
      <c r="A112">
        <v>5</v>
      </c>
      <c r="B112">
        <f>DATA!H112</f>
        <v>159554.78</v>
      </c>
      <c r="C112">
        <f>DATA!L112</f>
        <v>75419.12</v>
      </c>
      <c r="D112" s="12">
        <f>DATA!M112</f>
        <v>0</v>
      </c>
    </row>
    <row r="113" spans="1:4" x14ac:dyDescent="0.3">
      <c r="A113">
        <v>7</v>
      </c>
      <c r="B113">
        <f>DATA!H113</f>
        <v>168519.32</v>
      </c>
      <c r="C113">
        <f>DATA!L113</f>
        <v>108422.12</v>
      </c>
      <c r="D113" s="12">
        <f>DATA!M113</f>
        <v>0</v>
      </c>
    </row>
    <row r="114" spans="1:4" x14ac:dyDescent="0.3">
      <c r="A114">
        <v>1</v>
      </c>
      <c r="B114">
        <f>DATA!H114</f>
        <v>80693.34</v>
      </c>
      <c r="C114">
        <f>DATA!L114</f>
        <v>65451.93</v>
      </c>
      <c r="D114" s="12">
        <f>DATA!M114</f>
        <v>0</v>
      </c>
    </row>
    <row r="115" spans="1:4" x14ac:dyDescent="0.3">
      <c r="A115">
        <v>5</v>
      </c>
      <c r="B115">
        <f>DATA!H115</f>
        <v>5741.56</v>
      </c>
      <c r="C115">
        <f>DATA!L115</f>
        <v>136090.56</v>
      </c>
      <c r="D115" s="12">
        <f>DATA!M115</f>
        <v>0</v>
      </c>
    </row>
    <row r="116" spans="1:4" x14ac:dyDescent="0.3">
      <c r="A116">
        <v>7</v>
      </c>
      <c r="B116">
        <f>DATA!H116</f>
        <v>94298.58</v>
      </c>
      <c r="C116">
        <f>DATA!L116</f>
        <v>117883.52</v>
      </c>
      <c r="D116" s="12">
        <f>DATA!M116</f>
        <v>1</v>
      </c>
    </row>
    <row r="117" spans="1:4" x14ac:dyDescent="0.3">
      <c r="A117">
        <v>6</v>
      </c>
      <c r="B117">
        <f>DATA!H117</f>
        <v>93844.5</v>
      </c>
      <c r="C117">
        <f>DATA!L117</f>
        <v>49103.38</v>
      </c>
      <c r="D117" s="12">
        <f>DATA!M117</f>
        <v>1</v>
      </c>
    </row>
    <row r="118" spans="1:4" x14ac:dyDescent="0.3">
      <c r="A118">
        <v>6</v>
      </c>
      <c r="B118">
        <f>DATA!H118</f>
        <v>103006.1</v>
      </c>
      <c r="C118">
        <f>DATA!L118</f>
        <v>76101.240000000005</v>
      </c>
      <c r="D118" s="12">
        <f>DATA!M118</f>
        <v>1</v>
      </c>
    </row>
    <row r="119" spans="1:4" x14ac:dyDescent="0.3">
      <c r="A119">
        <v>6</v>
      </c>
      <c r="B119">
        <f>DATA!H119</f>
        <v>241431.37</v>
      </c>
      <c r="C119">
        <f>DATA!L119</f>
        <v>111107.96</v>
      </c>
      <c r="D119" s="12">
        <f>DATA!M119</f>
        <v>0</v>
      </c>
    </row>
    <row r="120" spans="1:4" x14ac:dyDescent="0.3">
      <c r="A120">
        <v>1</v>
      </c>
      <c r="B120">
        <f>DATA!H120</f>
        <v>242524.24</v>
      </c>
      <c r="C120">
        <f>DATA!L120</f>
        <v>84784.47</v>
      </c>
      <c r="D120" s="12">
        <f>DATA!M120</f>
        <v>0</v>
      </c>
    </row>
    <row r="121" spans="1:4" x14ac:dyDescent="0.3">
      <c r="A121">
        <v>8</v>
      </c>
      <c r="B121">
        <f>DATA!H121</f>
        <v>37178.53</v>
      </c>
      <c r="C121">
        <f>DATA!L121</f>
        <v>82791.570000000007</v>
      </c>
      <c r="D121" s="12">
        <f>DATA!M121</f>
        <v>1</v>
      </c>
    </row>
    <row r="122" spans="1:4" x14ac:dyDescent="0.3">
      <c r="A122">
        <v>4</v>
      </c>
      <c r="B122">
        <f>DATA!H122</f>
        <v>228358.15</v>
      </c>
      <c r="C122">
        <f>DATA!L122</f>
        <v>127955.4</v>
      </c>
      <c r="D122" s="12">
        <f>DATA!M122</f>
        <v>1</v>
      </c>
    </row>
    <row r="123" spans="1:4" x14ac:dyDescent="0.3">
      <c r="A123">
        <v>2</v>
      </c>
      <c r="B123">
        <f>DATA!H123</f>
        <v>244614.91</v>
      </c>
      <c r="C123">
        <f>DATA!L123</f>
        <v>101378.44</v>
      </c>
      <c r="D123" s="12">
        <f>DATA!M123</f>
        <v>0</v>
      </c>
    </row>
    <row r="124" spans="1:4" x14ac:dyDescent="0.3">
      <c r="A124">
        <v>0</v>
      </c>
      <c r="B124">
        <f>DATA!H124</f>
        <v>64161.88</v>
      </c>
      <c r="C124">
        <f>DATA!L124</f>
        <v>141665.95000000001</v>
      </c>
      <c r="D124" s="12">
        <f>DATA!M124</f>
        <v>1</v>
      </c>
    </row>
    <row r="125" spans="1:4" x14ac:dyDescent="0.3">
      <c r="A125">
        <v>2</v>
      </c>
      <c r="B125">
        <f>DATA!H125</f>
        <v>185255.98</v>
      </c>
      <c r="C125">
        <f>DATA!L125</f>
        <v>48022.06</v>
      </c>
      <c r="D125" s="12">
        <f>DATA!M125</f>
        <v>1</v>
      </c>
    </row>
    <row r="126" spans="1:4" x14ac:dyDescent="0.3">
      <c r="A126">
        <v>8</v>
      </c>
      <c r="B126">
        <f>DATA!H126</f>
        <v>43863.71</v>
      </c>
      <c r="C126">
        <f>DATA!L126</f>
        <v>23962.59</v>
      </c>
      <c r="D126" s="12">
        <f>DATA!M126</f>
        <v>0</v>
      </c>
    </row>
    <row r="127" spans="1:4" x14ac:dyDescent="0.3">
      <c r="A127">
        <v>3</v>
      </c>
      <c r="B127">
        <f>DATA!H127</f>
        <v>117991.41</v>
      </c>
      <c r="C127">
        <f>DATA!L127</f>
        <v>36037.629999999997</v>
      </c>
      <c r="D127" s="12">
        <f>DATA!M127</f>
        <v>0</v>
      </c>
    </row>
    <row r="128" spans="1:4" x14ac:dyDescent="0.3">
      <c r="A128">
        <v>7</v>
      </c>
      <c r="B128">
        <f>DATA!H128</f>
        <v>151801.15</v>
      </c>
      <c r="C128">
        <f>DATA!L128</f>
        <v>36575.879999999997</v>
      </c>
      <c r="D128" s="12">
        <f>DATA!M128</f>
        <v>1</v>
      </c>
    </row>
    <row r="129" spans="1:4" x14ac:dyDescent="0.3">
      <c r="A129">
        <v>2</v>
      </c>
      <c r="B129">
        <f>DATA!H129</f>
        <v>44897.120000000003</v>
      </c>
      <c r="C129">
        <f>DATA!L129</f>
        <v>87587.83</v>
      </c>
      <c r="D129" s="12">
        <f>DATA!M129</f>
        <v>0</v>
      </c>
    </row>
    <row r="130" spans="1:4" x14ac:dyDescent="0.3">
      <c r="A130">
        <v>1</v>
      </c>
      <c r="B130">
        <f>DATA!H130</f>
        <v>136796.01999999999</v>
      </c>
      <c r="C130">
        <f>DATA!L130</f>
        <v>81668.89</v>
      </c>
      <c r="D130" s="12">
        <f>DATA!M130</f>
        <v>0</v>
      </c>
    </row>
    <row r="131" spans="1:4" x14ac:dyDescent="0.3">
      <c r="A131">
        <v>4</v>
      </c>
      <c r="B131">
        <f>DATA!H131</f>
        <v>184707.82</v>
      </c>
      <c r="C131">
        <f>DATA!L131</f>
        <v>93162.76</v>
      </c>
      <c r="D131" s="12">
        <f>DATA!M131</f>
        <v>0</v>
      </c>
    </row>
    <row r="132" spans="1:4" x14ac:dyDescent="0.3">
      <c r="A132">
        <v>4</v>
      </c>
      <c r="B132">
        <f>DATA!H132</f>
        <v>166854.44</v>
      </c>
      <c r="C132">
        <f>DATA!L132</f>
        <v>38147.910000000003</v>
      </c>
      <c r="D132" s="12">
        <f>DATA!M132</f>
        <v>1</v>
      </c>
    </row>
    <row r="133" spans="1:4" x14ac:dyDescent="0.3">
      <c r="A133">
        <v>10</v>
      </c>
      <c r="B133">
        <f>DATA!H133</f>
        <v>157686.62</v>
      </c>
      <c r="C133">
        <f>DATA!L133</f>
        <v>43499.67</v>
      </c>
      <c r="D133" s="12">
        <f>DATA!M133</f>
        <v>0</v>
      </c>
    </row>
    <row r="134" spans="1:4" x14ac:dyDescent="0.3">
      <c r="A134">
        <v>4</v>
      </c>
      <c r="B134">
        <f>DATA!H134</f>
        <v>30108.06</v>
      </c>
      <c r="C134">
        <f>DATA!L134</f>
        <v>17973.88</v>
      </c>
      <c r="D134" s="12">
        <f>DATA!M134</f>
        <v>1</v>
      </c>
    </row>
    <row r="135" spans="1:4" x14ac:dyDescent="0.3">
      <c r="A135">
        <v>2</v>
      </c>
      <c r="B135">
        <f>DATA!H135</f>
        <v>239097.38</v>
      </c>
      <c r="C135">
        <f>DATA!L135</f>
        <v>13545.02</v>
      </c>
      <c r="D135" s="12">
        <f>DATA!M135</f>
        <v>1</v>
      </c>
    </row>
    <row r="136" spans="1:4" x14ac:dyDescent="0.3">
      <c r="A136">
        <v>4</v>
      </c>
      <c r="B136">
        <f>DATA!H136</f>
        <v>35229.26</v>
      </c>
      <c r="C136">
        <f>DATA!L136</f>
        <v>59763.13</v>
      </c>
      <c r="D136" s="12">
        <f>DATA!M136</f>
        <v>1</v>
      </c>
    </row>
    <row r="137" spans="1:4" x14ac:dyDescent="0.3">
      <c r="A137">
        <v>8</v>
      </c>
      <c r="B137">
        <f>DATA!H137</f>
        <v>153059.5</v>
      </c>
      <c r="C137">
        <f>DATA!L137</f>
        <v>114484.04</v>
      </c>
      <c r="D137" s="12">
        <f>DATA!M137</f>
        <v>1</v>
      </c>
    </row>
    <row r="138" spans="1:4" x14ac:dyDescent="0.3">
      <c r="A138">
        <v>7</v>
      </c>
      <c r="B138">
        <f>DATA!H138</f>
        <v>32382.85</v>
      </c>
      <c r="C138">
        <f>DATA!L138</f>
        <v>108015.6</v>
      </c>
      <c r="D138" s="12">
        <f>DATA!M138</f>
        <v>0</v>
      </c>
    </row>
    <row r="139" spans="1:4" x14ac:dyDescent="0.3">
      <c r="A139">
        <v>10</v>
      </c>
      <c r="B139">
        <f>DATA!H139</f>
        <v>134925.82999999999</v>
      </c>
      <c r="C139">
        <f>DATA!L139</f>
        <v>103143.51</v>
      </c>
      <c r="D139" s="12">
        <f>DATA!M139</f>
        <v>1</v>
      </c>
    </row>
    <row r="140" spans="1:4" x14ac:dyDescent="0.3">
      <c r="A140">
        <v>9</v>
      </c>
      <c r="B140">
        <f>DATA!H140</f>
        <v>216858.41</v>
      </c>
      <c r="C140">
        <f>DATA!L140</f>
        <v>13005.86</v>
      </c>
      <c r="D140" s="12">
        <f>DATA!M140</f>
        <v>0</v>
      </c>
    </row>
    <row r="141" spans="1:4" x14ac:dyDescent="0.3">
      <c r="A141">
        <v>8</v>
      </c>
      <c r="B141">
        <f>DATA!H141</f>
        <v>157571.35999999999</v>
      </c>
      <c r="C141">
        <f>DATA!L141</f>
        <v>142792.82999999999</v>
      </c>
      <c r="D141" s="12">
        <f>DATA!M141</f>
        <v>1</v>
      </c>
    </row>
    <row r="142" spans="1:4" x14ac:dyDescent="0.3">
      <c r="A142">
        <v>9</v>
      </c>
      <c r="B142">
        <f>DATA!H142</f>
        <v>227146.67</v>
      </c>
      <c r="C142">
        <f>DATA!L142</f>
        <v>57655.65</v>
      </c>
      <c r="D142" s="12">
        <f>DATA!M142</f>
        <v>1</v>
      </c>
    </row>
    <row r="143" spans="1:4" x14ac:dyDescent="0.3">
      <c r="A143">
        <v>5</v>
      </c>
      <c r="B143">
        <f>DATA!H143</f>
        <v>164636.07</v>
      </c>
      <c r="C143">
        <f>DATA!L143</f>
        <v>70775.05</v>
      </c>
      <c r="D143" s="12">
        <f>DATA!M143</f>
        <v>0</v>
      </c>
    </row>
    <row r="144" spans="1:4" x14ac:dyDescent="0.3">
      <c r="A144">
        <v>9</v>
      </c>
      <c r="B144">
        <f>DATA!H144</f>
        <v>113849.92</v>
      </c>
      <c r="C144">
        <f>DATA!L144</f>
        <v>122175.46</v>
      </c>
      <c r="D144" s="12">
        <f>DATA!M144</f>
        <v>1</v>
      </c>
    </row>
    <row r="145" spans="1:4" x14ac:dyDescent="0.3">
      <c r="A145">
        <v>1</v>
      </c>
      <c r="B145">
        <f>DATA!H145</f>
        <v>116715.57</v>
      </c>
      <c r="C145">
        <f>DATA!L145</f>
        <v>22814.14</v>
      </c>
      <c r="D145" s="12">
        <f>DATA!M145</f>
        <v>0</v>
      </c>
    </row>
    <row r="146" spans="1:4" x14ac:dyDescent="0.3">
      <c r="A146">
        <v>8</v>
      </c>
      <c r="B146">
        <f>DATA!H146</f>
        <v>52909.38</v>
      </c>
      <c r="C146">
        <f>DATA!L146</f>
        <v>34759.360000000001</v>
      </c>
      <c r="D146" s="12">
        <f>DATA!M146</f>
        <v>0</v>
      </c>
    </row>
    <row r="147" spans="1:4" x14ac:dyDescent="0.3">
      <c r="A147">
        <v>8</v>
      </c>
      <c r="B147">
        <f>DATA!H147</f>
        <v>238465.26</v>
      </c>
      <c r="C147">
        <f>DATA!L147</f>
        <v>55585.67</v>
      </c>
      <c r="D147" s="12">
        <f>DATA!M147</f>
        <v>0</v>
      </c>
    </row>
    <row r="148" spans="1:4" x14ac:dyDescent="0.3">
      <c r="A148">
        <v>6</v>
      </c>
      <c r="B148">
        <f>DATA!H148</f>
        <v>77731.5</v>
      </c>
      <c r="C148">
        <f>DATA!L148</f>
        <v>128074.02</v>
      </c>
      <c r="D148" s="12">
        <f>DATA!M148</f>
        <v>1</v>
      </c>
    </row>
    <row r="149" spans="1:4" x14ac:dyDescent="0.3">
      <c r="A149">
        <v>0</v>
      </c>
      <c r="B149">
        <f>DATA!H149</f>
        <v>99986.47</v>
      </c>
      <c r="C149">
        <f>DATA!L149</f>
        <v>106009.52</v>
      </c>
      <c r="D149" s="12">
        <f>DATA!M149</f>
        <v>1</v>
      </c>
    </row>
    <row r="150" spans="1:4" x14ac:dyDescent="0.3">
      <c r="A150">
        <v>0</v>
      </c>
      <c r="B150">
        <f>DATA!H150</f>
        <v>7447.39</v>
      </c>
      <c r="C150">
        <f>DATA!L150</f>
        <v>60175.22</v>
      </c>
      <c r="D150" s="12">
        <f>DATA!M150</f>
        <v>1</v>
      </c>
    </row>
    <row r="151" spans="1:4" x14ac:dyDescent="0.3">
      <c r="A151">
        <v>2</v>
      </c>
      <c r="B151">
        <f>DATA!H151</f>
        <v>97001.53</v>
      </c>
      <c r="C151">
        <f>DATA!L151</f>
        <v>140671.21</v>
      </c>
      <c r="D151" s="12">
        <f>DATA!M151</f>
        <v>0</v>
      </c>
    </row>
    <row r="152" spans="1:4" x14ac:dyDescent="0.3">
      <c r="A152">
        <v>3</v>
      </c>
      <c r="B152">
        <f>DATA!H152</f>
        <v>29176.44</v>
      </c>
      <c r="C152">
        <f>DATA!L152</f>
        <v>119718.19</v>
      </c>
      <c r="D152" s="12">
        <f>DATA!M152</f>
        <v>0</v>
      </c>
    </row>
    <row r="153" spans="1:4" x14ac:dyDescent="0.3">
      <c r="A153">
        <v>2</v>
      </c>
      <c r="B153">
        <f>DATA!H153</f>
        <v>47856.39</v>
      </c>
      <c r="C153">
        <f>DATA!L153</f>
        <v>11462.63</v>
      </c>
      <c r="D153" s="12">
        <f>DATA!M153</f>
        <v>1</v>
      </c>
    </row>
    <row r="154" spans="1:4" x14ac:dyDescent="0.3">
      <c r="A154">
        <v>1</v>
      </c>
      <c r="B154">
        <f>DATA!H154</f>
        <v>197384.58</v>
      </c>
      <c r="C154">
        <f>DATA!L154</f>
        <v>73040.67</v>
      </c>
      <c r="D154" s="12">
        <f>DATA!M154</f>
        <v>1</v>
      </c>
    </row>
    <row r="155" spans="1:4" x14ac:dyDescent="0.3">
      <c r="A155">
        <v>9</v>
      </c>
      <c r="B155">
        <f>DATA!H155</f>
        <v>118047.52</v>
      </c>
      <c r="C155">
        <f>DATA!L155</f>
        <v>69509.759999999995</v>
      </c>
      <c r="D155" s="12">
        <f>DATA!M155</f>
        <v>1</v>
      </c>
    </row>
    <row r="156" spans="1:4" x14ac:dyDescent="0.3">
      <c r="A156">
        <v>5</v>
      </c>
      <c r="B156">
        <f>DATA!H156</f>
        <v>209434.77</v>
      </c>
      <c r="C156">
        <f>DATA!L156</f>
        <v>42983.99</v>
      </c>
      <c r="D156" s="12">
        <f>DATA!M156</f>
        <v>0</v>
      </c>
    </row>
    <row r="157" spans="1:4" x14ac:dyDescent="0.3">
      <c r="A157">
        <v>6</v>
      </c>
      <c r="B157">
        <f>DATA!H157</f>
        <v>80712.23</v>
      </c>
      <c r="C157">
        <f>DATA!L157</f>
        <v>49445.48</v>
      </c>
      <c r="D157" s="12">
        <f>DATA!M157</f>
        <v>1</v>
      </c>
    </row>
    <row r="158" spans="1:4" x14ac:dyDescent="0.3">
      <c r="A158">
        <v>1</v>
      </c>
      <c r="B158">
        <f>DATA!H158</f>
        <v>95799.03</v>
      </c>
      <c r="C158">
        <f>DATA!L158</f>
        <v>105598.56</v>
      </c>
      <c r="D158" s="12">
        <f>DATA!M158</f>
        <v>0</v>
      </c>
    </row>
    <row r="159" spans="1:4" x14ac:dyDescent="0.3">
      <c r="A159">
        <v>10</v>
      </c>
      <c r="B159">
        <f>DATA!H159</f>
        <v>208033.65</v>
      </c>
      <c r="C159">
        <f>DATA!L159</f>
        <v>43662.79</v>
      </c>
      <c r="D159" s="12">
        <f>DATA!M159</f>
        <v>1</v>
      </c>
    </row>
    <row r="160" spans="1:4" x14ac:dyDescent="0.3">
      <c r="A160">
        <v>8</v>
      </c>
      <c r="B160">
        <f>DATA!H160</f>
        <v>16907.88</v>
      </c>
      <c r="C160">
        <f>DATA!L160</f>
        <v>113646.28</v>
      </c>
      <c r="D160" s="12">
        <f>DATA!M160</f>
        <v>1</v>
      </c>
    </row>
    <row r="161" spans="1:4" x14ac:dyDescent="0.3">
      <c r="A161">
        <v>7</v>
      </c>
      <c r="B161">
        <f>DATA!H161</f>
        <v>205105.61</v>
      </c>
      <c r="C161">
        <f>DATA!L161</f>
        <v>75716.98</v>
      </c>
      <c r="D161" s="12">
        <f>DATA!M161</f>
        <v>1</v>
      </c>
    </row>
    <row r="162" spans="1:4" x14ac:dyDescent="0.3">
      <c r="A162">
        <v>7</v>
      </c>
      <c r="B162">
        <f>DATA!H162</f>
        <v>51347.49</v>
      </c>
      <c r="C162">
        <f>DATA!L162</f>
        <v>21151.48</v>
      </c>
      <c r="D162" s="12">
        <f>DATA!M162</f>
        <v>0</v>
      </c>
    </row>
    <row r="163" spans="1:4" x14ac:dyDescent="0.3">
      <c r="A163">
        <v>3</v>
      </c>
      <c r="B163">
        <f>DATA!H163</f>
        <v>163732.6</v>
      </c>
      <c r="C163">
        <f>DATA!L163</f>
        <v>66914.649999999994</v>
      </c>
      <c r="D163" s="12">
        <f>DATA!M163</f>
        <v>0</v>
      </c>
    </row>
    <row r="164" spans="1:4" x14ac:dyDescent="0.3">
      <c r="A164">
        <v>4</v>
      </c>
      <c r="B164">
        <f>DATA!H164</f>
        <v>133217.37</v>
      </c>
      <c r="C164">
        <f>DATA!L164</f>
        <v>120812.2</v>
      </c>
      <c r="D164" s="12">
        <f>DATA!M164</f>
        <v>1</v>
      </c>
    </row>
    <row r="165" spans="1:4" x14ac:dyDescent="0.3">
      <c r="A165">
        <v>9</v>
      </c>
      <c r="B165">
        <f>DATA!H165</f>
        <v>197321.37</v>
      </c>
      <c r="C165">
        <f>DATA!L165</f>
        <v>28096.07</v>
      </c>
      <c r="D165" s="12">
        <f>DATA!M165</f>
        <v>1</v>
      </c>
    </row>
    <row r="166" spans="1:4" x14ac:dyDescent="0.3">
      <c r="A166">
        <v>6</v>
      </c>
      <c r="B166">
        <f>DATA!H166</f>
        <v>191624.47</v>
      </c>
      <c r="C166">
        <f>DATA!L166</f>
        <v>80375.98</v>
      </c>
      <c r="D166" s="12">
        <f>DATA!M166</f>
        <v>0</v>
      </c>
    </row>
    <row r="167" spans="1:4" x14ac:dyDescent="0.3">
      <c r="A167">
        <v>9</v>
      </c>
      <c r="B167">
        <f>DATA!H167</f>
        <v>143851</v>
      </c>
      <c r="C167">
        <f>DATA!L167</f>
        <v>36084.61</v>
      </c>
      <c r="D167" s="12">
        <f>DATA!M167</f>
        <v>1</v>
      </c>
    </row>
    <row r="168" spans="1:4" x14ac:dyDescent="0.3">
      <c r="A168">
        <v>6</v>
      </c>
      <c r="B168">
        <f>DATA!H168</f>
        <v>145172.32</v>
      </c>
      <c r="C168">
        <f>DATA!L168</f>
        <v>139690.22</v>
      </c>
      <c r="D168" s="12">
        <f>DATA!M168</f>
        <v>1</v>
      </c>
    </row>
    <row r="169" spans="1:4" x14ac:dyDescent="0.3">
      <c r="A169">
        <v>4</v>
      </c>
      <c r="B169">
        <f>DATA!H169</f>
        <v>183590.26</v>
      </c>
      <c r="C169">
        <f>DATA!L169</f>
        <v>86790.47</v>
      </c>
      <c r="D169" s="12">
        <f>DATA!M169</f>
        <v>0</v>
      </c>
    </row>
    <row r="170" spans="1:4" x14ac:dyDescent="0.3">
      <c r="A170">
        <v>1</v>
      </c>
      <c r="B170">
        <f>DATA!H170</f>
        <v>152640.81</v>
      </c>
      <c r="C170">
        <f>DATA!L170</f>
        <v>33137.160000000003</v>
      </c>
      <c r="D170" s="12">
        <f>DATA!M170</f>
        <v>0</v>
      </c>
    </row>
    <row r="171" spans="1:4" x14ac:dyDescent="0.3">
      <c r="A171">
        <v>2</v>
      </c>
      <c r="B171">
        <f>DATA!H171</f>
        <v>139747.91</v>
      </c>
      <c r="C171">
        <f>DATA!L171</f>
        <v>88266.73</v>
      </c>
      <c r="D171" s="12">
        <f>DATA!M171</f>
        <v>0</v>
      </c>
    </row>
    <row r="172" spans="1:4" x14ac:dyDescent="0.3">
      <c r="A172">
        <v>0</v>
      </c>
      <c r="B172">
        <f>DATA!H172</f>
        <v>124423.84</v>
      </c>
      <c r="C172">
        <f>DATA!L172</f>
        <v>144202.79</v>
      </c>
      <c r="D172" s="12">
        <f>DATA!M172</f>
        <v>1</v>
      </c>
    </row>
    <row r="173" spans="1:4" x14ac:dyDescent="0.3">
      <c r="A173">
        <v>0</v>
      </c>
      <c r="B173">
        <f>DATA!H173</f>
        <v>239377.45</v>
      </c>
      <c r="C173">
        <f>DATA!L173</f>
        <v>126167.25</v>
      </c>
      <c r="D173" s="12">
        <f>DATA!M173</f>
        <v>0</v>
      </c>
    </row>
    <row r="174" spans="1:4" x14ac:dyDescent="0.3">
      <c r="A174">
        <v>10</v>
      </c>
      <c r="B174">
        <f>DATA!H174</f>
        <v>55309.99</v>
      </c>
      <c r="C174">
        <f>DATA!L174</f>
        <v>57614.96</v>
      </c>
      <c r="D174" s="12">
        <f>DATA!M174</f>
        <v>1</v>
      </c>
    </row>
    <row r="175" spans="1:4" x14ac:dyDescent="0.3">
      <c r="A175">
        <v>7</v>
      </c>
      <c r="B175">
        <f>DATA!H175</f>
        <v>109273.56</v>
      </c>
      <c r="C175">
        <f>DATA!L175</f>
        <v>114104.65</v>
      </c>
      <c r="D175" s="12">
        <f>DATA!M175</f>
        <v>1</v>
      </c>
    </row>
    <row r="176" spans="1:4" x14ac:dyDescent="0.3">
      <c r="A176">
        <v>6</v>
      </c>
      <c r="B176">
        <f>DATA!H176</f>
        <v>104696.85</v>
      </c>
      <c r="C176">
        <f>DATA!L176</f>
        <v>106102.67</v>
      </c>
      <c r="D176" s="12">
        <f>DATA!M176</f>
        <v>1</v>
      </c>
    </row>
    <row r="177" spans="1:4" x14ac:dyDescent="0.3">
      <c r="A177">
        <v>2</v>
      </c>
      <c r="B177">
        <f>DATA!H177</f>
        <v>146639.1</v>
      </c>
      <c r="C177">
        <f>DATA!L177</f>
        <v>114757.22</v>
      </c>
      <c r="D177" s="12">
        <f>DATA!M177</f>
        <v>1</v>
      </c>
    </row>
    <row r="178" spans="1:4" x14ac:dyDescent="0.3">
      <c r="A178">
        <v>10</v>
      </c>
      <c r="B178">
        <f>DATA!H178</f>
        <v>170945.73</v>
      </c>
      <c r="C178">
        <f>DATA!L178</f>
        <v>77687.86</v>
      </c>
      <c r="D178" s="12">
        <f>DATA!M178</f>
        <v>0</v>
      </c>
    </row>
    <row r="179" spans="1:4" x14ac:dyDescent="0.3">
      <c r="A179">
        <v>9</v>
      </c>
      <c r="B179">
        <f>DATA!H179</f>
        <v>55692.78</v>
      </c>
      <c r="C179">
        <f>DATA!L179</f>
        <v>138662.49</v>
      </c>
      <c r="D179" s="12">
        <f>DATA!M179</f>
        <v>1</v>
      </c>
    </row>
    <row r="180" spans="1:4" x14ac:dyDescent="0.3">
      <c r="A180">
        <v>10</v>
      </c>
      <c r="B180">
        <f>DATA!H180</f>
        <v>140464.4</v>
      </c>
      <c r="C180">
        <f>DATA!L180</f>
        <v>62160.12</v>
      </c>
      <c r="D180" s="12">
        <f>DATA!M180</f>
        <v>1</v>
      </c>
    </row>
    <row r="181" spans="1:4" x14ac:dyDescent="0.3">
      <c r="A181">
        <v>8</v>
      </c>
      <c r="B181">
        <f>DATA!H181</f>
        <v>230097.2</v>
      </c>
      <c r="C181">
        <f>DATA!L181</f>
        <v>144755.60999999999</v>
      </c>
      <c r="D181" s="12">
        <f>DATA!M181</f>
        <v>0</v>
      </c>
    </row>
    <row r="182" spans="1:4" x14ac:dyDescent="0.3">
      <c r="A182">
        <v>8</v>
      </c>
      <c r="B182">
        <f>DATA!H182</f>
        <v>58586.77</v>
      </c>
      <c r="C182">
        <f>DATA!L182</f>
        <v>27139.72</v>
      </c>
      <c r="D182" s="12">
        <f>DATA!M182</f>
        <v>1</v>
      </c>
    </row>
    <row r="183" spans="1:4" x14ac:dyDescent="0.3">
      <c r="A183">
        <v>2</v>
      </c>
      <c r="B183">
        <f>DATA!H183</f>
        <v>27700.99</v>
      </c>
      <c r="C183">
        <f>DATA!L183</f>
        <v>140547.93</v>
      </c>
      <c r="D183" s="12">
        <f>DATA!M183</f>
        <v>0</v>
      </c>
    </row>
    <row r="184" spans="1:4" x14ac:dyDescent="0.3">
      <c r="A184">
        <v>1</v>
      </c>
      <c r="B184">
        <f>DATA!H184</f>
        <v>69808.100000000006</v>
      </c>
      <c r="C184">
        <f>DATA!L184</f>
        <v>116721.45</v>
      </c>
      <c r="D184" s="12">
        <f>DATA!M184</f>
        <v>0</v>
      </c>
    </row>
    <row r="185" spans="1:4" x14ac:dyDescent="0.3">
      <c r="A185">
        <v>10</v>
      </c>
      <c r="B185">
        <f>DATA!H185</f>
        <v>138185.18</v>
      </c>
      <c r="C185">
        <f>DATA!L185</f>
        <v>143728.42000000001</v>
      </c>
      <c r="D185" s="12">
        <f>DATA!M185</f>
        <v>0</v>
      </c>
    </row>
    <row r="186" spans="1:4" x14ac:dyDescent="0.3">
      <c r="A186">
        <v>2</v>
      </c>
      <c r="B186">
        <f>DATA!H186</f>
        <v>113120.37</v>
      </c>
      <c r="C186">
        <f>DATA!L186</f>
        <v>87508.69</v>
      </c>
      <c r="D186" s="12">
        <f>DATA!M186</f>
        <v>0</v>
      </c>
    </row>
    <row r="187" spans="1:4" x14ac:dyDescent="0.3">
      <c r="A187">
        <v>7</v>
      </c>
      <c r="B187">
        <f>DATA!H187</f>
        <v>110096.43</v>
      </c>
      <c r="C187">
        <f>DATA!L187</f>
        <v>141135.62</v>
      </c>
      <c r="D187" s="12">
        <f>DATA!M187</f>
        <v>1</v>
      </c>
    </row>
    <row r="188" spans="1:4" x14ac:dyDescent="0.3">
      <c r="A188">
        <v>6</v>
      </c>
      <c r="B188">
        <f>DATA!H188</f>
        <v>163549.64000000001</v>
      </c>
      <c r="C188">
        <f>DATA!L188</f>
        <v>33745.43</v>
      </c>
      <c r="D188" s="12">
        <f>DATA!M188</f>
        <v>1</v>
      </c>
    </row>
    <row r="189" spans="1:4" x14ac:dyDescent="0.3">
      <c r="A189">
        <v>6</v>
      </c>
      <c r="B189">
        <f>DATA!H189</f>
        <v>229121.35</v>
      </c>
      <c r="C189">
        <f>DATA!L189</f>
        <v>14185.62</v>
      </c>
      <c r="D189" s="12">
        <f>DATA!M189</f>
        <v>0</v>
      </c>
    </row>
    <row r="190" spans="1:4" x14ac:dyDescent="0.3">
      <c r="A190">
        <v>2</v>
      </c>
      <c r="B190">
        <f>DATA!H190</f>
        <v>46465.66</v>
      </c>
      <c r="C190">
        <f>DATA!L190</f>
        <v>108093.18</v>
      </c>
      <c r="D190" s="12">
        <f>DATA!M190</f>
        <v>1</v>
      </c>
    </row>
    <row r="191" spans="1:4" x14ac:dyDescent="0.3">
      <c r="A191">
        <v>1</v>
      </c>
      <c r="B191">
        <f>DATA!H191</f>
        <v>87143.41</v>
      </c>
      <c r="C191">
        <f>DATA!L191</f>
        <v>130888.76</v>
      </c>
      <c r="D191" s="12">
        <f>DATA!M191</f>
        <v>1</v>
      </c>
    </row>
    <row r="192" spans="1:4" x14ac:dyDescent="0.3">
      <c r="A192">
        <v>5</v>
      </c>
      <c r="B192">
        <f>DATA!H192</f>
        <v>96291.25</v>
      </c>
      <c r="C192">
        <f>DATA!L192</f>
        <v>135564.73000000001</v>
      </c>
      <c r="D192" s="12">
        <f>DATA!M192</f>
        <v>0</v>
      </c>
    </row>
    <row r="193" spans="1:4" x14ac:dyDescent="0.3">
      <c r="A193">
        <v>6</v>
      </c>
      <c r="B193">
        <f>DATA!H193</f>
        <v>38342.589999999997</v>
      </c>
      <c r="C193">
        <f>DATA!L193</f>
        <v>18606.009999999998</v>
      </c>
      <c r="D193" s="12">
        <f>DATA!M193</f>
        <v>0</v>
      </c>
    </row>
    <row r="194" spans="1:4" x14ac:dyDescent="0.3">
      <c r="A194">
        <v>9</v>
      </c>
      <c r="B194">
        <f>DATA!H194</f>
        <v>222626.19</v>
      </c>
      <c r="C194">
        <f>DATA!L194</f>
        <v>59452.54</v>
      </c>
      <c r="D194" s="12">
        <f>DATA!M194</f>
        <v>1</v>
      </c>
    </row>
    <row r="195" spans="1:4" x14ac:dyDescent="0.3">
      <c r="A195">
        <v>9</v>
      </c>
      <c r="B195">
        <f>DATA!H195</f>
        <v>233110.85</v>
      </c>
      <c r="C195">
        <f>DATA!L195</f>
        <v>72202.649999999994</v>
      </c>
      <c r="D195" s="12">
        <f>DATA!M195</f>
        <v>1</v>
      </c>
    </row>
    <row r="196" spans="1:4" x14ac:dyDescent="0.3">
      <c r="A196">
        <v>3</v>
      </c>
      <c r="B196">
        <f>DATA!H196</f>
        <v>249802</v>
      </c>
      <c r="C196">
        <f>DATA!L196</f>
        <v>139671.38</v>
      </c>
      <c r="D196" s="12">
        <f>DATA!M196</f>
        <v>1</v>
      </c>
    </row>
    <row r="197" spans="1:4" x14ac:dyDescent="0.3">
      <c r="A197">
        <v>9</v>
      </c>
      <c r="B197">
        <f>DATA!H197</f>
        <v>59302.02</v>
      </c>
      <c r="C197">
        <f>DATA!L197</f>
        <v>51011.37</v>
      </c>
      <c r="D197" s="12">
        <f>DATA!M197</f>
        <v>0</v>
      </c>
    </row>
    <row r="198" spans="1:4" x14ac:dyDescent="0.3">
      <c r="A198">
        <v>4</v>
      </c>
      <c r="B198">
        <f>DATA!H198</f>
        <v>17937.98</v>
      </c>
      <c r="C198">
        <f>DATA!L198</f>
        <v>106372.6</v>
      </c>
      <c r="D198" s="12">
        <f>DATA!M198</f>
        <v>0</v>
      </c>
    </row>
    <row r="199" spans="1:4" x14ac:dyDescent="0.3">
      <c r="A199">
        <v>2</v>
      </c>
      <c r="B199">
        <f>DATA!H199</f>
        <v>37093.39</v>
      </c>
      <c r="C199">
        <f>DATA!L199</f>
        <v>40784.480000000003</v>
      </c>
      <c r="D199" s="12">
        <f>DATA!M199</f>
        <v>1</v>
      </c>
    </row>
    <row r="200" spans="1:4" x14ac:dyDescent="0.3">
      <c r="A200">
        <v>1</v>
      </c>
      <c r="B200">
        <f>DATA!H200</f>
        <v>205216.41</v>
      </c>
      <c r="C200">
        <f>DATA!L200</f>
        <v>95781.75</v>
      </c>
      <c r="D200" s="12">
        <f>DATA!M200</f>
        <v>1</v>
      </c>
    </row>
    <row r="201" spans="1:4" x14ac:dyDescent="0.3">
      <c r="A201">
        <v>6</v>
      </c>
      <c r="B201">
        <f>DATA!H201</f>
        <v>232419.55</v>
      </c>
      <c r="C201">
        <f>DATA!L201</f>
        <v>25837.27</v>
      </c>
      <c r="D201" s="12">
        <f>DATA!M201</f>
        <v>1</v>
      </c>
    </row>
    <row r="202" spans="1:4" x14ac:dyDescent="0.3">
      <c r="A202">
        <v>0</v>
      </c>
      <c r="B202">
        <f>DATA!H202</f>
        <v>88974.52</v>
      </c>
      <c r="C202">
        <f>DATA!L202</f>
        <v>115636.53</v>
      </c>
      <c r="D202" s="12">
        <f>DATA!M202</f>
        <v>0</v>
      </c>
    </row>
    <row r="203" spans="1:4" x14ac:dyDescent="0.3">
      <c r="A203">
        <v>2</v>
      </c>
      <c r="B203">
        <f>DATA!H203</f>
        <v>240624.04</v>
      </c>
      <c r="C203">
        <f>DATA!L203</f>
        <v>16236.92</v>
      </c>
      <c r="D203" s="12">
        <f>DATA!M203</f>
        <v>1</v>
      </c>
    </row>
    <row r="204" spans="1:4" x14ac:dyDescent="0.3">
      <c r="A204">
        <v>6</v>
      </c>
      <c r="B204">
        <f>DATA!H204</f>
        <v>199237.9</v>
      </c>
      <c r="C204">
        <f>DATA!L204</f>
        <v>149768.04999999999</v>
      </c>
      <c r="D204" s="12">
        <f>DATA!M204</f>
        <v>1</v>
      </c>
    </row>
    <row r="205" spans="1:4" x14ac:dyDescent="0.3">
      <c r="A205">
        <v>3</v>
      </c>
      <c r="B205">
        <f>DATA!H205</f>
        <v>88373.18</v>
      </c>
      <c r="C205">
        <f>DATA!L205</f>
        <v>122196.71</v>
      </c>
      <c r="D205" s="12">
        <f>DATA!M205</f>
        <v>0</v>
      </c>
    </row>
    <row r="206" spans="1:4" x14ac:dyDescent="0.3">
      <c r="A206">
        <v>7</v>
      </c>
      <c r="B206">
        <f>DATA!H206</f>
        <v>212738.23</v>
      </c>
      <c r="C206">
        <f>DATA!L206</f>
        <v>95777.53</v>
      </c>
      <c r="D206" s="12">
        <f>DATA!M206</f>
        <v>1</v>
      </c>
    </row>
    <row r="207" spans="1:4" x14ac:dyDescent="0.3">
      <c r="A207">
        <v>5</v>
      </c>
      <c r="B207">
        <f>DATA!H207</f>
        <v>160251.42000000001</v>
      </c>
      <c r="C207">
        <f>DATA!L207</f>
        <v>117590.06</v>
      </c>
      <c r="D207" s="12">
        <f>DATA!M207</f>
        <v>1</v>
      </c>
    </row>
    <row r="208" spans="1:4" x14ac:dyDescent="0.3">
      <c r="A208">
        <v>10</v>
      </c>
      <c r="B208">
        <f>DATA!H208</f>
        <v>111620.9</v>
      </c>
      <c r="C208">
        <f>DATA!L208</f>
        <v>10423.709999999999</v>
      </c>
      <c r="D208" s="12">
        <f>DATA!M208</f>
        <v>1</v>
      </c>
    </row>
    <row r="209" spans="1:4" x14ac:dyDescent="0.3">
      <c r="A209">
        <v>10</v>
      </c>
      <c r="B209">
        <f>DATA!H209</f>
        <v>112981.4</v>
      </c>
      <c r="C209">
        <f>DATA!L209</f>
        <v>69975.320000000007</v>
      </c>
      <c r="D209" s="12">
        <f>DATA!M209</f>
        <v>0</v>
      </c>
    </row>
    <row r="210" spans="1:4" x14ac:dyDescent="0.3">
      <c r="A210">
        <v>2</v>
      </c>
      <c r="B210">
        <f>DATA!H210</f>
        <v>240529.94</v>
      </c>
      <c r="C210">
        <f>DATA!L210</f>
        <v>93107.1</v>
      </c>
      <c r="D210" s="12">
        <f>DATA!M210</f>
        <v>0</v>
      </c>
    </row>
    <row r="211" spans="1:4" x14ac:dyDescent="0.3">
      <c r="A211">
        <v>6</v>
      </c>
      <c r="B211">
        <f>DATA!H211</f>
        <v>73255.710000000006</v>
      </c>
      <c r="C211">
        <f>DATA!L211</f>
        <v>146668.19</v>
      </c>
      <c r="D211" s="12">
        <f>DATA!M211</f>
        <v>0</v>
      </c>
    </row>
    <row r="212" spans="1:4" x14ac:dyDescent="0.3">
      <c r="A212">
        <v>6</v>
      </c>
      <c r="B212">
        <f>DATA!H212</f>
        <v>167423.71</v>
      </c>
      <c r="C212">
        <f>DATA!L212</f>
        <v>61220.89</v>
      </c>
      <c r="D212" s="12">
        <f>DATA!M212</f>
        <v>1</v>
      </c>
    </row>
    <row r="213" spans="1:4" x14ac:dyDescent="0.3">
      <c r="A213">
        <v>10</v>
      </c>
      <c r="B213">
        <f>DATA!H213</f>
        <v>201052.55</v>
      </c>
      <c r="C213">
        <f>DATA!L213</f>
        <v>145868.74</v>
      </c>
      <c r="D213" s="12">
        <f>DATA!M213</f>
        <v>0</v>
      </c>
    </row>
    <row r="214" spans="1:4" x14ac:dyDescent="0.3">
      <c r="A214">
        <v>1</v>
      </c>
      <c r="B214">
        <f>DATA!H214</f>
        <v>96345.86</v>
      </c>
      <c r="C214">
        <f>DATA!L214</f>
        <v>82176.899999999994</v>
      </c>
      <c r="D214" s="12">
        <f>DATA!M214</f>
        <v>0</v>
      </c>
    </row>
    <row r="215" spans="1:4" x14ac:dyDescent="0.3">
      <c r="A215">
        <v>9</v>
      </c>
      <c r="B215">
        <f>DATA!H215</f>
        <v>116072.5</v>
      </c>
      <c r="C215">
        <f>DATA!L215</f>
        <v>19713.43</v>
      </c>
      <c r="D215" s="12">
        <f>DATA!M215</f>
        <v>0</v>
      </c>
    </row>
    <row r="216" spans="1:4" x14ac:dyDescent="0.3">
      <c r="A216">
        <v>10</v>
      </c>
      <c r="B216">
        <f>DATA!H216</f>
        <v>160567.84</v>
      </c>
      <c r="C216">
        <f>DATA!L216</f>
        <v>96310.13</v>
      </c>
      <c r="D216" s="12">
        <f>DATA!M216</f>
        <v>1</v>
      </c>
    </row>
    <row r="217" spans="1:4" x14ac:dyDescent="0.3">
      <c r="A217">
        <v>0</v>
      </c>
      <c r="B217">
        <f>DATA!H217</f>
        <v>146945.31</v>
      </c>
      <c r="C217">
        <f>DATA!L217</f>
        <v>125091.68</v>
      </c>
      <c r="D217" s="12">
        <f>DATA!M217</f>
        <v>0</v>
      </c>
    </row>
    <row r="218" spans="1:4" x14ac:dyDescent="0.3">
      <c r="A218">
        <v>1</v>
      </c>
      <c r="B218">
        <f>DATA!H218</f>
        <v>183306.47</v>
      </c>
      <c r="C218">
        <f>DATA!L218</f>
        <v>134198.82999999999</v>
      </c>
      <c r="D218" s="12">
        <f>DATA!M218</f>
        <v>1</v>
      </c>
    </row>
    <row r="219" spans="1:4" x14ac:dyDescent="0.3">
      <c r="A219">
        <v>3</v>
      </c>
      <c r="B219">
        <f>DATA!H219</f>
        <v>213911.63</v>
      </c>
      <c r="C219">
        <f>DATA!L219</f>
        <v>84036.97</v>
      </c>
      <c r="D219" s="12">
        <f>DATA!M219</f>
        <v>1</v>
      </c>
    </row>
    <row r="220" spans="1:4" x14ac:dyDescent="0.3">
      <c r="A220">
        <v>3</v>
      </c>
      <c r="B220">
        <f>DATA!H220</f>
        <v>135435.82999999999</v>
      </c>
      <c r="C220">
        <f>DATA!L220</f>
        <v>72274.3</v>
      </c>
      <c r="D220" s="12">
        <f>DATA!M220</f>
        <v>0</v>
      </c>
    </row>
    <row r="221" spans="1:4" x14ac:dyDescent="0.3">
      <c r="A221">
        <v>1</v>
      </c>
      <c r="B221">
        <f>DATA!H221</f>
        <v>239854.9</v>
      </c>
      <c r="C221">
        <f>DATA!L221</f>
        <v>99332.87</v>
      </c>
      <c r="D221" s="12">
        <f>DATA!M221</f>
        <v>0</v>
      </c>
    </row>
    <row r="222" spans="1:4" x14ac:dyDescent="0.3">
      <c r="A222">
        <v>3</v>
      </c>
      <c r="B222">
        <f>DATA!H222</f>
        <v>70283.899999999994</v>
      </c>
      <c r="C222">
        <f>DATA!L222</f>
        <v>18737.27</v>
      </c>
      <c r="D222" s="12">
        <f>DATA!M222</f>
        <v>0</v>
      </c>
    </row>
    <row r="223" spans="1:4" x14ac:dyDescent="0.3">
      <c r="A223">
        <v>4</v>
      </c>
      <c r="B223">
        <f>DATA!H223</f>
        <v>16689.2</v>
      </c>
      <c r="C223">
        <f>DATA!L223</f>
        <v>141842.12</v>
      </c>
      <c r="D223" s="12">
        <f>DATA!M223</f>
        <v>1</v>
      </c>
    </row>
    <row r="224" spans="1:4" x14ac:dyDescent="0.3">
      <c r="A224">
        <v>3</v>
      </c>
      <c r="B224">
        <f>DATA!H224</f>
        <v>96088.43</v>
      </c>
      <c r="C224">
        <f>DATA!L224</f>
        <v>43587.17</v>
      </c>
      <c r="D224" s="12">
        <f>DATA!M224</f>
        <v>0</v>
      </c>
    </row>
    <row r="225" spans="1:4" x14ac:dyDescent="0.3">
      <c r="A225">
        <v>9</v>
      </c>
      <c r="B225">
        <f>DATA!H225</f>
        <v>241023.24</v>
      </c>
      <c r="C225">
        <f>DATA!L225</f>
        <v>97832.3</v>
      </c>
      <c r="D225" s="12">
        <f>DATA!M225</f>
        <v>0</v>
      </c>
    </row>
    <row r="226" spans="1:4" x14ac:dyDescent="0.3">
      <c r="A226">
        <v>9</v>
      </c>
      <c r="B226">
        <f>DATA!H226</f>
        <v>190983.34</v>
      </c>
      <c r="C226">
        <f>DATA!L226</f>
        <v>94496.24</v>
      </c>
      <c r="D226" s="12">
        <f>DATA!M226</f>
        <v>0</v>
      </c>
    </row>
    <row r="227" spans="1:4" x14ac:dyDescent="0.3">
      <c r="A227">
        <v>5</v>
      </c>
      <c r="B227">
        <f>DATA!H227</f>
        <v>49223</v>
      </c>
      <c r="C227">
        <f>DATA!L227</f>
        <v>111037.23</v>
      </c>
      <c r="D227" s="12">
        <f>DATA!M227</f>
        <v>0</v>
      </c>
    </row>
    <row r="228" spans="1:4" x14ac:dyDescent="0.3">
      <c r="A228">
        <v>6</v>
      </c>
      <c r="B228">
        <f>DATA!H228</f>
        <v>244926.41</v>
      </c>
      <c r="C228">
        <f>DATA!L228</f>
        <v>129494.46</v>
      </c>
      <c r="D228" s="12">
        <f>DATA!M228</f>
        <v>1</v>
      </c>
    </row>
    <row r="229" spans="1:4" x14ac:dyDescent="0.3">
      <c r="A229">
        <v>8</v>
      </c>
      <c r="B229">
        <f>DATA!H229</f>
        <v>175604.34</v>
      </c>
      <c r="C229">
        <f>DATA!L229</f>
        <v>45375.97</v>
      </c>
      <c r="D229" s="12">
        <f>DATA!M229</f>
        <v>1</v>
      </c>
    </row>
    <row r="230" spans="1:4" x14ac:dyDescent="0.3">
      <c r="A230">
        <v>10</v>
      </c>
      <c r="B230">
        <f>DATA!H230</f>
        <v>199808.98</v>
      </c>
      <c r="C230">
        <f>DATA!L230</f>
        <v>38969.33</v>
      </c>
      <c r="D230" s="12">
        <f>DATA!M230</f>
        <v>1</v>
      </c>
    </row>
    <row r="231" spans="1:4" x14ac:dyDescent="0.3">
      <c r="A231">
        <v>9</v>
      </c>
      <c r="B231">
        <f>DATA!H231</f>
        <v>13467.28</v>
      </c>
      <c r="C231">
        <f>DATA!L231</f>
        <v>114472.4</v>
      </c>
      <c r="D231" s="12">
        <f>DATA!M231</f>
        <v>1</v>
      </c>
    </row>
    <row r="232" spans="1:4" x14ac:dyDescent="0.3">
      <c r="A232">
        <v>5</v>
      </c>
      <c r="B232">
        <f>DATA!H232</f>
        <v>180664.35</v>
      </c>
      <c r="C232">
        <f>DATA!L232</f>
        <v>36108.42</v>
      </c>
      <c r="D232" s="12">
        <f>DATA!M232</f>
        <v>0</v>
      </c>
    </row>
    <row r="233" spans="1:4" x14ac:dyDescent="0.3">
      <c r="A233">
        <v>5</v>
      </c>
      <c r="B233">
        <f>DATA!H233</f>
        <v>120906.58</v>
      </c>
      <c r="C233">
        <f>DATA!L233</f>
        <v>143845.99</v>
      </c>
      <c r="D233" s="12">
        <f>DATA!M233</f>
        <v>1</v>
      </c>
    </row>
    <row r="234" spans="1:4" x14ac:dyDescent="0.3">
      <c r="A234">
        <v>8</v>
      </c>
      <c r="B234">
        <f>DATA!H234</f>
        <v>198731.58</v>
      </c>
      <c r="C234">
        <f>DATA!L234</f>
        <v>37615.839999999997</v>
      </c>
      <c r="D234" s="12">
        <f>DATA!M234</f>
        <v>1</v>
      </c>
    </row>
    <row r="235" spans="1:4" x14ac:dyDescent="0.3">
      <c r="A235">
        <v>4</v>
      </c>
      <c r="B235">
        <f>DATA!H235</f>
        <v>179014.43</v>
      </c>
      <c r="C235">
        <f>DATA!L235</f>
        <v>83705.740000000005</v>
      </c>
      <c r="D235" s="12">
        <f>DATA!M235</f>
        <v>1</v>
      </c>
    </row>
    <row r="236" spans="1:4" x14ac:dyDescent="0.3">
      <c r="A236">
        <v>5</v>
      </c>
      <c r="B236">
        <f>DATA!H236</f>
        <v>44104.69</v>
      </c>
      <c r="C236">
        <f>DATA!L236</f>
        <v>101878.09</v>
      </c>
      <c r="D236" s="12">
        <f>DATA!M236</f>
        <v>1</v>
      </c>
    </row>
    <row r="237" spans="1:4" x14ac:dyDescent="0.3">
      <c r="A237">
        <v>0</v>
      </c>
      <c r="B237">
        <f>DATA!H237</f>
        <v>229680.01</v>
      </c>
      <c r="C237">
        <f>DATA!L237</f>
        <v>33894.089999999997</v>
      </c>
      <c r="D237" s="12">
        <f>DATA!M237</f>
        <v>0</v>
      </c>
    </row>
    <row r="238" spans="1:4" x14ac:dyDescent="0.3">
      <c r="A238">
        <v>3</v>
      </c>
      <c r="B238">
        <f>DATA!H238</f>
        <v>144426.62</v>
      </c>
      <c r="C238">
        <f>DATA!L238</f>
        <v>64031.99</v>
      </c>
      <c r="D238" s="12">
        <f>DATA!M238</f>
        <v>0</v>
      </c>
    </row>
    <row r="239" spans="1:4" x14ac:dyDescent="0.3">
      <c r="A239">
        <v>1</v>
      </c>
      <c r="B239">
        <f>DATA!H239</f>
        <v>96431.53</v>
      </c>
      <c r="C239">
        <f>DATA!L239</f>
        <v>119070.68</v>
      </c>
      <c r="D239" s="12">
        <f>DATA!M239</f>
        <v>0</v>
      </c>
    </row>
    <row r="240" spans="1:4" x14ac:dyDescent="0.3">
      <c r="A240">
        <v>6</v>
      </c>
      <c r="B240">
        <f>DATA!H240</f>
        <v>56926.6</v>
      </c>
      <c r="C240">
        <f>DATA!L240</f>
        <v>52021.75</v>
      </c>
      <c r="D240" s="12">
        <f>DATA!M240</f>
        <v>1</v>
      </c>
    </row>
    <row r="241" spans="1:4" x14ac:dyDescent="0.3">
      <c r="A241">
        <v>8</v>
      </c>
      <c r="B241">
        <f>DATA!H241</f>
        <v>195884.79999999999</v>
      </c>
      <c r="C241">
        <f>DATA!L241</f>
        <v>58187.74</v>
      </c>
      <c r="D241" s="12">
        <f>DATA!M241</f>
        <v>1</v>
      </c>
    </row>
    <row r="242" spans="1:4" x14ac:dyDescent="0.3">
      <c r="A242">
        <v>6</v>
      </c>
      <c r="B242">
        <f>DATA!H242</f>
        <v>242675.6</v>
      </c>
      <c r="C242">
        <f>DATA!L242</f>
        <v>38576.97</v>
      </c>
      <c r="D242" s="12">
        <f>DATA!M242</f>
        <v>1</v>
      </c>
    </row>
    <row r="243" spans="1:4" x14ac:dyDescent="0.3">
      <c r="A243">
        <v>3</v>
      </c>
      <c r="B243">
        <f>DATA!H243</f>
        <v>183880.09</v>
      </c>
      <c r="C243">
        <f>DATA!L243</f>
        <v>116196.88</v>
      </c>
      <c r="D243" s="12">
        <f>DATA!M243</f>
        <v>0</v>
      </c>
    </row>
    <row r="244" spans="1:4" x14ac:dyDescent="0.3">
      <c r="A244">
        <v>4</v>
      </c>
      <c r="B244">
        <f>DATA!H244</f>
        <v>152465.9</v>
      </c>
      <c r="C244">
        <f>DATA!L244</f>
        <v>43527.09</v>
      </c>
      <c r="D244" s="12">
        <f>DATA!M244</f>
        <v>0</v>
      </c>
    </row>
    <row r="245" spans="1:4" x14ac:dyDescent="0.3">
      <c r="A245">
        <v>5</v>
      </c>
      <c r="B245">
        <f>DATA!H245</f>
        <v>237584.05</v>
      </c>
      <c r="C245">
        <f>DATA!L245</f>
        <v>47917.63</v>
      </c>
      <c r="D245" s="12">
        <f>DATA!M245</f>
        <v>1</v>
      </c>
    </row>
    <row r="246" spans="1:4" x14ac:dyDescent="0.3">
      <c r="A246">
        <v>8</v>
      </c>
      <c r="B246">
        <f>DATA!H246</f>
        <v>177892.9</v>
      </c>
      <c r="C246">
        <f>DATA!L246</f>
        <v>78723.149999999994</v>
      </c>
      <c r="D246" s="12">
        <f>DATA!M246</f>
        <v>1</v>
      </c>
    </row>
    <row r="247" spans="1:4" x14ac:dyDescent="0.3">
      <c r="A247">
        <v>2</v>
      </c>
      <c r="B247">
        <f>DATA!H247</f>
        <v>114118.16</v>
      </c>
      <c r="C247">
        <f>DATA!L247</f>
        <v>36850.699999999997</v>
      </c>
      <c r="D247" s="12">
        <f>DATA!M247</f>
        <v>0</v>
      </c>
    </row>
    <row r="248" spans="1:4" x14ac:dyDescent="0.3">
      <c r="A248">
        <v>9</v>
      </c>
      <c r="B248">
        <f>DATA!H248</f>
        <v>80413.460000000006</v>
      </c>
      <c r="C248">
        <f>DATA!L248</f>
        <v>42147.48</v>
      </c>
      <c r="D248" s="12">
        <f>DATA!M248</f>
        <v>0</v>
      </c>
    </row>
    <row r="249" spans="1:4" x14ac:dyDescent="0.3">
      <c r="A249">
        <v>3</v>
      </c>
      <c r="B249">
        <f>DATA!H249</f>
        <v>47176.34</v>
      </c>
      <c r="C249">
        <f>DATA!L249</f>
        <v>139671.97</v>
      </c>
      <c r="D249" s="12">
        <f>DATA!M249</f>
        <v>0</v>
      </c>
    </row>
    <row r="250" spans="1:4" x14ac:dyDescent="0.3">
      <c r="A250">
        <v>2</v>
      </c>
      <c r="B250">
        <f>DATA!H250</f>
        <v>218420.19</v>
      </c>
      <c r="C250">
        <f>DATA!L250</f>
        <v>122291.38</v>
      </c>
      <c r="D250" s="12">
        <f>DATA!M250</f>
        <v>0</v>
      </c>
    </row>
    <row r="251" spans="1:4" x14ac:dyDescent="0.3">
      <c r="A251">
        <v>9</v>
      </c>
      <c r="B251">
        <f>DATA!H251</f>
        <v>180722.3</v>
      </c>
      <c r="C251">
        <f>DATA!L251</f>
        <v>47605.64</v>
      </c>
      <c r="D251" s="12">
        <f>DATA!M251</f>
        <v>0</v>
      </c>
    </row>
    <row r="252" spans="1:4" x14ac:dyDescent="0.3">
      <c r="A252">
        <v>1</v>
      </c>
      <c r="B252">
        <f>DATA!H252</f>
        <v>244519.73</v>
      </c>
      <c r="C252">
        <f>DATA!L252</f>
        <v>107875.29</v>
      </c>
      <c r="D252" s="12">
        <f>DATA!M252</f>
        <v>0</v>
      </c>
    </row>
    <row r="253" spans="1:4" x14ac:dyDescent="0.3">
      <c r="A253">
        <v>1</v>
      </c>
      <c r="B253">
        <f>DATA!H253</f>
        <v>18800.849999999999</v>
      </c>
      <c r="C253">
        <f>DATA!L253</f>
        <v>60995.519999999997</v>
      </c>
      <c r="D253" s="12">
        <f>DATA!M253</f>
        <v>1</v>
      </c>
    </row>
    <row r="254" spans="1:4" x14ac:dyDescent="0.3">
      <c r="A254">
        <v>10</v>
      </c>
      <c r="B254">
        <f>DATA!H254</f>
        <v>78681.009999999995</v>
      </c>
      <c r="C254">
        <f>DATA!L254</f>
        <v>69503.59</v>
      </c>
      <c r="D254" s="12">
        <f>DATA!M254</f>
        <v>0</v>
      </c>
    </row>
    <row r="255" spans="1:4" x14ac:dyDescent="0.3">
      <c r="A255">
        <v>8</v>
      </c>
      <c r="B255">
        <f>DATA!H255</f>
        <v>101615.64</v>
      </c>
      <c r="C255">
        <f>DATA!L255</f>
        <v>108820.32</v>
      </c>
      <c r="D255" s="12">
        <f>DATA!M255</f>
        <v>1</v>
      </c>
    </row>
    <row r="256" spans="1:4" x14ac:dyDescent="0.3">
      <c r="A256">
        <v>10</v>
      </c>
      <c r="B256">
        <f>DATA!H256</f>
        <v>240635.59</v>
      </c>
      <c r="C256">
        <f>DATA!L256</f>
        <v>122764.08</v>
      </c>
      <c r="D256" s="12">
        <f>DATA!M256</f>
        <v>0</v>
      </c>
    </row>
    <row r="257" spans="1:4" x14ac:dyDescent="0.3">
      <c r="A257">
        <v>6</v>
      </c>
      <c r="B257">
        <f>DATA!H257</f>
        <v>147696.65</v>
      </c>
      <c r="C257">
        <f>DATA!L257</f>
        <v>46897.41</v>
      </c>
      <c r="D257" s="12">
        <f>DATA!M257</f>
        <v>1</v>
      </c>
    </row>
    <row r="258" spans="1:4" x14ac:dyDescent="0.3">
      <c r="A258">
        <v>10</v>
      </c>
      <c r="B258">
        <f>DATA!H258</f>
        <v>170020.95</v>
      </c>
      <c r="C258">
        <f>DATA!L258</f>
        <v>34325.360000000001</v>
      </c>
      <c r="D258" s="12">
        <f>DATA!M258</f>
        <v>1</v>
      </c>
    </row>
    <row r="259" spans="1:4" x14ac:dyDescent="0.3">
      <c r="A259">
        <v>3</v>
      </c>
      <c r="B259">
        <f>DATA!H259</f>
        <v>67715.59</v>
      </c>
      <c r="C259">
        <f>DATA!L259</f>
        <v>71585.87</v>
      </c>
      <c r="D259" s="12">
        <f>DATA!M259</f>
        <v>1</v>
      </c>
    </row>
    <row r="260" spans="1:4" x14ac:dyDescent="0.3">
      <c r="A260">
        <v>2</v>
      </c>
      <c r="B260">
        <f>DATA!H260</f>
        <v>64372.08</v>
      </c>
      <c r="C260">
        <f>DATA!L260</f>
        <v>45223.9</v>
      </c>
      <c r="D260" s="12">
        <f>DATA!M260</f>
        <v>1</v>
      </c>
    </row>
    <row r="261" spans="1:4" x14ac:dyDescent="0.3">
      <c r="A261">
        <v>2</v>
      </c>
      <c r="B261">
        <f>DATA!H261</f>
        <v>85692.93</v>
      </c>
      <c r="C261">
        <f>DATA!L261</f>
        <v>122538.35</v>
      </c>
      <c r="D261" s="12">
        <f>DATA!M261</f>
        <v>0</v>
      </c>
    </row>
    <row r="262" spans="1:4" x14ac:dyDescent="0.3">
      <c r="A262">
        <v>4</v>
      </c>
      <c r="B262">
        <f>DATA!H262</f>
        <v>20999.24</v>
      </c>
      <c r="C262">
        <f>DATA!L262</f>
        <v>33647.800000000003</v>
      </c>
      <c r="D262" s="12">
        <f>DATA!M262</f>
        <v>1</v>
      </c>
    </row>
    <row r="263" spans="1:4" x14ac:dyDescent="0.3">
      <c r="A263">
        <v>10</v>
      </c>
      <c r="B263">
        <f>DATA!H263</f>
        <v>234878.9</v>
      </c>
      <c r="C263">
        <f>DATA!L263</f>
        <v>55748.58</v>
      </c>
      <c r="D263" s="12">
        <f>DATA!M263</f>
        <v>1</v>
      </c>
    </row>
    <row r="264" spans="1:4" x14ac:dyDescent="0.3">
      <c r="A264">
        <v>7</v>
      </c>
      <c r="B264">
        <f>DATA!H264</f>
        <v>101290.26</v>
      </c>
      <c r="C264">
        <f>DATA!L264</f>
        <v>37047.949999999997</v>
      </c>
      <c r="D264" s="12">
        <f>DATA!M264</f>
        <v>0</v>
      </c>
    </row>
    <row r="265" spans="1:4" x14ac:dyDescent="0.3">
      <c r="A265">
        <v>2</v>
      </c>
      <c r="B265">
        <f>DATA!H265</f>
        <v>50125.4</v>
      </c>
      <c r="C265">
        <f>DATA!L265</f>
        <v>14640.19</v>
      </c>
      <c r="D265" s="12">
        <f>DATA!M265</f>
        <v>1</v>
      </c>
    </row>
    <row r="266" spans="1:4" x14ac:dyDescent="0.3">
      <c r="A266">
        <v>4</v>
      </c>
      <c r="B266">
        <f>DATA!H266</f>
        <v>85953.51</v>
      </c>
      <c r="C266">
        <f>DATA!L266</f>
        <v>91754.31</v>
      </c>
      <c r="D266" s="12">
        <f>DATA!M266</f>
        <v>0</v>
      </c>
    </row>
    <row r="267" spans="1:4" x14ac:dyDescent="0.3">
      <c r="A267">
        <v>4</v>
      </c>
      <c r="B267">
        <f>DATA!H267</f>
        <v>48947.26</v>
      </c>
      <c r="C267">
        <f>DATA!L267</f>
        <v>119204.73</v>
      </c>
      <c r="D267" s="12">
        <f>DATA!M267</f>
        <v>1</v>
      </c>
    </row>
    <row r="268" spans="1:4" x14ac:dyDescent="0.3">
      <c r="A268">
        <v>9</v>
      </c>
      <c r="B268">
        <f>DATA!H268</f>
        <v>63959.82</v>
      </c>
      <c r="C268">
        <f>DATA!L268</f>
        <v>124481.95</v>
      </c>
      <c r="D268" s="12">
        <f>DATA!M268</f>
        <v>0</v>
      </c>
    </row>
    <row r="269" spans="1:4" x14ac:dyDescent="0.3">
      <c r="A269">
        <v>1</v>
      </c>
      <c r="B269">
        <f>DATA!H269</f>
        <v>189398.99</v>
      </c>
      <c r="C269">
        <f>DATA!L269</f>
        <v>106385.78</v>
      </c>
      <c r="D269" s="12">
        <f>DATA!M269</f>
        <v>1</v>
      </c>
    </row>
    <row r="270" spans="1:4" x14ac:dyDescent="0.3">
      <c r="A270">
        <v>5</v>
      </c>
      <c r="B270">
        <f>DATA!H270</f>
        <v>59505.51</v>
      </c>
      <c r="C270">
        <f>DATA!L270</f>
        <v>116792.39</v>
      </c>
      <c r="D270" s="12">
        <f>DATA!M270</f>
        <v>1</v>
      </c>
    </row>
    <row r="271" spans="1:4" x14ac:dyDescent="0.3">
      <c r="A271">
        <v>3</v>
      </c>
      <c r="B271">
        <f>DATA!H271</f>
        <v>174710.86</v>
      </c>
      <c r="C271">
        <f>DATA!L271</f>
        <v>72099.13</v>
      </c>
      <c r="D271" s="12">
        <f>DATA!M271</f>
        <v>1</v>
      </c>
    </row>
    <row r="272" spans="1:4" x14ac:dyDescent="0.3">
      <c r="A272">
        <v>7</v>
      </c>
      <c r="B272">
        <f>DATA!H272</f>
        <v>148341.38</v>
      </c>
      <c r="C272">
        <f>DATA!L272</f>
        <v>26002.71</v>
      </c>
      <c r="D272" s="12">
        <f>DATA!M272</f>
        <v>1</v>
      </c>
    </row>
    <row r="273" spans="1:4" x14ac:dyDescent="0.3">
      <c r="A273">
        <v>4</v>
      </c>
      <c r="B273">
        <f>DATA!H273</f>
        <v>36270.720000000001</v>
      </c>
      <c r="C273">
        <f>DATA!L273</f>
        <v>48088.94</v>
      </c>
      <c r="D273" s="12">
        <f>DATA!M273</f>
        <v>1</v>
      </c>
    </row>
    <row r="274" spans="1:4" x14ac:dyDescent="0.3">
      <c r="A274">
        <v>10</v>
      </c>
      <c r="B274">
        <f>DATA!H274</f>
        <v>190927.15</v>
      </c>
      <c r="C274">
        <f>DATA!L274</f>
        <v>88503.02</v>
      </c>
      <c r="D274" s="12">
        <f>DATA!M274</f>
        <v>1</v>
      </c>
    </row>
    <row r="275" spans="1:4" x14ac:dyDescent="0.3">
      <c r="A275">
        <v>2</v>
      </c>
      <c r="B275">
        <f>DATA!H275</f>
        <v>213218.12</v>
      </c>
      <c r="C275">
        <f>DATA!L275</f>
        <v>140183.29</v>
      </c>
      <c r="D275" s="12">
        <f>DATA!M275</f>
        <v>0</v>
      </c>
    </row>
    <row r="276" spans="1:4" x14ac:dyDescent="0.3">
      <c r="A276">
        <v>0</v>
      </c>
      <c r="B276">
        <f>DATA!H276</f>
        <v>238996.86</v>
      </c>
      <c r="C276">
        <f>DATA!L276</f>
        <v>105194.71</v>
      </c>
      <c r="D276" s="12">
        <f>DATA!M276</f>
        <v>0</v>
      </c>
    </row>
    <row r="277" spans="1:4" x14ac:dyDescent="0.3">
      <c r="A277">
        <v>9</v>
      </c>
      <c r="B277">
        <f>DATA!H277</f>
        <v>239749.84</v>
      </c>
      <c r="C277">
        <f>DATA!L277</f>
        <v>35871.660000000003</v>
      </c>
      <c r="D277" s="12">
        <f>DATA!M277</f>
        <v>0</v>
      </c>
    </row>
    <row r="278" spans="1:4" x14ac:dyDescent="0.3">
      <c r="A278">
        <v>2</v>
      </c>
      <c r="B278">
        <f>DATA!H278</f>
        <v>176592.7</v>
      </c>
      <c r="C278">
        <f>DATA!L278</f>
        <v>75036.289999999994</v>
      </c>
      <c r="D278" s="12">
        <f>DATA!M278</f>
        <v>1</v>
      </c>
    </row>
    <row r="279" spans="1:4" x14ac:dyDescent="0.3">
      <c r="A279">
        <v>2</v>
      </c>
      <c r="B279">
        <f>DATA!H279</f>
        <v>72836.13</v>
      </c>
      <c r="C279">
        <f>DATA!L279</f>
        <v>127236.12</v>
      </c>
      <c r="D279" s="12">
        <f>DATA!M279</f>
        <v>1</v>
      </c>
    </row>
    <row r="280" spans="1:4" x14ac:dyDescent="0.3">
      <c r="A280">
        <v>9</v>
      </c>
      <c r="B280">
        <f>DATA!H280</f>
        <v>9477.92</v>
      </c>
      <c r="C280">
        <f>DATA!L280</f>
        <v>23547.86</v>
      </c>
      <c r="D280" s="12">
        <f>DATA!M280</f>
        <v>1</v>
      </c>
    </row>
    <row r="281" spans="1:4" x14ac:dyDescent="0.3">
      <c r="A281">
        <v>6</v>
      </c>
      <c r="B281">
        <f>DATA!H281</f>
        <v>97557.6</v>
      </c>
      <c r="C281">
        <f>DATA!L281</f>
        <v>21082.35</v>
      </c>
      <c r="D281" s="12">
        <f>DATA!M281</f>
        <v>1</v>
      </c>
    </row>
    <row r="282" spans="1:4" x14ac:dyDescent="0.3">
      <c r="A282">
        <v>8</v>
      </c>
      <c r="B282">
        <f>DATA!H282</f>
        <v>183281.65</v>
      </c>
      <c r="C282">
        <f>DATA!L282</f>
        <v>141248.29</v>
      </c>
      <c r="D282" s="12">
        <f>DATA!M282</f>
        <v>1</v>
      </c>
    </row>
    <row r="283" spans="1:4" x14ac:dyDescent="0.3">
      <c r="A283">
        <v>9</v>
      </c>
      <c r="B283">
        <f>DATA!H283</f>
        <v>235159.65</v>
      </c>
      <c r="C283">
        <f>DATA!L283</f>
        <v>132280.03</v>
      </c>
      <c r="D283" s="12">
        <f>DATA!M283</f>
        <v>1</v>
      </c>
    </row>
    <row r="284" spans="1:4" x14ac:dyDescent="0.3">
      <c r="A284">
        <v>1</v>
      </c>
      <c r="B284">
        <f>DATA!H284</f>
        <v>28385.09</v>
      </c>
      <c r="C284">
        <f>DATA!L284</f>
        <v>70010.28</v>
      </c>
      <c r="D284" s="12">
        <f>DATA!M284</f>
        <v>0</v>
      </c>
    </row>
    <row r="285" spans="1:4" x14ac:dyDescent="0.3">
      <c r="A285">
        <v>1</v>
      </c>
      <c r="B285">
        <f>DATA!H285</f>
        <v>135560.49</v>
      </c>
      <c r="C285">
        <f>DATA!L285</f>
        <v>111365.93</v>
      </c>
      <c r="D285" s="12">
        <f>DATA!M285</f>
        <v>1</v>
      </c>
    </row>
    <row r="286" spans="1:4" x14ac:dyDescent="0.3">
      <c r="A286">
        <v>1</v>
      </c>
      <c r="B286">
        <f>DATA!H286</f>
        <v>118693.43</v>
      </c>
      <c r="C286">
        <f>DATA!L286</f>
        <v>119809.36</v>
      </c>
      <c r="D286" s="12">
        <f>DATA!M286</f>
        <v>1</v>
      </c>
    </row>
    <row r="287" spans="1:4" x14ac:dyDescent="0.3">
      <c r="A287">
        <v>0</v>
      </c>
      <c r="B287">
        <f>DATA!H287</f>
        <v>11432.08</v>
      </c>
      <c r="C287">
        <f>DATA!L287</f>
        <v>56250.21</v>
      </c>
      <c r="D287" s="12">
        <f>DATA!M287</f>
        <v>1</v>
      </c>
    </row>
    <row r="288" spans="1:4" x14ac:dyDescent="0.3">
      <c r="A288">
        <v>1</v>
      </c>
      <c r="B288">
        <f>DATA!H288</f>
        <v>162669.35999999999</v>
      </c>
      <c r="C288">
        <f>DATA!L288</f>
        <v>71072.84</v>
      </c>
      <c r="D288" s="12">
        <f>DATA!M288</f>
        <v>0</v>
      </c>
    </row>
    <row r="289" spans="1:4" x14ac:dyDescent="0.3">
      <c r="A289">
        <v>7</v>
      </c>
      <c r="B289">
        <f>DATA!H289</f>
        <v>218144.92</v>
      </c>
      <c r="C289">
        <f>DATA!L289</f>
        <v>130492.75</v>
      </c>
      <c r="D289" s="12">
        <f>DATA!M289</f>
        <v>1</v>
      </c>
    </row>
    <row r="290" spans="1:4" x14ac:dyDescent="0.3">
      <c r="A290">
        <v>0</v>
      </c>
      <c r="B290">
        <f>DATA!H290</f>
        <v>115463.15</v>
      </c>
      <c r="C290">
        <f>DATA!L290</f>
        <v>11871.68</v>
      </c>
      <c r="D290" s="12">
        <f>DATA!M290</f>
        <v>0</v>
      </c>
    </row>
    <row r="291" spans="1:4" x14ac:dyDescent="0.3">
      <c r="A291">
        <v>6</v>
      </c>
      <c r="B291">
        <f>DATA!H291</f>
        <v>130816.43</v>
      </c>
      <c r="C291">
        <f>DATA!L291</f>
        <v>57363.12</v>
      </c>
      <c r="D291" s="12">
        <f>DATA!M291</f>
        <v>0</v>
      </c>
    </row>
    <row r="292" spans="1:4" x14ac:dyDescent="0.3">
      <c r="A292">
        <v>5</v>
      </c>
      <c r="B292">
        <f>DATA!H292</f>
        <v>44447.47</v>
      </c>
      <c r="C292">
        <f>DATA!L292</f>
        <v>145899.54</v>
      </c>
      <c r="D292" s="12">
        <f>DATA!M292</f>
        <v>0</v>
      </c>
    </row>
    <row r="293" spans="1:4" x14ac:dyDescent="0.3">
      <c r="A293">
        <v>9</v>
      </c>
      <c r="B293">
        <f>DATA!H293</f>
        <v>30279.62</v>
      </c>
      <c r="C293">
        <f>DATA!L293</f>
        <v>74150.789999999994</v>
      </c>
      <c r="D293" s="12">
        <f>DATA!M293</f>
        <v>1</v>
      </c>
    </row>
    <row r="294" spans="1:4" x14ac:dyDescent="0.3">
      <c r="A294">
        <v>8</v>
      </c>
      <c r="B294">
        <f>DATA!H294</f>
        <v>153461.96</v>
      </c>
      <c r="C294">
        <f>DATA!L294</f>
        <v>66758.63</v>
      </c>
      <c r="D294" s="12">
        <f>DATA!M294</f>
        <v>0</v>
      </c>
    </row>
    <row r="295" spans="1:4" x14ac:dyDescent="0.3">
      <c r="A295">
        <v>5</v>
      </c>
      <c r="B295">
        <f>DATA!H295</f>
        <v>179102.53</v>
      </c>
      <c r="C295">
        <f>DATA!L295</f>
        <v>14556.33</v>
      </c>
      <c r="D295" s="12">
        <f>DATA!M295</f>
        <v>1</v>
      </c>
    </row>
    <row r="296" spans="1:4" x14ac:dyDescent="0.3">
      <c r="A296">
        <v>6</v>
      </c>
      <c r="B296">
        <f>DATA!H296</f>
        <v>71875.839999999997</v>
      </c>
      <c r="C296">
        <f>DATA!L296</f>
        <v>112038.87</v>
      </c>
      <c r="D296" s="12">
        <f>DATA!M296</f>
        <v>0</v>
      </c>
    </row>
    <row r="297" spans="1:4" x14ac:dyDescent="0.3">
      <c r="A297">
        <v>8</v>
      </c>
      <c r="B297">
        <f>DATA!H297</f>
        <v>124862.63</v>
      </c>
      <c r="C297">
        <f>DATA!L297</f>
        <v>141751.96</v>
      </c>
      <c r="D297" s="12">
        <f>DATA!M297</f>
        <v>0</v>
      </c>
    </row>
    <row r="298" spans="1:4" x14ac:dyDescent="0.3">
      <c r="A298">
        <v>1</v>
      </c>
      <c r="B298">
        <f>DATA!H298</f>
        <v>239514.85</v>
      </c>
      <c r="C298">
        <f>DATA!L298</f>
        <v>107683.81</v>
      </c>
      <c r="D298" s="12">
        <f>DATA!M298</f>
        <v>1</v>
      </c>
    </row>
    <row r="299" spans="1:4" x14ac:dyDescent="0.3">
      <c r="A299">
        <v>4</v>
      </c>
      <c r="B299">
        <f>DATA!H299</f>
        <v>8330.89</v>
      </c>
      <c r="C299">
        <f>DATA!L299</f>
        <v>102035.16</v>
      </c>
      <c r="D299" s="12">
        <f>DATA!M299</f>
        <v>1</v>
      </c>
    </row>
    <row r="300" spans="1:4" x14ac:dyDescent="0.3">
      <c r="A300">
        <v>5</v>
      </c>
      <c r="B300">
        <f>DATA!H300</f>
        <v>58953.35</v>
      </c>
      <c r="C300">
        <f>DATA!L300</f>
        <v>140486.14000000001</v>
      </c>
      <c r="D300" s="12">
        <f>DATA!M300</f>
        <v>1</v>
      </c>
    </row>
    <row r="301" spans="1:4" x14ac:dyDescent="0.3">
      <c r="A301">
        <v>9</v>
      </c>
      <c r="B301">
        <f>DATA!H301</f>
        <v>25763.31</v>
      </c>
      <c r="C301">
        <f>DATA!L301</f>
        <v>31564.75</v>
      </c>
      <c r="D301" s="12">
        <f>DATA!M301</f>
        <v>0</v>
      </c>
    </row>
    <row r="302" spans="1:4" x14ac:dyDescent="0.3">
      <c r="A302">
        <v>0</v>
      </c>
      <c r="B302">
        <f>DATA!H302</f>
        <v>205498.11</v>
      </c>
      <c r="C302">
        <f>DATA!L302</f>
        <v>24566</v>
      </c>
      <c r="D302" s="12">
        <f>DATA!M302</f>
        <v>1</v>
      </c>
    </row>
    <row r="303" spans="1:4" x14ac:dyDescent="0.3">
      <c r="A303">
        <v>5</v>
      </c>
      <c r="B303">
        <f>DATA!H303</f>
        <v>248060.86</v>
      </c>
      <c r="C303">
        <f>DATA!L303</f>
        <v>105985.33</v>
      </c>
      <c r="D303" s="12">
        <f>DATA!M303</f>
        <v>1</v>
      </c>
    </row>
    <row r="304" spans="1:4" x14ac:dyDescent="0.3">
      <c r="A304">
        <v>6</v>
      </c>
      <c r="B304">
        <f>DATA!H304</f>
        <v>39932.25</v>
      </c>
      <c r="C304">
        <f>DATA!L304</f>
        <v>20310.53</v>
      </c>
      <c r="D304" s="12">
        <f>DATA!M304</f>
        <v>0</v>
      </c>
    </row>
    <row r="305" spans="1:4" x14ac:dyDescent="0.3">
      <c r="A305">
        <v>9</v>
      </c>
      <c r="B305">
        <f>DATA!H305</f>
        <v>187975.23</v>
      </c>
      <c r="C305">
        <f>DATA!L305</f>
        <v>137236.54</v>
      </c>
      <c r="D305" s="12">
        <f>DATA!M305</f>
        <v>1</v>
      </c>
    </row>
    <row r="306" spans="1:4" x14ac:dyDescent="0.3">
      <c r="A306">
        <v>1</v>
      </c>
      <c r="B306">
        <f>DATA!H306</f>
        <v>71844.740000000005</v>
      </c>
      <c r="C306">
        <f>DATA!L306</f>
        <v>105880.01</v>
      </c>
      <c r="D306" s="12">
        <f>DATA!M306</f>
        <v>0</v>
      </c>
    </row>
    <row r="307" spans="1:4" x14ac:dyDescent="0.3">
      <c r="A307">
        <v>1</v>
      </c>
      <c r="B307">
        <f>DATA!H307</f>
        <v>82186.16</v>
      </c>
      <c r="C307">
        <f>DATA!L307</f>
        <v>118581.88</v>
      </c>
      <c r="D307" s="12">
        <f>DATA!M307</f>
        <v>0</v>
      </c>
    </row>
    <row r="308" spans="1:4" x14ac:dyDescent="0.3">
      <c r="A308">
        <v>3</v>
      </c>
      <c r="B308">
        <f>DATA!H308</f>
        <v>232462.02</v>
      </c>
      <c r="C308">
        <f>DATA!L308</f>
        <v>135716.10999999999</v>
      </c>
      <c r="D308" s="12">
        <f>DATA!M308</f>
        <v>1</v>
      </c>
    </row>
    <row r="309" spans="1:4" x14ac:dyDescent="0.3">
      <c r="A309">
        <v>1</v>
      </c>
      <c r="B309">
        <f>DATA!H309</f>
        <v>178130.78</v>
      </c>
      <c r="C309">
        <f>DATA!L309</f>
        <v>21570.41</v>
      </c>
      <c r="D309" s="12">
        <f>DATA!M309</f>
        <v>0</v>
      </c>
    </row>
    <row r="310" spans="1:4" x14ac:dyDescent="0.3">
      <c r="A310">
        <v>10</v>
      </c>
      <c r="B310">
        <f>DATA!H310</f>
        <v>203018.63</v>
      </c>
      <c r="C310">
        <f>DATA!L310</f>
        <v>57175.83</v>
      </c>
      <c r="D310" s="12">
        <f>DATA!M310</f>
        <v>1</v>
      </c>
    </row>
    <row r="311" spans="1:4" x14ac:dyDescent="0.3">
      <c r="A311">
        <v>6</v>
      </c>
      <c r="B311">
        <f>DATA!H311</f>
        <v>113690.36</v>
      </c>
      <c r="C311">
        <f>DATA!L311</f>
        <v>87583.039999999994</v>
      </c>
      <c r="D311" s="12">
        <f>DATA!M311</f>
        <v>1</v>
      </c>
    </row>
    <row r="312" spans="1:4" x14ac:dyDescent="0.3">
      <c r="A312">
        <v>10</v>
      </c>
      <c r="B312">
        <f>DATA!H312</f>
        <v>81815.67</v>
      </c>
      <c r="C312">
        <f>DATA!L312</f>
        <v>129536.99</v>
      </c>
      <c r="D312" s="12">
        <f>DATA!M312</f>
        <v>0</v>
      </c>
    </row>
    <row r="313" spans="1:4" x14ac:dyDescent="0.3">
      <c r="A313">
        <v>0</v>
      </c>
      <c r="B313">
        <f>DATA!H313</f>
        <v>34576.69</v>
      </c>
      <c r="C313">
        <f>DATA!L313</f>
        <v>87838.32</v>
      </c>
      <c r="D313" s="12">
        <f>DATA!M313</f>
        <v>1</v>
      </c>
    </row>
    <row r="314" spans="1:4" x14ac:dyDescent="0.3">
      <c r="A314">
        <v>7</v>
      </c>
      <c r="B314">
        <f>DATA!H314</f>
        <v>156344.54</v>
      </c>
      <c r="C314">
        <f>DATA!L314</f>
        <v>90381.04</v>
      </c>
      <c r="D314" s="12">
        <f>DATA!M314</f>
        <v>1</v>
      </c>
    </row>
    <row r="315" spans="1:4" x14ac:dyDescent="0.3">
      <c r="A315">
        <v>6</v>
      </c>
      <c r="B315">
        <f>DATA!H315</f>
        <v>169958.77</v>
      </c>
      <c r="C315">
        <f>DATA!L315</f>
        <v>90227.36</v>
      </c>
      <c r="D315" s="12">
        <f>DATA!M315</f>
        <v>1</v>
      </c>
    </row>
    <row r="316" spans="1:4" x14ac:dyDescent="0.3">
      <c r="A316">
        <v>4</v>
      </c>
      <c r="B316">
        <f>DATA!H316</f>
        <v>232599.36</v>
      </c>
      <c r="C316">
        <f>DATA!L316</f>
        <v>103203.97</v>
      </c>
      <c r="D316" s="12">
        <f>DATA!M316</f>
        <v>0</v>
      </c>
    </row>
    <row r="317" spans="1:4" x14ac:dyDescent="0.3">
      <c r="A317">
        <v>9</v>
      </c>
      <c r="B317">
        <f>DATA!H317</f>
        <v>31288.48</v>
      </c>
      <c r="C317">
        <f>DATA!L317</f>
        <v>111373.48</v>
      </c>
      <c r="D317" s="12">
        <f>DATA!M317</f>
        <v>0</v>
      </c>
    </row>
    <row r="318" spans="1:4" x14ac:dyDescent="0.3">
      <c r="A318">
        <v>2</v>
      </c>
      <c r="B318">
        <f>DATA!H318</f>
        <v>184265.11</v>
      </c>
      <c r="C318">
        <f>DATA!L318</f>
        <v>106046.27</v>
      </c>
      <c r="D318" s="12">
        <f>DATA!M318</f>
        <v>1</v>
      </c>
    </row>
    <row r="319" spans="1:4" x14ac:dyDescent="0.3">
      <c r="A319">
        <v>3</v>
      </c>
      <c r="B319">
        <f>DATA!H319</f>
        <v>136635</v>
      </c>
      <c r="C319">
        <f>DATA!L319</f>
        <v>29342.26</v>
      </c>
      <c r="D319" s="12">
        <f>DATA!M319</f>
        <v>1</v>
      </c>
    </row>
    <row r="320" spans="1:4" x14ac:dyDescent="0.3">
      <c r="A320">
        <v>10</v>
      </c>
      <c r="B320">
        <f>DATA!H320</f>
        <v>114332.53</v>
      </c>
      <c r="C320">
        <f>DATA!L320</f>
        <v>148688.76999999999</v>
      </c>
      <c r="D320" s="12">
        <f>DATA!M320</f>
        <v>1</v>
      </c>
    </row>
    <row r="321" spans="1:4" x14ac:dyDescent="0.3">
      <c r="A321">
        <v>6</v>
      </c>
      <c r="B321">
        <f>DATA!H321</f>
        <v>188229.59</v>
      </c>
      <c r="C321">
        <f>DATA!L321</f>
        <v>129283.37</v>
      </c>
      <c r="D321" s="12">
        <f>DATA!M321</f>
        <v>1</v>
      </c>
    </row>
    <row r="322" spans="1:4" x14ac:dyDescent="0.3">
      <c r="A322">
        <v>6</v>
      </c>
      <c r="B322">
        <f>DATA!H322</f>
        <v>151818.88</v>
      </c>
      <c r="C322">
        <f>DATA!L322</f>
        <v>76167.42</v>
      </c>
      <c r="D322" s="12">
        <f>DATA!M322</f>
        <v>0</v>
      </c>
    </row>
    <row r="323" spans="1:4" x14ac:dyDescent="0.3">
      <c r="A323">
        <v>2</v>
      </c>
      <c r="B323">
        <f>DATA!H323</f>
        <v>25688.61</v>
      </c>
      <c r="C323">
        <f>DATA!L323</f>
        <v>100083.34</v>
      </c>
      <c r="D323" s="12">
        <f>DATA!M323</f>
        <v>1</v>
      </c>
    </row>
    <row r="324" spans="1:4" x14ac:dyDescent="0.3">
      <c r="A324">
        <v>1</v>
      </c>
      <c r="B324">
        <f>DATA!H324</f>
        <v>104789.1</v>
      </c>
      <c r="C324">
        <f>DATA!L324</f>
        <v>47420.92</v>
      </c>
      <c r="D324" s="12">
        <f>DATA!M324</f>
        <v>1</v>
      </c>
    </row>
    <row r="325" spans="1:4" x14ac:dyDescent="0.3">
      <c r="A325">
        <v>10</v>
      </c>
      <c r="B325">
        <f>DATA!H325</f>
        <v>248917.55</v>
      </c>
      <c r="C325">
        <f>DATA!L325</f>
        <v>126187.32</v>
      </c>
      <c r="D325" s="12">
        <f>DATA!M325</f>
        <v>0</v>
      </c>
    </row>
    <row r="326" spans="1:4" x14ac:dyDescent="0.3">
      <c r="A326">
        <v>7</v>
      </c>
      <c r="B326">
        <f>DATA!H326</f>
        <v>191888.81</v>
      </c>
      <c r="C326">
        <f>DATA!L326</f>
        <v>94143.76</v>
      </c>
      <c r="D326" s="12">
        <f>DATA!M326</f>
        <v>1</v>
      </c>
    </row>
    <row r="327" spans="1:4" x14ac:dyDescent="0.3">
      <c r="A327">
        <v>8</v>
      </c>
      <c r="B327">
        <f>DATA!H327</f>
        <v>190645.09</v>
      </c>
      <c r="C327">
        <f>DATA!L327</f>
        <v>46765.52</v>
      </c>
      <c r="D327" s="12">
        <f>DATA!M327</f>
        <v>1</v>
      </c>
    </row>
    <row r="328" spans="1:4" x14ac:dyDescent="0.3">
      <c r="A328">
        <v>8</v>
      </c>
      <c r="B328">
        <f>DATA!H328</f>
        <v>230551.53</v>
      </c>
      <c r="C328">
        <f>DATA!L328</f>
        <v>127716.72</v>
      </c>
      <c r="D328" s="12">
        <f>DATA!M328</f>
        <v>1</v>
      </c>
    </row>
    <row r="329" spans="1:4" x14ac:dyDescent="0.3">
      <c r="A329">
        <v>4</v>
      </c>
      <c r="B329">
        <f>DATA!H329</f>
        <v>182346.37</v>
      </c>
      <c r="C329">
        <f>DATA!L329</f>
        <v>23783.4</v>
      </c>
      <c r="D329" s="12">
        <f>DATA!M329</f>
        <v>0</v>
      </c>
    </row>
    <row r="330" spans="1:4" x14ac:dyDescent="0.3">
      <c r="A330">
        <v>2</v>
      </c>
      <c r="B330">
        <f>DATA!H330</f>
        <v>211996.17</v>
      </c>
      <c r="C330">
        <f>DATA!L330</f>
        <v>45722.09</v>
      </c>
      <c r="D330" s="12">
        <f>DATA!M330</f>
        <v>0</v>
      </c>
    </row>
    <row r="331" spans="1:4" x14ac:dyDescent="0.3">
      <c r="A331">
        <v>9</v>
      </c>
      <c r="B331">
        <f>DATA!H331</f>
        <v>100270.85</v>
      </c>
      <c r="C331">
        <f>DATA!L331</f>
        <v>57238.53</v>
      </c>
      <c r="D331" s="12">
        <f>DATA!M331</f>
        <v>0</v>
      </c>
    </row>
    <row r="332" spans="1:4" x14ac:dyDescent="0.3">
      <c r="A332">
        <v>8</v>
      </c>
      <c r="B332">
        <f>DATA!H332</f>
        <v>100036.16</v>
      </c>
      <c r="C332">
        <f>DATA!L332</f>
        <v>27387.77</v>
      </c>
      <c r="D332" s="12">
        <f>DATA!M332</f>
        <v>1</v>
      </c>
    </row>
    <row r="333" spans="1:4" x14ac:dyDescent="0.3">
      <c r="A333">
        <v>10</v>
      </c>
      <c r="B333">
        <f>DATA!H333</f>
        <v>239257.96</v>
      </c>
      <c r="C333">
        <f>DATA!L333</f>
        <v>75002.11</v>
      </c>
      <c r="D333" s="12">
        <f>DATA!M333</f>
        <v>0</v>
      </c>
    </row>
    <row r="334" spans="1:4" x14ac:dyDescent="0.3">
      <c r="A334">
        <v>0</v>
      </c>
      <c r="B334">
        <f>DATA!H334</f>
        <v>189373.41</v>
      </c>
      <c r="C334">
        <f>DATA!L334</f>
        <v>117202.4</v>
      </c>
      <c r="D334" s="12">
        <f>DATA!M334</f>
        <v>1</v>
      </c>
    </row>
    <row r="335" spans="1:4" x14ac:dyDescent="0.3">
      <c r="A335">
        <v>3</v>
      </c>
      <c r="B335">
        <f>DATA!H335</f>
        <v>117828.86</v>
      </c>
      <c r="C335">
        <f>DATA!L335</f>
        <v>67005.429999999993</v>
      </c>
      <c r="D335" s="12">
        <f>DATA!M335</f>
        <v>1</v>
      </c>
    </row>
    <row r="336" spans="1:4" x14ac:dyDescent="0.3">
      <c r="A336">
        <v>0</v>
      </c>
      <c r="B336">
        <f>DATA!H336</f>
        <v>122399.16</v>
      </c>
      <c r="C336">
        <f>DATA!L336</f>
        <v>107283.07</v>
      </c>
      <c r="D336" s="12">
        <f>DATA!M336</f>
        <v>0</v>
      </c>
    </row>
    <row r="337" spans="1:4" x14ac:dyDescent="0.3">
      <c r="A337">
        <v>5</v>
      </c>
      <c r="B337">
        <f>DATA!H337</f>
        <v>4147.6899999999996</v>
      </c>
      <c r="C337">
        <f>DATA!L337</f>
        <v>37164.6</v>
      </c>
      <c r="D337" s="12">
        <f>DATA!M337</f>
        <v>1</v>
      </c>
    </row>
    <row r="338" spans="1:4" x14ac:dyDescent="0.3">
      <c r="A338">
        <v>7</v>
      </c>
      <c r="B338">
        <f>DATA!H338</f>
        <v>57433.4</v>
      </c>
      <c r="C338">
        <f>DATA!L338</f>
        <v>125784.2</v>
      </c>
      <c r="D338" s="12">
        <f>DATA!M338</f>
        <v>1</v>
      </c>
    </row>
    <row r="339" spans="1:4" x14ac:dyDescent="0.3">
      <c r="A339">
        <v>7</v>
      </c>
      <c r="B339">
        <f>DATA!H339</f>
        <v>117825.55</v>
      </c>
      <c r="C339">
        <f>DATA!L339</f>
        <v>33868.199999999997</v>
      </c>
      <c r="D339" s="12">
        <f>DATA!M339</f>
        <v>1</v>
      </c>
    </row>
    <row r="340" spans="1:4" x14ac:dyDescent="0.3">
      <c r="A340">
        <v>4</v>
      </c>
      <c r="B340">
        <f>DATA!H340</f>
        <v>73449.679999999993</v>
      </c>
      <c r="C340">
        <f>DATA!L340</f>
        <v>108174.82</v>
      </c>
      <c r="D340" s="12">
        <f>DATA!M340</f>
        <v>1</v>
      </c>
    </row>
    <row r="341" spans="1:4" x14ac:dyDescent="0.3">
      <c r="A341">
        <v>8</v>
      </c>
      <c r="B341">
        <f>DATA!H341</f>
        <v>245454.02</v>
      </c>
      <c r="C341">
        <f>DATA!L341</f>
        <v>49422.5</v>
      </c>
      <c r="D341" s="12">
        <f>DATA!M341</f>
        <v>1</v>
      </c>
    </row>
    <row r="342" spans="1:4" x14ac:dyDescent="0.3">
      <c r="A342">
        <v>2</v>
      </c>
      <c r="B342">
        <f>DATA!H342</f>
        <v>28880.560000000001</v>
      </c>
      <c r="C342">
        <f>DATA!L342</f>
        <v>124392.15</v>
      </c>
      <c r="D342" s="12">
        <f>DATA!M342</f>
        <v>0</v>
      </c>
    </row>
    <row r="343" spans="1:4" x14ac:dyDescent="0.3">
      <c r="A343">
        <v>9</v>
      </c>
      <c r="B343">
        <f>DATA!H343</f>
        <v>126389.5</v>
      </c>
      <c r="C343">
        <f>DATA!L343</f>
        <v>145049.72</v>
      </c>
      <c r="D343" s="12">
        <f>DATA!M343</f>
        <v>1</v>
      </c>
    </row>
    <row r="344" spans="1:4" x14ac:dyDescent="0.3">
      <c r="A344">
        <v>5</v>
      </c>
      <c r="B344">
        <f>DATA!H344</f>
        <v>2478.15</v>
      </c>
      <c r="C344">
        <f>DATA!L344</f>
        <v>118783.64</v>
      </c>
      <c r="D344" s="12">
        <f>DATA!M344</f>
        <v>1</v>
      </c>
    </row>
    <row r="345" spans="1:4" x14ac:dyDescent="0.3">
      <c r="A345">
        <v>1</v>
      </c>
      <c r="B345">
        <f>DATA!H345</f>
        <v>68129.600000000006</v>
      </c>
      <c r="C345">
        <f>DATA!L345</f>
        <v>17554.759999999998</v>
      </c>
      <c r="D345" s="12">
        <f>DATA!M345</f>
        <v>1</v>
      </c>
    </row>
    <row r="346" spans="1:4" x14ac:dyDescent="0.3">
      <c r="A346">
        <v>7</v>
      </c>
      <c r="B346">
        <f>DATA!H346</f>
        <v>56107.72</v>
      </c>
      <c r="C346">
        <f>DATA!L346</f>
        <v>15514.32</v>
      </c>
      <c r="D346" s="12">
        <f>DATA!M346</f>
        <v>0</v>
      </c>
    </row>
    <row r="347" spans="1:4" x14ac:dyDescent="0.3">
      <c r="A347">
        <v>7</v>
      </c>
      <c r="B347">
        <f>DATA!H347</f>
        <v>151272.32999999999</v>
      </c>
      <c r="C347">
        <f>DATA!L347</f>
        <v>12942.16</v>
      </c>
      <c r="D347" s="12">
        <f>DATA!M347</f>
        <v>0</v>
      </c>
    </row>
    <row r="348" spans="1:4" x14ac:dyDescent="0.3">
      <c r="A348">
        <v>1</v>
      </c>
      <c r="B348">
        <f>DATA!H348</f>
        <v>221804.74</v>
      </c>
      <c r="C348">
        <f>DATA!L348</f>
        <v>140925.68</v>
      </c>
      <c r="D348" s="12">
        <f>DATA!M348</f>
        <v>0</v>
      </c>
    </row>
    <row r="349" spans="1:4" x14ac:dyDescent="0.3">
      <c r="A349">
        <v>5</v>
      </c>
      <c r="B349">
        <f>DATA!H349</f>
        <v>141610.87</v>
      </c>
      <c r="C349">
        <f>DATA!L349</f>
        <v>35048.160000000003</v>
      </c>
      <c r="D349" s="12">
        <f>DATA!M349</f>
        <v>0</v>
      </c>
    </row>
    <row r="350" spans="1:4" x14ac:dyDescent="0.3">
      <c r="A350">
        <v>0</v>
      </c>
      <c r="B350">
        <f>DATA!H350</f>
        <v>161025.64000000001</v>
      </c>
      <c r="C350">
        <f>DATA!L350</f>
        <v>129607.96</v>
      </c>
      <c r="D350" s="12">
        <f>DATA!M350</f>
        <v>0</v>
      </c>
    </row>
    <row r="351" spans="1:4" x14ac:dyDescent="0.3">
      <c r="A351">
        <v>7</v>
      </c>
      <c r="B351">
        <f>DATA!H351</f>
        <v>69980.850000000006</v>
      </c>
      <c r="C351">
        <f>DATA!L351</f>
        <v>112678.04</v>
      </c>
      <c r="D351" s="12">
        <f>DATA!M351</f>
        <v>0</v>
      </c>
    </row>
    <row r="352" spans="1:4" x14ac:dyDescent="0.3">
      <c r="A352">
        <v>8</v>
      </c>
      <c r="B352">
        <f>DATA!H352</f>
        <v>77216.62</v>
      </c>
      <c r="C352">
        <f>DATA!L352</f>
        <v>104636.55</v>
      </c>
      <c r="D352" s="12">
        <f>DATA!M352</f>
        <v>1</v>
      </c>
    </row>
    <row r="353" spans="1:4" x14ac:dyDescent="0.3">
      <c r="A353">
        <v>4</v>
      </c>
      <c r="B353">
        <f>DATA!H353</f>
        <v>124751.31</v>
      </c>
      <c r="C353">
        <f>DATA!L353</f>
        <v>16581.23</v>
      </c>
      <c r="D353" s="12">
        <f>DATA!M353</f>
        <v>1</v>
      </c>
    </row>
    <row r="354" spans="1:4" x14ac:dyDescent="0.3">
      <c r="A354">
        <v>5</v>
      </c>
      <c r="B354">
        <f>DATA!H354</f>
        <v>142139.92000000001</v>
      </c>
      <c r="C354">
        <f>DATA!L354</f>
        <v>89777.41</v>
      </c>
      <c r="D354" s="12">
        <f>DATA!M354</f>
        <v>0</v>
      </c>
    </row>
    <row r="355" spans="1:4" x14ac:dyDescent="0.3">
      <c r="A355">
        <v>2</v>
      </c>
      <c r="B355">
        <f>DATA!H355</f>
        <v>136582.23000000001</v>
      </c>
      <c r="C355">
        <f>DATA!L355</f>
        <v>146255.76999999999</v>
      </c>
      <c r="D355" s="12">
        <f>DATA!M355</f>
        <v>1</v>
      </c>
    </row>
    <row r="356" spans="1:4" x14ac:dyDescent="0.3">
      <c r="A356">
        <v>0</v>
      </c>
      <c r="B356">
        <f>DATA!H356</f>
        <v>65011.59</v>
      </c>
      <c r="C356">
        <f>DATA!L356</f>
        <v>100509.25</v>
      </c>
      <c r="D356" s="12">
        <f>DATA!M356</f>
        <v>1</v>
      </c>
    </row>
    <row r="357" spans="1:4" x14ac:dyDescent="0.3">
      <c r="A357">
        <v>8</v>
      </c>
      <c r="B357">
        <f>DATA!H357</f>
        <v>36493.35</v>
      </c>
      <c r="C357">
        <f>DATA!L357</f>
        <v>50480.54</v>
      </c>
      <c r="D357" s="12">
        <f>DATA!M357</f>
        <v>1</v>
      </c>
    </row>
    <row r="358" spans="1:4" x14ac:dyDescent="0.3">
      <c r="A358">
        <v>6</v>
      </c>
      <c r="B358">
        <f>DATA!H358</f>
        <v>92093.09</v>
      </c>
      <c r="C358">
        <f>DATA!L358</f>
        <v>117465.12</v>
      </c>
      <c r="D358" s="12">
        <f>DATA!M358</f>
        <v>1</v>
      </c>
    </row>
    <row r="359" spans="1:4" x14ac:dyDescent="0.3">
      <c r="A359">
        <v>5</v>
      </c>
      <c r="B359">
        <f>DATA!H359</f>
        <v>196029.87</v>
      </c>
      <c r="C359">
        <f>DATA!L359</f>
        <v>77933.48</v>
      </c>
      <c r="D359" s="12">
        <f>DATA!M359</f>
        <v>0</v>
      </c>
    </row>
    <row r="360" spans="1:4" x14ac:dyDescent="0.3">
      <c r="A360">
        <v>3</v>
      </c>
      <c r="B360">
        <f>DATA!H360</f>
        <v>149033.25</v>
      </c>
      <c r="C360">
        <f>DATA!L360</f>
        <v>26370.52</v>
      </c>
      <c r="D360" s="12">
        <f>DATA!M360</f>
        <v>1</v>
      </c>
    </row>
    <row r="361" spans="1:4" x14ac:dyDescent="0.3">
      <c r="A361">
        <v>8</v>
      </c>
      <c r="B361">
        <f>DATA!H361</f>
        <v>45468.26</v>
      </c>
      <c r="C361">
        <f>DATA!L361</f>
        <v>132665.07999999999</v>
      </c>
      <c r="D361" s="12">
        <f>DATA!M361</f>
        <v>0</v>
      </c>
    </row>
    <row r="362" spans="1:4" x14ac:dyDescent="0.3">
      <c r="A362">
        <v>10</v>
      </c>
      <c r="B362">
        <f>DATA!H362</f>
        <v>58304.43</v>
      </c>
      <c r="C362">
        <f>DATA!L362</f>
        <v>122633.44</v>
      </c>
      <c r="D362" s="12">
        <f>DATA!M362</f>
        <v>0</v>
      </c>
    </row>
    <row r="363" spans="1:4" x14ac:dyDescent="0.3">
      <c r="A363">
        <v>9</v>
      </c>
      <c r="B363">
        <f>DATA!H363</f>
        <v>226048.06</v>
      </c>
      <c r="C363">
        <f>DATA!L363</f>
        <v>13741.1</v>
      </c>
      <c r="D363" s="12">
        <f>DATA!M363</f>
        <v>1</v>
      </c>
    </row>
    <row r="364" spans="1:4" x14ac:dyDescent="0.3">
      <c r="A364">
        <v>0</v>
      </c>
      <c r="B364">
        <f>DATA!H364</f>
        <v>99046.96</v>
      </c>
      <c r="C364">
        <f>DATA!L364</f>
        <v>15699.41</v>
      </c>
      <c r="D364" s="12">
        <f>DATA!M364</f>
        <v>0</v>
      </c>
    </row>
    <row r="365" spans="1:4" x14ac:dyDescent="0.3">
      <c r="A365">
        <v>10</v>
      </c>
      <c r="B365">
        <f>DATA!H365</f>
        <v>213425.22</v>
      </c>
      <c r="C365">
        <f>DATA!L365</f>
        <v>36418.230000000003</v>
      </c>
      <c r="D365" s="12">
        <f>DATA!M365</f>
        <v>1</v>
      </c>
    </row>
    <row r="366" spans="1:4" x14ac:dyDescent="0.3">
      <c r="A366">
        <v>7</v>
      </c>
      <c r="B366">
        <f>DATA!H366</f>
        <v>244367.77</v>
      </c>
      <c r="C366">
        <f>DATA!L366</f>
        <v>130825.14</v>
      </c>
      <c r="D366" s="12">
        <f>DATA!M366</f>
        <v>0</v>
      </c>
    </row>
    <row r="367" spans="1:4" x14ac:dyDescent="0.3">
      <c r="A367">
        <v>2</v>
      </c>
      <c r="B367">
        <f>DATA!H367</f>
        <v>89466.82</v>
      </c>
      <c r="C367">
        <f>DATA!L367</f>
        <v>37239.08</v>
      </c>
      <c r="D367" s="12">
        <f>DATA!M367</f>
        <v>1</v>
      </c>
    </row>
    <row r="368" spans="1:4" x14ac:dyDescent="0.3">
      <c r="A368">
        <v>10</v>
      </c>
      <c r="B368">
        <f>DATA!H368</f>
        <v>3229.42</v>
      </c>
      <c r="C368">
        <f>DATA!L368</f>
        <v>139041.32999999999</v>
      </c>
      <c r="D368" s="12">
        <f>DATA!M368</f>
        <v>1</v>
      </c>
    </row>
    <row r="369" spans="1:4" x14ac:dyDescent="0.3">
      <c r="A369">
        <v>8</v>
      </c>
      <c r="B369">
        <f>DATA!H369</f>
        <v>181947.19</v>
      </c>
      <c r="C369">
        <f>DATA!L369</f>
        <v>81521.02</v>
      </c>
      <c r="D369" s="12">
        <f>DATA!M369</f>
        <v>0</v>
      </c>
    </row>
    <row r="370" spans="1:4" x14ac:dyDescent="0.3">
      <c r="A370">
        <v>7</v>
      </c>
      <c r="B370">
        <f>DATA!H370</f>
        <v>121359.53</v>
      </c>
      <c r="C370">
        <f>DATA!L370</f>
        <v>50215.32</v>
      </c>
      <c r="D370" s="12">
        <f>DATA!M370</f>
        <v>1</v>
      </c>
    </row>
    <row r="371" spans="1:4" x14ac:dyDescent="0.3">
      <c r="A371">
        <v>6</v>
      </c>
      <c r="B371">
        <f>DATA!H371</f>
        <v>221855.45</v>
      </c>
      <c r="C371">
        <f>DATA!L371</f>
        <v>27505.16</v>
      </c>
      <c r="D371" s="12">
        <f>DATA!M371</f>
        <v>0</v>
      </c>
    </row>
    <row r="372" spans="1:4" x14ac:dyDescent="0.3">
      <c r="A372">
        <v>0</v>
      </c>
      <c r="B372">
        <f>DATA!H372</f>
        <v>42307.27</v>
      </c>
      <c r="C372">
        <f>DATA!L372</f>
        <v>91193.31</v>
      </c>
      <c r="D372" s="12">
        <f>DATA!M372</f>
        <v>1</v>
      </c>
    </row>
    <row r="373" spans="1:4" x14ac:dyDescent="0.3">
      <c r="A373">
        <v>5</v>
      </c>
      <c r="B373">
        <f>DATA!H373</f>
        <v>60811.89</v>
      </c>
      <c r="C373">
        <f>DATA!L373</f>
        <v>135514.51</v>
      </c>
      <c r="D373" s="12">
        <f>DATA!M373</f>
        <v>0</v>
      </c>
    </row>
    <row r="374" spans="1:4" x14ac:dyDescent="0.3">
      <c r="A374">
        <v>2</v>
      </c>
      <c r="B374">
        <f>DATA!H374</f>
        <v>117910.43</v>
      </c>
      <c r="C374">
        <f>DATA!L374</f>
        <v>96850.83</v>
      </c>
      <c r="D374" s="12">
        <f>DATA!M374</f>
        <v>0</v>
      </c>
    </row>
    <row r="375" spans="1:4" x14ac:dyDescent="0.3">
      <c r="A375">
        <v>10</v>
      </c>
      <c r="B375">
        <f>DATA!H375</f>
        <v>33943.949999999997</v>
      </c>
      <c r="C375">
        <f>DATA!L375</f>
        <v>70802.91</v>
      </c>
      <c r="D375" s="12">
        <f>DATA!M375</f>
        <v>0</v>
      </c>
    </row>
    <row r="376" spans="1:4" x14ac:dyDescent="0.3">
      <c r="A376">
        <v>6</v>
      </c>
      <c r="B376">
        <f>DATA!H376</f>
        <v>90083.5</v>
      </c>
      <c r="C376">
        <f>DATA!L376</f>
        <v>97501.27</v>
      </c>
      <c r="D376" s="12">
        <f>DATA!M376</f>
        <v>0</v>
      </c>
    </row>
    <row r="377" spans="1:4" x14ac:dyDescent="0.3">
      <c r="A377">
        <v>8</v>
      </c>
      <c r="B377">
        <f>DATA!H377</f>
        <v>3890.93</v>
      </c>
      <c r="C377">
        <f>DATA!L377</f>
        <v>112863.73</v>
      </c>
      <c r="D377" s="12">
        <f>DATA!M377</f>
        <v>1</v>
      </c>
    </row>
    <row r="378" spans="1:4" x14ac:dyDescent="0.3">
      <c r="A378">
        <v>4</v>
      </c>
      <c r="B378">
        <f>DATA!H378</f>
        <v>200445.11</v>
      </c>
      <c r="C378">
        <f>DATA!L378</f>
        <v>43482.28</v>
      </c>
      <c r="D378" s="12">
        <f>DATA!M378</f>
        <v>0</v>
      </c>
    </row>
    <row r="379" spans="1:4" x14ac:dyDescent="0.3">
      <c r="A379">
        <v>0</v>
      </c>
      <c r="B379">
        <f>DATA!H379</f>
        <v>25176.02</v>
      </c>
      <c r="C379">
        <f>DATA!L379</f>
        <v>47799.89</v>
      </c>
      <c r="D379" s="12">
        <f>DATA!M379</f>
        <v>0</v>
      </c>
    </row>
    <row r="380" spans="1:4" x14ac:dyDescent="0.3">
      <c r="A380">
        <v>3</v>
      </c>
      <c r="B380">
        <f>DATA!H380</f>
        <v>148964.49</v>
      </c>
      <c r="C380">
        <f>DATA!L380</f>
        <v>134929.35</v>
      </c>
      <c r="D380" s="12">
        <f>DATA!M380</f>
        <v>1</v>
      </c>
    </row>
    <row r="381" spans="1:4" x14ac:dyDescent="0.3">
      <c r="A381">
        <v>10</v>
      </c>
      <c r="B381">
        <f>DATA!H381</f>
        <v>65557.83</v>
      </c>
      <c r="C381">
        <f>DATA!L381</f>
        <v>119298.33</v>
      </c>
      <c r="D381" s="12">
        <f>DATA!M381</f>
        <v>1</v>
      </c>
    </row>
    <row r="382" spans="1:4" x14ac:dyDescent="0.3">
      <c r="A382">
        <v>4</v>
      </c>
      <c r="B382">
        <f>DATA!H382</f>
        <v>7503.74</v>
      </c>
      <c r="C382">
        <f>DATA!L382</f>
        <v>111705.43</v>
      </c>
      <c r="D382" s="12">
        <f>DATA!M382</f>
        <v>1</v>
      </c>
    </row>
    <row r="383" spans="1:4" x14ac:dyDescent="0.3">
      <c r="A383">
        <v>1</v>
      </c>
      <c r="B383">
        <f>DATA!H383</f>
        <v>27423.79</v>
      </c>
      <c r="C383">
        <f>DATA!L383</f>
        <v>103883.72</v>
      </c>
      <c r="D383" s="12">
        <f>DATA!M383</f>
        <v>1</v>
      </c>
    </row>
    <row r="384" spans="1:4" x14ac:dyDescent="0.3">
      <c r="A384">
        <v>8</v>
      </c>
      <c r="B384">
        <f>DATA!H384</f>
        <v>174803.79</v>
      </c>
      <c r="C384">
        <f>DATA!L384</f>
        <v>82707.83</v>
      </c>
      <c r="D384" s="12">
        <f>DATA!M384</f>
        <v>1</v>
      </c>
    </row>
    <row r="385" spans="1:4" x14ac:dyDescent="0.3">
      <c r="A385">
        <v>2</v>
      </c>
      <c r="B385">
        <f>DATA!H385</f>
        <v>222765.58</v>
      </c>
      <c r="C385">
        <f>DATA!L385</f>
        <v>60737.81</v>
      </c>
      <c r="D385" s="12">
        <f>DATA!M385</f>
        <v>0</v>
      </c>
    </row>
    <row r="386" spans="1:4" x14ac:dyDescent="0.3">
      <c r="A386">
        <v>8</v>
      </c>
      <c r="B386">
        <f>DATA!H386</f>
        <v>13669.44</v>
      </c>
      <c r="C386">
        <f>DATA!L386</f>
        <v>64850.98</v>
      </c>
      <c r="D386" s="12">
        <f>DATA!M386</f>
        <v>0</v>
      </c>
    </row>
    <row r="387" spans="1:4" x14ac:dyDescent="0.3">
      <c r="A387">
        <v>9</v>
      </c>
      <c r="B387">
        <f>DATA!H387</f>
        <v>70359.16</v>
      </c>
      <c r="C387">
        <f>DATA!L387</f>
        <v>21108.79</v>
      </c>
      <c r="D387" s="12">
        <f>DATA!M387</f>
        <v>0</v>
      </c>
    </row>
    <row r="388" spans="1:4" x14ac:dyDescent="0.3">
      <c r="A388">
        <v>8</v>
      </c>
      <c r="B388">
        <f>DATA!H388</f>
        <v>99607.93</v>
      </c>
      <c r="C388">
        <f>DATA!L388</f>
        <v>134066.89000000001</v>
      </c>
      <c r="D388" s="12">
        <f>DATA!M388</f>
        <v>0</v>
      </c>
    </row>
    <row r="389" spans="1:4" x14ac:dyDescent="0.3">
      <c r="A389">
        <v>7</v>
      </c>
      <c r="B389">
        <f>DATA!H389</f>
        <v>244670.66</v>
      </c>
      <c r="C389">
        <f>DATA!L389</f>
        <v>12942.78</v>
      </c>
      <c r="D389" s="12">
        <f>DATA!M389</f>
        <v>0</v>
      </c>
    </row>
    <row r="390" spans="1:4" x14ac:dyDescent="0.3">
      <c r="A390">
        <v>9</v>
      </c>
      <c r="B390">
        <f>DATA!H390</f>
        <v>110666.99</v>
      </c>
      <c r="C390">
        <f>DATA!L390</f>
        <v>128261.18</v>
      </c>
      <c r="D390" s="12">
        <f>DATA!M390</f>
        <v>1</v>
      </c>
    </row>
    <row r="391" spans="1:4" x14ac:dyDescent="0.3">
      <c r="A391">
        <v>3</v>
      </c>
      <c r="B391">
        <f>DATA!H391</f>
        <v>206215.22</v>
      </c>
      <c r="C391">
        <f>DATA!L391</f>
        <v>73777.070000000007</v>
      </c>
      <c r="D391" s="12">
        <f>DATA!M391</f>
        <v>1</v>
      </c>
    </row>
    <row r="392" spans="1:4" x14ac:dyDescent="0.3">
      <c r="A392">
        <v>6</v>
      </c>
      <c r="B392">
        <f>DATA!H392</f>
        <v>70279.97</v>
      </c>
      <c r="C392">
        <f>DATA!L392</f>
        <v>35799.879999999997</v>
      </c>
      <c r="D392" s="12">
        <f>DATA!M392</f>
        <v>1</v>
      </c>
    </row>
    <row r="393" spans="1:4" x14ac:dyDescent="0.3">
      <c r="A393">
        <v>3</v>
      </c>
      <c r="B393">
        <f>DATA!H393</f>
        <v>117042.43</v>
      </c>
      <c r="C393">
        <f>DATA!L393</f>
        <v>97218.44</v>
      </c>
      <c r="D393" s="12">
        <f>DATA!M393</f>
        <v>1</v>
      </c>
    </row>
    <row r="394" spans="1:4" x14ac:dyDescent="0.3">
      <c r="A394">
        <v>7</v>
      </c>
      <c r="B394">
        <f>DATA!H394</f>
        <v>206465.41</v>
      </c>
      <c r="C394">
        <f>DATA!L394</f>
        <v>81839.69</v>
      </c>
      <c r="D394" s="12">
        <f>DATA!M394</f>
        <v>0</v>
      </c>
    </row>
    <row r="395" spans="1:4" x14ac:dyDescent="0.3">
      <c r="A395">
        <v>7</v>
      </c>
      <c r="B395">
        <f>DATA!H395</f>
        <v>192173.02</v>
      </c>
      <c r="C395">
        <f>DATA!L395</f>
        <v>99695.37</v>
      </c>
      <c r="D395" s="12">
        <f>DATA!M395</f>
        <v>1</v>
      </c>
    </row>
    <row r="396" spans="1:4" x14ac:dyDescent="0.3">
      <c r="A396">
        <v>2</v>
      </c>
      <c r="B396">
        <f>DATA!H396</f>
        <v>59641.51</v>
      </c>
      <c r="C396">
        <f>DATA!L396</f>
        <v>61207.9</v>
      </c>
      <c r="D396" s="12">
        <f>DATA!M396</f>
        <v>1</v>
      </c>
    </row>
    <row r="397" spans="1:4" x14ac:dyDescent="0.3">
      <c r="A397">
        <v>7</v>
      </c>
      <c r="B397">
        <f>DATA!H397</f>
        <v>63179.37</v>
      </c>
      <c r="C397">
        <f>DATA!L397</f>
        <v>121798.16</v>
      </c>
      <c r="D397" s="12">
        <f>DATA!M397</f>
        <v>0</v>
      </c>
    </row>
    <row r="398" spans="1:4" x14ac:dyDescent="0.3">
      <c r="A398">
        <v>8</v>
      </c>
      <c r="B398">
        <f>DATA!H398</f>
        <v>137118.25</v>
      </c>
      <c r="C398">
        <f>DATA!L398</f>
        <v>69952.509999999995</v>
      </c>
      <c r="D398" s="12">
        <f>DATA!M398</f>
        <v>1</v>
      </c>
    </row>
    <row r="399" spans="1:4" x14ac:dyDescent="0.3">
      <c r="A399">
        <v>4</v>
      </c>
      <c r="B399">
        <f>DATA!H399</f>
        <v>234503.75</v>
      </c>
      <c r="C399">
        <f>DATA!L399</f>
        <v>64388.61</v>
      </c>
      <c r="D399" s="12">
        <f>DATA!M399</f>
        <v>0</v>
      </c>
    </row>
    <row r="400" spans="1:4" x14ac:dyDescent="0.3">
      <c r="A400">
        <v>3</v>
      </c>
      <c r="B400">
        <f>DATA!H400</f>
        <v>29981.98</v>
      </c>
      <c r="C400">
        <f>DATA!L400</f>
        <v>97693.26</v>
      </c>
      <c r="D400" s="12">
        <f>DATA!M400</f>
        <v>1</v>
      </c>
    </row>
    <row r="401" spans="1:4" x14ac:dyDescent="0.3">
      <c r="A401">
        <v>10</v>
      </c>
      <c r="B401">
        <f>DATA!H401</f>
        <v>193015.5</v>
      </c>
      <c r="C401">
        <f>DATA!L401</f>
        <v>127051.78</v>
      </c>
      <c r="D401" s="12">
        <f>DATA!M401</f>
        <v>0</v>
      </c>
    </row>
    <row r="402" spans="1:4" x14ac:dyDescent="0.3">
      <c r="A402">
        <v>0</v>
      </c>
      <c r="B402">
        <f>DATA!H402</f>
        <v>184400.14</v>
      </c>
      <c r="C402">
        <f>DATA!L402</f>
        <v>22278.37</v>
      </c>
      <c r="D402" s="12">
        <f>DATA!M402</f>
        <v>0</v>
      </c>
    </row>
    <row r="403" spans="1:4" x14ac:dyDescent="0.3">
      <c r="A403">
        <v>2</v>
      </c>
      <c r="B403">
        <f>DATA!H403</f>
        <v>212693.91</v>
      </c>
      <c r="C403">
        <f>DATA!L403</f>
        <v>71242.42</v>
      </c>
      <c r="D403" s="12">
        <f>DATA!M403</f>
        <v>1</v>
      </c>
    </row>
    <row r="404" spans="1:4" x14ac:dyDescent="0.3">
      <c r="A404">
        <v>10</v>
      </c>
      <c r="B404">
        <f>DATA!H404</f>
        <v>222300.09</v>
      </c>
      <c r="C404">
        <f>DATA!L404</f>
        <v>76217.14</v>
      </c>
      <c r="D404" s="12">
        <f>DATA!M404</f>
        <v>1</v>
      </c>
    </row>
    <row r="405" spans="1:4" x14ac:dyDescent="0.3">
      <c r="A405">
        <v>5</v>
      </c>
      <c r="B405">
        <f>DATA!H405</f>
        <v>220856.36</v>
      </c>
      <c r="C405">
        <f>DATA!L405</f>
        <v>84471.69</v>
      </c>
      <c r="D405" s="12">
        <f>DATA!M405</f>
        <v>1</v>
      </c>
    </row>
    <row r="406" spans="1:4" x14ac:dyDescent="0.3">
      <c r="A406">
        <v>4</v>
      </c>
      <c r="B406">
        <f>DATA!H406</f>
        <v>225228.97</v>
      </c>
      <c r="C406">
        <f>DATA!L406</f>
        <v>55636.3</v>
      </c>
      <c r="D406" s="12">
        <f>DATA!M406</f>
        <v>1</v>
      </c>
    </row>
    <row r="407" spans="1:4" x14ac:dyDescent="0.3">
      <c r="A407">
        <v>2</v>
      </c>
      <c r="B407">
        <f>DATA!H407</f>
        <v>245176.21</v>
      </c>
      <c r="C407">
        <f>DATA!L407</f>
        <v>35708.43</v>
      </c>
      <c r="D407" s="12">
        <f>DATA!M407</f>
        <v>1</v>
      </c>
    </row>
    <row r="408" spans="1:4" x14ac:dyDescent="0.3">
      <c r="A408">
        <v>7</v>
      </c>
      <c r="B408">
        <f>DATA!H408</f>
        <v>83107.39</v>
      </c>
      <c r="C408">
        <f>DATA!L408</f>
        <v>41989.11</v>
      </c>
      <c r="D408" s="12">
        <f>DATA!M408</f>
        <v>0</v>
      </c>
    </row>
    <row r="409" spans="1:4" x14ac:dyDescent="0.3">
      <c r="A409">
        <v>10</v>
      </c>
      <c r="B409">
        <f>DATA!H409</f>
        <v>232252.83</v>
      </c>
      <c r="C409">
        <f>DATA!L409</f>
        <v>44531.43</v>
      </c>
      <c r="D409" s="12">
        <f>DATA!M409</f>
        <v>0</v>
      </c>
    </row>
    <row r="410" spans="1:4" x14ac:dyDescent="0.3">
      <c r="A410">
        <v>3</v>
      </c>
      <c r="B410">
        <f>DATA!H410</f>
        <v>236890.08</v>
      </c>
      <c r="C410">
        <f>DATA!L410</f>
        <v>67984.02</v>
      </c>
      <c r="D410" s="12">
        <f>DATA!M410</f>
        <v>1</v>
      </c>
    </row>
    <row r="411" spans="1:4" x14ac:dyDescent="0.3">
      <c r="A411">
        <v>7</v>
      </c>
      <c r="B411">
        <f>DATA!H411</f>
        <v>162045.57</v>
      </c>
      <c r="C411">
        <f>DATA!L411</f>
        <v>87532.67</v>
      </c>
      <c r="D411" s="12">
        <f>DATA!M411</f>
        <v>1</v>
      </c>
    </row>
    <row r="412" spans="1:4" x14ac:dyDescent="0.3">
      <c r="A412">
        <v>3</v>
      </c>
      <c r="B412">
        <f>DATA!H412</f>
        <v>166147.69</v>
      </c>
      <c r="C412">
        <f>DATA!L412</f>
        <v>56454.41</v>
      </c>
      <c r="D412" s="12">
        <f>DATA!M412</f>
        <v>1</v>
      </c>
    </row>
    <row r="413" spans="1:4" x14ac:dyDescent="0.3">
      <c r="A413">
        <v>1</v>
      </c>
      <c r="B413">
        <f>DATA!H413</f>
        <v>89639.64</v>
      </c>
      <c r="C413">
        <f>DATA!L413</f>
        <v>125590.02</v>
      </c>
      <c r="D413" s="12">
        <f>DATA!M413</f>
        <v>1</v>
      </c>
    </row>
    <row r="414" spans="1:4" x14ac:dyDescent="0.3">
      <c r="A414">
        <v>4</v>
      </c>
      <c r="B414">
        <f>DATA!H414</f>
        <v>186325.98</v>
      </c>
      <c r="C414">
        <f>DATA!L414</f>
        <v>76620.289999999994</v>
      </c>
      <c r="D414" s="12">
        <f>DATA!M414</f>
        <v>0</v>
      </c>
    </row>
    <row r="415" spans="1:4" x14ac:dyDescent="0.3">
      <c r="A415">
        <v>5</v>
      </c>
      <c r="B415">
        <f>DATA!H415</f>
        <v>150640.24</v>
      </c>
      <c r="C415">
        <f>DATA!L415</f>
        <v>52816.7</v>
      </c>
      <c r="D415" s="12">
        <f>DATA!M415</f>
        <v>1</v>
      </c>
    </row>
    <row r="416" spans="1:4" x14ac:dyDescent="0.3">
      <c r="A416">
        <v>3</v>
      </c>
      <c r="B416">
        <f>DATA!H416</f>
        <v>196579.74</v>
      </c>
      <c r="C416">
        <f>DATA!L416</f>
        <v>58389.15</v>
      </c>
      <c r="D416" s="12">
        <f>DATA!M416</f>
        <v>1</v>
      </c>
    </row>
    <row r="417" spans="1:4" x14ac:dyDescent="0.3">
      <c r="A417">
        <v>2</v>
      </c>
      <c r="B417">
        <f>DATA!H417</f>
        <v>38378.400000000001</v>
      </c>
      <c r="C417">
        <f>DATA!L417</f>
        <v>148498.85</v>
      </c>
      <c r="D417" s="12">
        <f>DATA!M417</f>
        <v>1</v>
      </c>
    </row>
    <row r="418" spans="1:4" x14ac:dyDescent="0.3">
      <c r="A418">
        <v>1</v>
      </c>
      <c r="B418">
        <f>DATA!H418</f>
        <v>203648.16</v>
      </c>
      <c r="C418">
        <f>DATA!L418</f>
        <v>102614.36</v>
      </c>
      <c r="D418" s="12">
        <f>DATA!M418</f>
        <v>1</v>
      </c>
    </row>
    <row r="419" spans="1:4" x14ac:dyDescent="0.3">
      <c r="A419">
        <v>10</v>
      </c>
      <c r="B419">
        <f>DATA!H419</f>
        <v>180845.4</v>
      </c>
      <c r="C419">
        <f>DATA!L419</f>
        <v>67354.759999999995</v>
      </c>
      <c r="D419" s="12">
        <f>DATA!M419</f>
        <v>1</v>
      </c>
    </row>
    <row r="420" spans="1:4" x14ac:dyDescent="0.3">
      <c r="A420">
        <v>3</v>
      </c>
      <c r="B420">
        <f>DATA!H420</f>
        <v>136486.32999999999</v>
      </c>
      <c r="C420">
        <f>DATA!L420</f>
        <v>135558.76</v>
      </c>
      <c r="D420" s="12">
        <f>DATA!M420</f>
        <v>0</v>
      </c>
    </row>
    <row r="421" spans="1:4" x14ac:dyDescent="0.3">
      <c r="A421">
        <v>4</v>
      </c>
      <c r="B421">
        <f>DATA!H421</f>
        <v>64929.13</v>
      </c>
      <c r="C421">
        <f>DATA!L421</f>
        <v>117045.7</v>
      </c>
      <c r="D421" s="12">
        <f>DATA!M421</f>
        <v>0</v>
      </c>
    </row>
    <row r="422" spans="1:4" x14ac:dyDescent="0.3">
      <c r="A422">
        <v>4</v>
      </c>
      <c r="B422">
        <f>DATA!H422</f>
        <v>24418.55</v>
      </c>
      <c r="C422">
        <f>DATA!L422</f>
        <v>131045.9</v>
      </c>
      <c r="D422" s="12">
        <f>DATA!M422</f>
        <v>0</v>
      </c>
    </row>
    <row r="423" spans="1:4" x14ac:dyDescent="0.3">
      <c r="A423">
        <v>6</v>
      </c>
      <c r="B423">
        <f>DATA!H423</f>
        <v>121208.33</v>
      </c>
      <c r="C423">
        <f>DATA!L423</f>
        <v>32556.34</v>
      </c>
      <c r="D423" s="12">
        <f>DATA!M423</f>
        <v>1</v>
      </c>
    </row>
    <row r="424" spans="1:4" x14ac:dyDescent="0.3">
      <c r="A424">
        <v>9</v>
      </c>
      <c r="B424">
        <f>DATA!H424</f>
        <v>36155.39</v>
      </c>
      <c r="C424">
        <f>DATA!L424</f>
        <v>122338.51</v>
      </c>
      <c r="D424" s="12">
        <f>DATA!M424</f>
        <v>1</v>
      </c>
    </row>
    <row r="425" spans="1:4" x14ac:dyDescent="0.3">
      <c r="A425">
        <v>9</v>
      </c>
      <c r="B425">
        <f>DATA!H425</f>
        <v>190443.29</v>
      </c>
      <c r="C425">
        <f>DATA!L425</f>
        <v>77215.990000000005</v>
      </c>
      <c r="D425" s="12">
        <f>DATA!M425</f>
        <v>1</v>
      </c>
    </row>
    <row r="426" spans="1:4" x14ac:dyDescent="0.3">
      <c r="A426">
        <v>3</v>
      </c>
      <c r="B426">
        <f>DATA!H426</f>
        <v>231139.73</v>
      </c>
      <c r="C426">
        <f>DATA!L426</f>
        <v>19540.71</v>
      </c>
      <c r="D426" s="12">
        <f>DATA!M426</f>
        <v>1</v>
      </c>
    </row>
    <row r="427" spans="1:4" x14ac:dyDescent="0.3">
      <c r="A427">
        <v>7</v>
      </c>
      <c r="B427">
        <f>DATA!H427</f>
        <v>205080.33</v>
      </c>
      <c r="C427">
        <f>DATA!L427</f>
        <v>22885.14</v>
      </c>
      <c r="D427" s="12">
        <f>DATA!M427</f>
        <v>1</v>
      </c>
    </row>
    <row r="428" spans="1:4" x14ac:dyDescent="0.3">
      <c r="A428">
        <v>4</v>
      </c>
      <c r="B428">
        <f>DATA!H428</f>
        <v>82614.73</v>
      </c>
      <c r="C428">
        <f>DATA!L428</f>
        <v>90275.78</v>
      </c>
      <c r="D428" s="12">
        <f>DATA!M428</f>
        <v>0</v>
      </c>
    </row>
    <row r="429" spans="1:4" x14ac:dyDescent="0.3">
      <c r="A429">
        <v>0</v>
      </c>
      <c r="B429">
        <f>DATA!H429</f>
        <v>36501.089999999997</v>
      </c>
      <c r="C429">
        <f>DATA!L429</f>
        <v>64420.160000000003</v>
      </c>
      <c r="D429" s="12">
        <f>DATA!M429</f>
        <v>1</v>
      </c>
    </row>
    <row r="430" spans="1:4" x14ac:dyDescent="0.3">
      <c r="A430">
        <v>10</v>
      </c>
      <c r="B430">
        <f>DATA!H430</f>
        <v>1978.31</v>
      </c>
      <c r="C430">
        <f>DATA!L430</f>
        <v>19915.18</v>
      </c>
      <c r="D430" s="12">
        <f>DATA!M430</f>
        <v>1</v>
      </c>
    </row>
    <row r="431" spans="1:4" x14ac:dyDescent="0.3">
      <c r="A431">
        <v>0</v>
      </c>
      <c r="B431">
        <f>DATA!H431</f>
        <v>165914.53</v>
      </c>
      <c r="C431">
        <f>DATA!L431</f>
        <v>71091.44</v>
      </c>
      <c r="D431" s="12">
        <f>DATA!M431</f>
        <v>0</v>
      </c>
    </row>
    <row r="432" spans="1:4" x14ac:dyDescent="0.3">
      <c r="A432">
        <v>0</v>
      </c>
      <c r="B432">
        <f>DATA!H432</f>
        <v>46903.02</v>
      </c>
      <c r="C432">
        <f>DATA!L432</f>
        <v>120900.9</v>
      </c>
      <c r="D432" s="12">
        <f>DATA!M432</f>
        <v>0</v>
      </c>
    </row>
    <row r="433" spans="1:4" x14ac:dyDescent="0.3">
      <c r="A433">
        <v>0</v>
      </c>
      <c r="B433">
        <f>DATA!H433</f>
        <v>179138.58</v>
      </c>
      <c r="C433">
        <f>DATA!L433</f>
        <v>40101.64</v>
      </c>
      <c r="D433" s="12">
        <f>DATA!M433</f>
        <v>1</v>
      </c>
    </row>
    <row r="434" spans="1:4" x14ac:dyDescent="0.3">
      <c r="A434">
        <v>4</v>
      </c>
      <c r="B434">
        <f>DATA!H434</f>
        <v>143858.20000000001</v>
      </c>
      <c r="C434">
        <f>DATA!L434</f>
        <v>111156.24</v>
      </c>
      <c r="D434" s="12">
        <f>DATA!M434</f>
        <v>1</v>
      </c>
    </row>
    <row r="435" spans="1:4" x14ac:dyDescent="0.3">
      <c r="A435">
        <v>5</v>
      </c>
      <c r="B435">
        <f>DATA!H435</f>
        <v>117504.37</v>
      </c>
      <c r="C435">
        <f>DATA!L435</f>
        <v>69683.199999999997</v>
      </c>
      <c r="D435" s="12">
        <f>DATA!M435</f>
        <v>1</v>
      </c>
    </row>
    <row r="436" spans="1:4" x14ac:dyDescent="0.3">
      <c r="A436">
        <v>5</v>
      </c>
      <c r="B436">
        <f>DATA!H436</f>
        <v>191884.81</v>
      </c>
      <c r="C436">
        <f>DATA!L436</f>
        <v>56017.64</v>
      </c>
      <c r="D436" s="12">
        <f>DATA!M436</f>
        <v>1</v>
      </c>
    </row>
    <row r="437" spans="1:4" x14ac:dyDescent="0.3">
      <c r="A437">
        <v>9</v>
      </c>
      <c r="B437">
        <f>DATA!H437</f>
        <v>245266.56</v>
      </c>
      <c r="C437">
        <f>DATA!L437</f>
        <v>68485.740000000005</v>
      </c>
      <c r="D437" s="12">
        <f>DATA!M437</f>
        <v>1</v>
      </c>
    </row>
    <row r="438" spans="1:4" x14ac:dyDescent="0.3">
      <c r="A438">
        <v>2</v>
      </c>
      <c r="B438">
        <f>DATA!H438</f>
        <v>32148.54</v>
      </c>
      <c r="C438">
        <f>DATA!L438</f>
        <v>99026.41</v>
      </c>
      <c r="D438" s="12">
        <f>DATA!M438</f>
        <v>0</v>
      </c>
    </row>
    <row r="439" spans="1:4" x14ac:dyDescent="0.3">
      <c r="A439">
        <v>10</v>
      </c>
      <c r="B439">
        <f>DATA!H439</f>
        <v>137629.67000000001</v>
      </c>
      <c r="C439">
        <f>DATA!L439</f>
        <v>63609.91</v>
      </c>
      <c r="D439" s="12">
        <f>DATA!M439</f>
        <v>0</v>
      </c>
    </row>
    <row r="440" spans="1:4" x14ac:dyDescent="0.3">
      <c r="A440">
        <v>0</v>
      </c>
      <c r="B440">
        <f>DATA!H440</f>
        <v>78305.72</v>
      </c>
      <c r="C440">
        <f>DATA!L440</f>
        <v>84684</v>
      </c>
      <c r="D440" s="12">
        <f>DATA!M440</f>
        <v>0</v>
      </c>
    </row>
    <row r="441" spans="1:4" x14ac:dyDescent="0.3">
      <c r="A441">
        <v>7</v>
      </c>
      <c r="B441">
        <f>DATA!H441</f>
        <v>6988.85</v>
      </c>
      <c r="C441">
        <f>DATA!L441</f>
        <v>20477.41</v>
      </c>
      <c r="D441" s="12">
        <f>DATA!M441</f>
        <v>1</v>
      </c>
    </row>
    <row r="442" spans="1:4" x14ac:dyDescent="0.3">
      <c r="A442">
        <v>1</v>
      </c>
      <c r="B442">
        <f>DATA!H442</f>
        <v>7336.57</v>
      </c>
      <c r="C442">
        <f>DATA!L442</f>
        <v>102957.36</v>
      </c>
      <c r="D442" s="12">
        <f>DATA!M442</f>
        <v>1</v>
      </c>
    </row>
    <row r="443" spans="1:4" x14ac:dyDescent="0.3">
      <c r="A443">
        <v>9</v>
      </c>
      <c r="B443">
        <f>DATA!H443</f>
        <v>144405.5</v>
      </c>
      <c r="C443">
        <f>DATA!L443</f>
        <v>30241.09</v>
      </c>
      <c r="D443" s="12">
        <f>DATA!M443</f>
        <v>1</v>
      </c>
    </row>
    <row r="444" spans="1:4" x14ac:dyDescent="0.3">
      <c r="A444">
        <v>9</v>
      </c>
      <c r="B444">
        <f>DATA!H444</f>
        <v>20728.86</v>
      </c>
      <c r="C444">
        <f>DATA!L444</f>
        <v>33648.46</v>
      </c>
      <c r="D444" s="12">
        <f>DATA!M444</f>
        <v>1</v>
      </c>
    </row>
    <row r="445" spans="1:4" x14ac:dyDescent="0.3">
      <c r="A445">
        <v>10</v>
      </c>
      <c r="B445">
        <f>DATA!H445</f>
        <v>10982.07</v>
      </c>
      <c r="C445">
        <f>DATA!L445</f>
        <v>107521.29</v>
      </c>
      <c r="D445" s="12">
        <f>DATA!M445</f>
        <v>0</v>
      </c>
    </row>
    <row r="446" spans="1:4" x14ac:dyDescent="0.3">
      <c r="A446">
        <v>0</v>
      </c>
      <c r="B446">
        <f>DATA!H446</f>
        <v>43219.63</v>
      </c>
      <c r="C446">
        <f>DATA!L446</f>
        <v>148736.87</v>
      </c>
      <c r="D446" s="12">
        <f>DATA!M446</f>
        <v>1</v>
      </c>
    </row>
    <row r="447" spans="1:4" x14ac:dyDescent="0.3">
      <c r="A447">
        <v>7</v>
      </c>
      <c r="B447">
        <f>DATA!H447</f>
        <v>114966.17</v>
      </c>
      <c r="C447">
        <f>DATA!L447</f>
        <v>136504.93</v>
      </c>
      <c r="D447" s="12">
        <f>DATA!M447</f>
        <v>1</v>
      </c>
    </row>
    <row r="448" spans="1:4" x14ac:dyDescent="0.3">
      <c r="A448">
        <v>6</v>
      </c>
      <c r="B448">
        <f>DATA!H448</f>
        <v>125191.91</v>
      </c>
      <c r="C448">
        <f>DATA!L448</f>
        <v>74035.929999999993</v>
      </c>
      <c r="D448" s="12">
        <f>DATA!M448</f>
        <v>1</v>
      </c>
    </row>
    <row r="449" spans="1:4" x14ac:dyDescent="0.3">
      <c r="A449">
        <v>7</v>
      </c>
      <c r="B449">
        <f>DATA!H449</f>
        <v>228816.63</v>
      </c>
      <c r="C449">
        <f>DATA!L449</f>
        <v>52394</v>
      </c>
      <c r="D449" s="12">
        <f>DATA!M449</f>
        <v>0</v>
      </c>
    </row>
    <row r="450" spans="1:4" x14ac:dyDescent="0.3">
      <c r="A450">
        <v>10</v>
      </c>
      <c r="B450">
        <f>DATA!H450</f>
        <v>104917.3</v>
      </c>
      <c r="C450">
        <f>DATA!L450</f>
        <v>72303.199999999997</v>
      </c>
      <c r="D450" s="12">
        <f>DATA!M450</f>
        <v>1</v>
      </c>
    </row>
    <row r="451" spans="1:4" x14ac:dyDescent="0.3">
      <c r="A451">
        <v>9</v>
      </c>
      <c r="B451">
        <f>DATA!H451</f>
        <v>26944.7</v>
      </c>
      <c r="C451">
        <f>DATA!L451</f>
        <v>88360.27</v>
      </c>
      <c r="D451" s="12">
        <f>DATA!M451</f>
        <v>0</v>
      </c>
    </row>
    <row r="452" spans="1:4" x14ac:dyDescent="0.3">
      <c r="A452">
        <v>0</v>
      </c>
      <c r="B452">
        <f>DATA!H452</f>
        <v>57728.98</v>
      </c>
      <c r="C452">
        <f>DATA!L452</f>
        <v>46958.37</v>
      </c>
      <c r="D452" s="12">
        <f>DATA!M452</f>
        <v>0</v>
      </c>
    </row>
    <row r="453" spans="1:4" x14ac:dyDescent="0.3">
      <c r="A453">
        <v>9</v>
      </c>
      <c r="B453">
        <f>DATA!H453</f>
        <v>236352.17</v>
      </c>
      <c r="C453">
        <f>DATA!L453</f>
        <v>111036.69</v>
      </c>
      <c r="D453" s="12">
        <f>DATA!M453</f>
        <v>1</v>
      </c>
    </row>
    <row r="454" spans="1:4" x14ac:dyDescent="0.3">
      <c r="A454">
        <v>4</v>
      </c>
      <c r="B454">
        <f>DATA!H454</f>
        <v>148788.01</v>
      </c>
      <c r="C454">
        <f>DATA!L454</f>
        <v>13370.94</v>
      </c>
      <c r="D454" s="12">
        <f>DATA!M454</f>
        <v>1</v>
      </c>
    </row>
    <row r="455" spans="1:4" x14ac:dyDescent="0.3">
      <c r="A455">
        <v>8</v>
      </c>
      <c r="B455">
        <f>DATA!H455</f>
        <v>88835.65</v>
      </c>
      <c r="C455">
        <f>DATA!L455</f>
        <v>141964.46</v>
      </c>
      <c r="D455" s="12">
        <f>DATA!M455</f>
        <v>0</v>
      </c>
    </row>
    <row r="456" spans="1:4" x14ac:dyDescent="0.3">
      <c r="A456">
        <v>5</v>
      </c>
      <c r="B456">
        <f>DATA!H456</f>
        <v>223177.88</v>
      </c>
      <c r="C456">
        <f>DATA!L456</f>
        <v>111640.94</v>
      </c>
      <c r="D456" s="12">
        <f>DATA!M456</f>
        <v>0</v>
      </c>
    </row>
    <row r="457" spans="1:4" x14ac:dyDescent="0.3">
      <c r="A457">
        <v>2</v>
      </c>
      <c r="B457">
        <f>DATA!H457</f>
        <v>75143.55</v>
      </c>
      <c r="C457">
        <f>DATA!L457</f>
        <v>132228.18</v>
      </c>
      <c r="D457" s="12">
        <f>DATA!M457</f>
        <v>0</v>
      </c>
    </row>
    <row r="458" spans="1:4" x14ac:dyDescent="0.3">
      <c r="A458">
        <v>5</v>
      </c>
      <c r="B458">
        <f>DATA!H458</f>
        <v>220273.68</v>
      </c>
      <c r="C458">
        <f>DATA!L458</f>
        <v>57395.97</v>
      </c>
      <c r="D458" s="12">
        <f>DATA!M458</f>
        <v>0</v>
      </c>
    </row>
    <row r="459" spans="1:4" x14ac:dyDescent="0.3">
      <c r="A459">
        <v>4</v>
      </c>
      <c r="B459">
        <f>DATA!H459</f>
        <v>30283.43</v>
      </c>
      <c r="C459">
        <f>DATA!L459</f>
        <v>140478.74</v>
      </c>
      <c r="D459" s="12">
        <f>DATA!M459</f>
        <v>1</v>
      </c>
    </row>
    <row r="460" spans="1:4" x14ac:dyDescent="0.3">
      <c r="A460">
        <v>1</v>
      </c>
      <c r="B460">
        <f>DATA!H460</f>
        <v>234557.34</v>
      </c>
      <c r="C460">
        <f>DATA!L460</f>
        <v>148617.01</v>
      </c>
      <c r="D460" s="12">
        <f>DATA!M460</f>
        <v>1</v>
      </c>
    </row>
    <row r="461" spans="1:4" x14ac:dyDescent="0.3">
      <c r="A461">
        <v>0</v>
      </c>
      <c r="B461">
        <f>DATA!H461</f>
        <v>234421.59</v>
      </c>
      <c r="C461">
        <f>DATA!L461</f>
        <v>35122.36</v>
      </c>
      <c r="D461" s="12">
        <f>DATA!M461</f>
        <v>1</v>
      </c>
    </row>
    <row r="462" spans="1:4" x14ac:dyDescent="0.3">
      <c r="A462">
        <v>2</v>
      </c>
      <c r="B462">
        <f>DATA!H462</f>
        <v>86317.46</v>
      </c>
      <c r="C462">
        <f>DATA!L462</f>
        <v>90411.33</v>
      </c>
      <c r="D462" s="12">
        <f>DATA!M462</f>
        <v>1</v>
      </c>
    </row>
    <row r="463" spans="1:4" x14ac:dyDescent="0.3">
      <c r="A463">
        <v>5</v>
      </c>
      <c r="B463">
        <f>DATA!H463</f>
        <v>4387.1899999999996</v>
      </c>
      <c r="C463">
        <f>DATA!L463</f>
        <v>131348.78</v>
      </c>
      <c r="D463" s="12">
        <f>DATA!M463</f>
        <v>1</v>
      </c>
    </row>
    <row r="464" spans="1:4" x14ac:dyDescent="0.3">
      <c r="A464">
        <v>4</v>
      </c>
      <c r="B464">
        <f>DATA!H464</f>
        <v>88260.36</v>
      </c>
      <c r="C464">
        <f>DATA!L464</f>
        <v>16813.419999999998</v>
      </c>
      <c r="D464" s="12">
        <f>DATA!M464</f>
        <v>1</v>
      </c>
    </row>
    <row r="465" spans="1:4" x14ac:dyDescent="0.3">
      <c r="A465">
        <v>2</v>
      </c>
      <c r="B465">
        <f>DATA!H465</f>
        <v>45202.75</v>
      </c>
      <c r="C465">
        <f>DATA!L465</f>
        <v>118614.97</v>
      </c>
      <c r="D465" s="12">
        <f>DATA!M465</f>
        <v>0</v>
      </c>
    </row>
    <row r="466" spans="1:4" x14ac:dyDescent="0.3">
      <c r="A466">
        <v>7</v>
      </c>
      <c r="B466">
        <f>DATA!H466</f>
        <v>66516.78</v>
      </c>
      <c r="C466">
        <f>DATA!L466</f>
        <v>14893.47</v>
      </c>
      <c r="D466" s="12">
        <f>DATA!M466</f>
        <v>1</v>
      </c>
    </row>
    <row r="467" spans="1:4" x14ac:dyDescent="0.3">
      <c r="A467">
        <v>3</v>
      </c>
      <c r="B467">
        <f>DATA!H467</f>
        <v>156420.72</v>
      </c>
      <c r="C467">
        <f>DATA!L467</f>
        <v>101660.52</v>
      </c>
      <c r="D467" s="12">
        <f>DATA!M467</f>
        <v>0</v>
      </c>
    </row>
    <row r="468" spans="1:4" x14ac:dyDescent="0.3">
      <c r="A468">
        <v>5</v>
      </c>
      <c r="B468">
        <f>DATA!H468</f>
        <v>110774.55</v>
      </c>
      <c r="C468">
        <f>DATA!L468</f>
        <v>23399.15</v>
      </c>
      <c r="D468" s="12">
        <f>DATA!M468</f>
        <v>1</v>
      </c>
    </row>
    <row r="469" spans="1:4" x14ac:dyDescent="0.3">
      <c r="A469">
        <v>10</v>
      </c>
      <c r="B469">
        <f>DATA!H469</f>
        <v>184078.17</v>
      </c>
      <c r="C469">
        <f>DATA!L469</f>
        <v>24061.040000000001</v>
      </c>
      <c r="D469" s="12">
        <f>DATA!M469</f>
        <v>1</v>
      </c>
    </row>
    <row r="470" spans="1:4" x14ac:dyDescent="0.3">
      <c r="A470">
        <v>6</v>
      </c>
      <c r="B470">
        <f>DATA!H470</f>
        <v>159259.26</v>
      </c>
      <c r="C470">
        <f>DATA!L470</f>
        <v>50254.16</v>
      </c>
      <c r="D470" s="12">
        <f>DATA!M470</f>
        <v>0</v>
      </c>
    </row>
    <row r="471" spans="1:4" x14ac:dyDescent="0.3">
      <c r="A471">
        <v>4</v>
      </c>
      <c r="B471">
        <f>DATA!H471</f>
        <v>75139.3</v>
      </c>
      <c r="C471">
        <f>DATA!L471</f>
        <v>62313.56</v>
      </c>
      <c r="D471" s="12">
        <f>DATA!M471</f>
        <v>0</v>
      </c>
    </row>
    <row r="472" spans="1:4" x14ac:dyDescent="0.3">
      <c r="A472">
        <v>9</v>
      </c>
      <c r="B472">
        <f>DATA!H472</f>
        <v>80969.13</v>
      </c>
      <c r="C472">
        <f>DATA!L472</f>
        <v>80855.009999999995</v>
      </c>
      <c r="D472" s="12">
        <f>DATA!M472</f>
        <v>1</v>
      </c>
    </row>
    <row r="473" spans="1:4" x14ac:dyDescent="0.3">
      <c r="A473">
        <v>8</v>
      </c>
      <c r="B473">
        <f>DATA!H473</f>
        <v>199536.6</v>
      </c>
      <c r="C473">
        <f>DATA!L473</f>
        <v>19461.59</v>
      </c>
      <c r="D473" s="12">
        <f>DATA!M473</f>
        <v>1</v>
      </c>
    </row>
    <row r="474" spans="1:4" x14ac:dyDescent="0.3">
      <c r="A474">
        <v>0</v>
      </c>
      <c r="B474">
        <f>DATA!H474</f>
        <v>133040.76</v>
      </c>
      <c r="C474">
        <f>DATA!L474</f>
        <v>64833.38</v>
      </c>
      <c r="D474" s="12">
        <f>DATA!M474</f>
        <v>0</v>
      </c>
    </row>
    <row r="475" spans="1:4" x14ac:dyDescent="0.3">
      <c r="A475">
        <v>10</v>
      </c>
      <c r="B475">
        <f>DATA!H475</f>
        <v>31845.15</v>
      </c>
      <c r="C475">
        <f>DATA!L475</f>
        <v>144035.23000000001</v>
      </c>
      <c r="D475" s="12">
        <f>DATA!M475</f>
        <v>1</v>
      </c>
    </row>
    <row r="476" spans="1:4" x14ac:dyDescent="0.3">
      <c r="A476">
        <v>10</v>
      </c>
      <c r="B476">
        <f>DATA!H476</f>
        <v>146680.78</v>
      </c>
      <c r="C476">
        <f>DATA!L476</f>
        <v>76895.64</v>
      </c>
      <c r="D476" s="12">
        <f>DATA!M476</f>
        <v>0</v>
      </c>
    </row>
    <row r="477" spans="1:4" x14ac:dyDescent="0.3">
      <c r="A477">
        <v>0</v>
      </c>
      <c r="B477">
        <f>DATA!H477</f>
        <v>34494.730000000003</v>
      </c>
      <c r="C477">
        <f>DATA!L477</f>
        <v>146557.31</v>
      </c>
      <c r="D477" s="12">
        <f>DATA!M477</f>
        <v>0</v>
      </c>
    </row>
    <row r="478" spans="1:4" x14ac:dyDescent="0.3">
      <c r="A478">
        <v>2</v>
      </c>
      <c r="B478">
        <f>DATA!H478</f>
        <v>217177.04</v>
      </c>
      <c r="C478">
        <f>DATA!L478</f>
        <v>142428.82999999999</v>
      </c>
      <c r="D478" s="12">
        <f>DATA!M478</f>
        <v>1</v>
      </c>
    </row>
    <row r="479" spans="1:4" x14ac:dyDescent="0.3">
      <c r="A479">
        <v>6</v>
      </c>
      <c r="B479">
        <f>DATA!H479</f>
        <v>32317.55</v>
      </c>
      <c r="C479">
        <f>DATA!L479</f>
        <v>48172.94</v>
      </c>
      <c r="D479" s="12">
        <f>DATA!M479</f>
        <v>1</v>
      </c>
    </row>
    <row r="480" spans="1:4" x14ac:dyDescent="0.3">
      <c r="A480">
        <v>1</v>
      </c>
      <c r="B480">
        <f>DATA!H480</f>
        <v>167352.03</v>
      </c>
      <c r="C480">
        <f>DATA!L480</f>
        <v>124013.91</v>
      </c>
      <c r="D480" s="12">
        <f>DATA!M480</f>
        <v>0</v>
      </c>
    </row>
    <row r="481" spans="1:4" x14ac:dyDescent="0.3">
      <c r="A481">
        <v>5</v>
      </c>
      <c r="B481">
        <f>DATA!H481</f>
        <v>224202.59</v>
      </c>
      <c r="C481">
        <f>DATA!L481</f>
        <v>58513.24</v>
      </c>
      <c r="D481" s="12">
        <f>DATA!M481</f>
        <v>0</v>
      </c>
    </row>
    <row r="482" spans="1:4" x14ac:dyDescent="0.3">
      <c r="A482">
        <v>9</v>
      </c>
      <c r="B482">
        <f>DATA!H482</f>
        <v>24530.880000000001</v>
      </c>
      <c r="C482">
        <f>DATA!L482</f>
        <v>100372.28</v>
      </c>
      <c r="D482" s="12">
        <f>DATA!M482</f>
        <v>0</v>
      </c>
    </row>
    <row r="483" spans="1:4" x14ac:dyDescent="0.3">
      <c r="A483">
        <v>5</v>
      </c>
      <c r="B483">
        <f>DATA!H483</f>
        <v>132558.04</v>
      </c>
      <c r="C483">
        <f>DATA!L483</f>
        <v>55627.46</v>
      </c>
      <c r="D483" s="12">
        <f>DATA!M483</f>
        <v>0</v>
      </c>
    </row>
    <row r="484" spans="1:4" x14ac:dyDescent="0.3">
      <c r="A484">
        <v>2</v>
      </c>
      <c r="B484">
        <f>DATA!H484</f>
        <v>239522.72</v>
      </c>
      <c r="C484">
        <f>DATA!L484</f>
        <v>37534.69</v>
      </c>
      <c r="D484" s="12">
        <f>DATA!M484</f>
        <v>0</v>
      </c>
    </row>
    <row r="485" spans="1:4" x14ac:dyDescent="0.3">
      <c r="A485">
        <v>3</v>
      </c>
      <c r="B485">
        <f>DATA!H485</f>
        <v>69485.69</v>
      </c>
      <c r="C485">
        <f>DATA!L485</f>
        <v>91069.46</v>
      </c>
      <c r="D485" s="12">
        <f>DATA!M485</f>
        <v>0</v>
      </c>
    </row>
    <row r="486" spans="1:4" x14ac:dyDescent="0.3">
      <c r="A486">
        <v>3</v>
      </c>
      <c r="B486">
        <f>DATA!H486</f>
        <v>70266.98</v>
      </c>
      <c r="C486">
        <f>DATA!L486</f>
        <v>129097.79</v>
      </c>
      <c r="D486" s="12">
        <f>DATA!M486</f>
        <v>1</v>
      </c>
    </row>
    <row r="487" spans="1:4" x14ac:dyDescent="0.3">
      <c r="A487">
        <v>3</v>
      </c>
      <c r="B487">
        <f>DATA!H487</f>
        <v>117513.1</v>
      </c>
      <c r="C487">
        <f>DATA!L487</f>
        <v>143986.04</v>
      </c>
      <c r="D487" s="12">
        <f>DATA!M487</f>
        <v>1</v>
      </c>
    </row>
    <row r="488" spans="1:4" x14ac:dyDescent="0.3">
      <c r="A488">
        <v>8</v>
      </c>
      <c r="B488">
        <f>DATA!H488</f>
        <v>236925.82</v>
      </c>
      <c r="C488">
        <f>DATA!L488</f>
        <v>46753.37</v>
      </c>
      <c r="D488" s="12">
        <f>DATA!M488</f>
        <v>1</v>
      </c>
    </row>
    <row r="489" spans="1:4" x14ac:dyDescent="0.3">
      <c r="A489">
        <v>5</v>
      </c>
      <c r="B489">
        <f>DATA!H489</f>
        <v>200253.42</v>
      </c>
      <c r="C489">
        <f>DATA!L489</f>
        <v>105135.87</v>
      </c>
      <c r="D489" s="12">
        <f>DATA!M489</f>
        <v>0</v>
      </c>
    </row>
    <row r="490" spans="1:4" x14ac:dyDescent="0.3">
      <c r="A490">
        <v>9</v>
      </c>
      <c r="B490">
        <f>DATA!H490</f>
        <v>67796.41</v>
      </c>
      <c r="C490">
        <f>DATA!L490</f>
        <v>125551.64</v>
      </c>
      <c r="D490" s="12">
        <f>DATA!M490</f>
        <v>0</v>
      </c>
    </row>
    <row r="491" spans="1:4" x14ac:dyDescent="0.3">
      <c r="A491">
        <v>5</v>
      </c>
      <c r="B491">
        <f>DATA!H491</f>
        <v>57896.34</v>
      </c>
      <c r="C491">
        <f>DATA!L491</f>
        <v>39633.65</v>
      </c>
      <c r="D491" s="12">
        <f>DATA!M491</f>
        <v>0</v>
      </c>
    </row>
    <row r="492" spans="1:4" x14ac:dyDescent="0.3">
      <c r="A492">
        <v>1</v>
      </c>
      <c r="B492">
        <f>DATA!H492</f>
        <v>49654.19</v>
      </c>
      <c r="C492">
        <f>DATA!L492</f>
        <v>81684.84</v>
      </c>
      <c r="D492" s="12">
        <f>DATA!M492</f>
        <v>1</v>
      </c>
    </row>
    <row r="493" spans="1:4" x14ac:dyDescent="0.3">
      <c r="A493">
        <v>8</v>
      </c>
      <c r="B493">
        <f>DATA!H493</f>
        <v>107431.37</v>
      </c>
      <c r="C493">
        <f>DATA!L493</f>
        <v>136772.28</v>
      </c>
      <c r="D493" s="12">
        <f>DATA!M493</f>
        <v>0</v>
      </c>
    </row>
    <row r="494" spans="1:4" x14ac:dyDescent="0.3">
      <c r="A494">
        <v>10</v>
      </c>
      <c r="B494">
        <f>DATA!H494</f>
        <v>201976.42</v>
      </c>
      <c r="C494">
        <f>DATA!L494</f>
        <v>131084.15</v>
      </c>
      <c r="D494" s="12">
        <f>DATA!M494</f>
        <v>0</v>
      </c>
    </row>
    <row r="495" spans="1:4" x14ac:dyDescent="0.3">
      <c r="A495">
        <v>7</v>
      </c>
      <c r="B495">
        <f>DATA!H495</f>
        <v>38075.550000000003</v>
      </c>
      <c r="C495">
        <f>DATA!L495</f>
        <v>11580.61</v>
      </c>
      <c r="D495" s="12">
        <f>DATA!M495</f>
        <v>0</v>
      </c>
    </row>
    <row r="496" spans="1:4" x14ac:dyDescent="0.3">
      <c r="A496">
        <v>7</v>
      </c>
      <c r="B496">
        <f>DATA!H496</f>
        <v>154264.92000000001</v>
      </c>
      <c r="C496">
        <f>DATA!L496</f>
        <v>97382.98</v>
      </c>
      <c r="D496" s="12">
        <f>DATA!M496</f>
        <v>1</v>
      </c>
    </row>
    <row r="497" spans="1:4" x14ac:dyDescent="0.3">
      <c r="A497">
        <v>1</v>
      </c>
      <c r="B497">
        <f>DATA!H497</f>
        <v>118072.6</v>
      </c>
      <c r="C497">
        <f>DATA!L497</f>
        <v>98955.37</v>
      </c>
      <c r="D497" s="12">
        <f>DATA!M497</f>
        <v>1</v>
      </c>
    </row>
    <row r="498" spans="1:4" x14ac:dyDescent="0.3">
      <c r="A498">
        <v>9</v>
      </c>
      <c r="B498">
        <f>DATA!H498</f>
        <v>161580.20000000001</v>
      </c>
      <c r="C498">
        <f>DATA!L498</f>
        <v>148752.49</v>
      </c>
      <c r="D498" s="12">
        <f>DATA!M498</f>
        <v>0</v>
      </c>
    </row>
    <row r="499" spans="1:4" x14ac:dyDescent="0.3">
      <c r="A499">
        <v>0</v>
      </c>
      <c r="B499">
        <f>DATA!H499</f>
        <v>100871.3</v>
      </c>
      <c r="C499">
        <f>DATA!L499</f>
        <v>106391.64</v>
      </c>
      <c r="D499" s="12">
        <f>DATA!M499</f>
        <v>1</v>
      </c>
    </row>
    <row r="500" spans="1:4" x14ac:dyDescent="0.3">
      <c r="A500">
        <v>9</v>
      </c>
      <c r="B500">
        <f>DATA!H500</f>
        <v>189955.55</v>
      </c>
      <c r="C500">
        <f>DATA!L500</f>
        <v>85565.14</v>
      </c>
      <c r="D500" s="12">
        <f>DATA!M500</f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2BEC4-EE69-4520-808A-5BB14CF5B473}">
  <dimension ref="A1:L500"/>
  <sheetViews>
    <sheetView workbookViewId="0">
      <selection activeCell="J14" sqref="J14"/>
    </sheetView>
  </sheetViews>
  <sheetFormatPr defaultRowHeight="14.4" x14ac:dyDescent="0.3"/>
  <cols>
    <col min="1" max="1" width="15.21875" bestFit="1" customWidth="1"/>
    <col min="2" max="2" width="13.6640625" customWidth="1"/>
    <col min="4" max="4" width="17.77734375" bestFit="1" customWidth="1"/>
    <col min="5" max="5" width="12.6640625" bestFit="1" customWidth="1"/>
    <col min="6" max="6" width="13.44140625" bestFit="1" customWidth="1"/>
    <col min="7" max="7" width="12.6640625" bestFit="1" customWidth="1"/>
    <col min="8" max="8" width="12.44140625" bestFit="1" customWidth="1"/>
    <col min="9" max="12" width="12.6640625" bestFit="1" customWidth="1"/>
  </cols>
  <sheetData>
    <row r="1" spans="1:9" s="10" customFormat="1" x14ac:dyDescent="0.3">
      <c r="A1" s="10" t="str" cm="1">
        <f t="array" ref="A1:A500">DATA!S1:S500</f>
        <v>Gender Category</v>
      </c>
      <c r="B1" s="10" t="str">
        <f>DATA!M1</f>
        <v>Churn</v>
      </c>
    </row>
    <row r="2" spans="1:9" x14ac:dyDescent="0.3">
      <c r="A2">
        <v>1</v>
      </c>
      <c r="B2">
        <f>DATA!M2</f>
        <v>0</v>
      </c>
    </row>
    <row r="3" spans="1:9" x14ac:dyDescent="0.3">
      <c r="A3">
        <v>2</v>
      </c>
      <c r="B3">
        <f>DATA!M3</f>
        <v>0</v>
      </c>
      <c r="D3" t="s">
        <v>63</v>
      </c>
    </row>
    <row r="4" spans="1:9" ht="15" thickBot="1" x14ac:dyDescent="0.35">
      <c r="A4">
        <v>1</v>
      </c>
      <c r="B4">
        <f>DATA!M4</f>
        <v>0</v>
      </c>
    </row>
    <row r="5" spans="1:9" x14ac:dyDescent="0.3">
      <c r="A5">
        <v>2</v>
      </c>
      <c r="B5">
        <f>DATA!M5</f>
        <v>0</v>
      </c>
      <c r="D5" s="15" t="s">
        <v>64</v>
      </c>
      <c r="E5" s="15"/>
    </row>
    <row r="6" spans="1:9" x14ac:dyDescent="0.3">
      <c r="A6">
        <v>2</v>
      </c>
      <c r="B6">
        <f>DATA!M6</f>
        <v>0</v>
      </c>
      <c r="D6" t="s">
        <v>65</v>
      </c>
      <c r="E6" s="4">
        <v>9.3688539576951668E-2</v>
      </c>
    </row>
    <row r="7" spans="1:9" x14ac:dyDescent="0.3">
      <c r="A7">
        <v>2</v>
      </c>
      <c r="B7">
        <f>DATA!M7</f>
        <v>0</v>
      </c>
      <c r="D7" s="28" t="s">
        <v>66</v>
      </c>
      <c r="E7" s="29">
        <v>8.7775424480620399E-3</v>
      </c>
    </row>
    <row r="8" spans="1:9" x14ac:dyDescent="0.3">
      <c r="A8">
        <v>2</v>
      </c>
      <c r="B8">
        <f>DATA!M8</f>
        <v>0</v>
      </c>
      <c r="D8" t="s">
        <v>67</v>
      </c>
      <c r="E8" s="4">
        <v>6.7831310646577388E-3</v>
      </c>
    </row>
    <row r="9" spans="1:9" x14ac:dyDescent="0.3">
      <c r="A9">
        <v>1</v>
      </c>
      <c r="B9">
        <f>DATA!M9</f>
        <v>1</v>
      </c>
      <c r="D9" t="s">
        <v>68</v>
      </c>
      <c r="E9" s="4">
        <v>0.49676899236706173</v>
      </c>
    </row>
    <row r="10" spans="1:9" ht="15" thickBot="1" x14ac:dyDescent="0.35">
      <c r="A10">
        <v>2</v>
      </c>
      <c r="B10">
        <f>DATA!M10</f>
        <v>1</v>
      </c>
      <c r="D10" s="13" t="s">
        <v>69</v>
      </c>
      <c r="E10" s="16">
        <v>499</v>
      </c>
    </row>
    <row r="11" spans="1:9" x14ac:dyDescent="0.3">
      <c r="A11">
        <v>2</v>
      </c>
      <c r="B11">
        <f>DATA!M11</f>
        <v>1</v>
      </c>
    </row>
    <row r="12" spans="1:9" ht="15" thickBot="1" x14ac:dyDescent="0.35">
      <c r="A12">
        <v>2</v>
      </c>
      <c r="B12">
        <f>DATA!M12</f>
        <v>1</v>
      </c>
      <c r="D12" t="s">
        <v>70</v>
      </c>
    </row>
    <row r="13" spans="1:9" x14ac:dyDescent="0.3">
      <c r="A13">
        <v>1</v>
      </c>
      <c r="B13">
        <f>DATA!M13</f>
        <v>1</v>
      </c>
      <c r="D13" s="14"/>
      <c r="E13" s="14" t="s">
        <v>75</v>
      </c>
      <c r="F13" s="14" t="s">
        <v>76</v>
      </c>
      <c r="G13" s="14" t="s">
        <v>77</v>
      </c>
      <c r="H13" s="14" t="s">
        <v>78</v>
      </c>
      <c r="I13" s="14" t="s">
        <v>79</v>
      </c>
    </row>
    <row r="14" spans="1:9" x14ac:dyDescent="0.3">
      <c r="A14">
        <v>2</v>
      </c>
      <c r="B14">
        <f>DATA!M14</f>
        <v>0</v>
      </c>
      <c r="D14" t="s">
        <v>71</v>
      </c>
      <c r="E14" s="4">
        <v>1</v>
      </c>
      <c r="F14" s="4">
        <v>1.0860933485233346</v>
      </c>
      <c r="G14" s="4">
        <v>1.0860933485233346</v>
      </c>
      <c r="H14" s="4">
        <v>4.4010691681269245</v>
      </c>
      <c r="I14" s="4">
        <v>3.6420765448458563E-2</v>
      </c>
    </row>
    <row r="15" spans="1:9" x14ac:dyDescent="0.3">
      <c r="A15">
        <v>1</v>
      </c>
      <c r="B15">
        <f>DATA!M15</f>
        <v>1</v>
      </c>
      <c r="D15" t="s">
        <v>72</v>
      </c>
      <c r="E15" s="4">
        <v>497</v>
      </c>
      <c r="F15" s="4">
        <v>122.64937759336075</v>
      </c>
      <c r="G15" s="4">
        <v>0.24677943177738582</v>
      </c>
      <c r="H15" s="4"/>
      <c r="I15" s="4"/>
    </row>
    <row r="16" spans="1:9" ht="15" thickBot="1" x14ac:dyDescent="0.35">
      <c r="A16">
        <v>1</v>
      </c>
      <c r="B16">
        <f>DATA!M16</f>
        <v>0</v>
      </c>
      <c r="D16" s="13" t="s">
        <v>73</v>
      </c>
      <c r="E16" s="16">
        <v>498</v>
      </c>
      <c r="F16" s="16">
        <v>123.73547094188409</v>
      </c>
      <c r="G16" s="16"/>
      <c r="H16" s="16"/>
      <c r="I16" s="16"/>
    </row>
    <row r="17" spans="1:12" ht="15" thickBot="1" x14ac:dyDescent="0.35">
      <c r="A17">
        <v>2</v>
      </c>
      <c r="B17">
        <f>DATA!M17</f>
        <v>1</v>
      </c>
    </row>
    <row r="18" spans="1:12" x14ac:dyDescent="0.3">
      <c r="A18">
        <v>1</v>
      </c>
      <c r="B18">
        <f>DATA!M18</f>
        <v>1</v>
      </c>
      <c r="D18" s="14"/>
      <c r="E18" s="24" t="s">
        <v>80</v>
      </c>
      <c r="F18" s="14" t="s">
        <v>68</v>
      </c>
      <c r="G18" s="14" t="s">
        <v>81</v>
      </c>
      <c r="H18" s="14" t="s">
        <v>82</v>
      </c>
      <c r="I18" s="14" t="s">
        <v>83</v>
      </c>
      <c r="J18" s="14" t="s">
        <v>84</v>
      </c>
      <c r="K18" s="14" t="s">
        <v>85</v>
      </c>
      <c r="L18" s="14" t="s">
        <v>86</v>
      </c>
    </row>
    <row r="19" spans="1:12" x14ac:dyDescent="0.3">
      <c r="A19">
        <v>1</v>
      </c>
      <c r="B19">
        <f>DATA!M19</f>
        <v>0</v>
      </c>
      <c r="D19" s="2" t="s">
        <v>74</v>
      </c>
      <c r="E19" s="22">
        <v>0.68672199170124504</v>
      </c>
      <c r="F19" s="4">
        <v>7.1080472735987874E-2</v>
      </c>
      <c r="G19" s="4">
        <v>9.6611905530217346</v>
      </c>
      <c r="H19" s="4">
        <v>2.3739127496039884E-20</v>
      </c>
      <c r="I19" s="4">
        <v>0.54706673143641649</v>
      </c>
      <c r="J19" s="4">
        <v>0.82637725196607359</v>
      </c>
      <c r="K19" s="4">
        <v>0.54706673143641649</v>
      </c>
      <c r="L19" s="4">
        <v>0.82637725196607359</v>
      </c>
    </row>
    <row r="20" spans="1:12" ht="15" thickBot="1" x14ac:dyDescent="0.35">
      <c r="A20">
        <v>2</v>
      </c>
      <c r="B20">
        <f>DATA!M20</f>
        <v>1</v>
      </c>
      <c r="D20" s="26" t="s">
        <v>61</v>
      </c>
      <c r="E20" s="27">
        <v>-9.3360995850622533E-2</v>
      </c>
      <c r="F20" s="16">
        <v>4.4502701830486484E-2</v>
      </c>
      <c r="G20" s="16">
        <v>-2.0978725338124478</v>
      </c>
      <c r="H20" s="23">
        <v>3.642076544850651E-2</v>
      </c>
      <c r="I20" s="16">
        <v>-0.18079761757525542</v>
      </c>
      <c r="J20" s="16">
        <v>-5.9243741259896593E-3</v>
      </c>
      <c r="K20" s="16">
        <v>-0.18079761757525542</v>
      </c>
      <c r="L20" s="16">
        <v>-5.9243741259896593E-3</v>
      </c>
    </row>
    <row r="21" spans="1:12" x14ac:dyDescent="0.3">
      <c r="A21">
        <v>2</v>
      </c>
      <c r="B21">
        <f>DATA!M21</f>
        <v>0</v>
      </c>
    </row>
    <row r="22" spans="1:12" x14ac:dyDescent="0.3">
      <c r="A22">
        <v>1</v>
      </c>
      <c r="B22">
        <f>DATA!M22</f>
        <v>1</v>
      </c>
    </row>
    <row r="23" spans="1:12" x14ac:dyDescent="0.3">
      <c r="A23">
        <v>2</v>
      </c>
      <c r="B23">
        <f>DATA!M23</f>
        <v>0</v>
      </c>
      <c r="D23" s="35">
        <f>F23+(H23*J23)</f>
        <v>0.5</v>
      </c>
      <c r="E23" s="34" t="s">
        <v>125</v>
      </c>
      <c r="F23" s="35">
        <f>E19</f>
        <v>0.68672199170124504</v>
      </c>
      <c r="G23" s="34" t="s">
        <v>124</v>
      </c>
      <c r="H23" s="35">
        <f>E20</f>
        <v>-9.3360995850622533E-2</v>
      </c>
      <c r="I23" s="34" t="s">
        <v>126</v>
      </c>
      <c r="J23" s="34">
        <v>2</v>
      </c>
    </row>
    <row r="24" spans="1:12" x14ac:dyDescent="0.3">
      <c r="A24">
        <v>1</v>
      </c>
      <c r="B24">
        <f>DATA!M24</f>
        <v>1</v>
      </c>
      <c r="J24" s="36"/>
    </row>
    <row r="25" spans="1:12" x14ac:dyDescent="0.3">
      <c r="A25">
        <v>2</v>
      </c>
      <c r="B25">
        <f>DATA!M25</f>
        <v>0</v>
      </c>
    </row>
    <row r="26" spans="1:12" x14ac:dyDescent="0.3">
      <c r="A26">
        <v>2</v>
      </c>
      <c r="B26">
        <f>DATA!M26</f>
        <v>0</v>
      </c>
    </row>
    <row r="27" spans="1:12" x14ac:dyDescent="0.3">
      <c r="A27">
        <v>2</v>
      </c>
      <c r="B27">
        <f>DATA!M27</f>
        <v>0</v>
      </c>
    </row>
    <row r="28" spans="1:12" x14ac:dyDescent="0.3">
      <c r="A28">
        <v>1</v>
      </c>
      <c r="B28">
        <f>DATA!M28</f>
        <v>1</v>
      </c>
    </row>
    <row r="29" spans="1:12" x14ac:dyDescent="0.3">
      <c r="A29">
        <v>1</v>
      </c>
      <c r="B29">
        <f>DATA!M29</f>
        <v>0</v>
      </c>
    </row>
    <row r="30" spans="1:12" x14ac:dyDescent="0.3">
      <c r="A30">
        <v>1</v>
      </c>
      <c r="B30">
        <f>DATA!M30</f>
        <v>1</v>
      </c>
    </row>
    <row r="31" spans="1:12" x14ac:dyDescent="0.3">
      <c r="A31">
        <v>2</v>
      </c>
      <c r="B31">
        <f>DATA!M31</f>
        <v>1</v>
      </c>
    </row>
    <row r="32" spans="1:12" x14ac:dyDescent="0.3">
      <c r="A32">
        <v>1</v>
      </c>
      <c r="B32">
        <f>DATA!M32</f>
        <v>1</v>
      </c>
    </row>
    <row r="33" spans="1:2" x14ac:dyDescent="0.3">
      <c r="A33">
        <v>2</v>
      </c>
      <c r="B33">
        <f>DATA!M33</f>
        <v>1</v>
      </c>
    </row>
    <row r="34" spans="1:2" x14ac:dyDescent="0.3">
      <c r="A34">
        <v>2</v>
      </c>
      <c r="B34">
        <f>DATA!M34</f>
        <v>1</v>
      </c>
    </row>
    <row r="35" spans="1:2" x14ac:dyDescent="0.3">
      <c r="A35">
        <v>1</v>
      </c>
      <c r="B35">
        <f>DATA!M35</f>
        <v>0</v>
      </c>
    </row>
    <row r="36" spans="1:2" x14ac:dyDescent="0.3">
      <c r="A36">
        <v>2</v>
      </c>
      <c r="B36">
        <f>DATA!M36</f>
        <v>1</v>
      </c>
    </row>
    <row r="37" spans="1:2" x14ac:dyDescent="0.3">
      <c r="A37">
        <v>1</v>
      </c>
      <c r="B37">
        <f>DATA!M37</f>
        <v>1</v>
      </c>
    </row>
    <row r="38" spans="1:2" x14ac:dyDescent="0.3">
      <c r="A38">
        <v>2</v>
      </c>
      <c r="B38">
        <f>DATA!M38</f>
        <v>0</v>
      </c>
    </row>
    <row r="39" spans="1:2" x14ac:dyDescent="0.3">
      <c r="A39">
        <v>1</v>
      </c>
      <c r="B39">
        <f>DATA!M39</f>
        <v>0</v>
      </c>
    </row>
    <row r="40" spans="1:2" x14ac:dyDescent="0.3">
      <c r="A40">
        <v>2</v>
      </c>
      <c r="B40">
        <f>DATA!M40</f>
        <v>1</v>
      </c>
    </row>
    <row r="41" spans="1:2" x14ac:dyDescent="0.3">
      <c r="A41">
        <v>2</v>
      </c>
      <c r="B41">
        <f>DATA!M41</f>
        <v>0</v>
      </c>
    </row>
    <row r="42" spans="1:2" x14ac:dyDescent="0.3">
      <c r="A42">
        <v>1</v>
      </c>
      <c r="B42">
        <f>DATA!M42</f>
        <v>1</v>
      </c>
    </row>
    <row r="43" spans="1:2" x14ac:dyDescent="0.3">
      <c r="A43">
        <v>1</v>
      </c>
      <c r="B43">
        <f>DATA!M43</f>
        <v>0</v>
      </c>
    </row>
    <row r="44" spans="1:2" x14ac:dyDescent="0.3">
      <c r="A44">
        <v>2</v>
      </c>
      <c r="B44">
        <f>DATA!M44</f>
        <v>1</v>
      </c>
    </row>
    <row r="45" spans="1:2" x14ac:dyDescent="0.3">
      <c r="A45">
        <v>1</v>
      </c>
      <c r="B45">
        <f>DATA!M45</f>
        <v>0</v>
      </c>
    </row>
    <row r="46" spans="1:2" x14ac:dyDescent="0.3">
      <c r="A46">
        <v>2</v>
      </c>
      <c r="B46">
        <f>DATA!M46</f>
        <v>0</v>
      </c>
    </row>
    <row r="47" spans="1:2" x14ac:dyDescent="0.3">
      <c r="A47">
        <v>2</v>
      </c>
      <c r="B47">
        <f>DATA!M47</f>
        <v>1</v>
      </c>
    </row>
    <row r="48" spans="1:2" x14ac:dyDescent="0.3">
      <c r="A48">
        <v>2</v>
      </c>
      <c r="B48">
        <f>DATA!M48</f>
        <v>0</v>
      </c>
    </row>
    <row r="49" spans="1:2" x14ac:dyDescent="0.3">
      <c r="A49">
        <v>2</v>
      </c>
      <c r="B49">
        <f>DATA!M49</f>
        <v>1</v>
      </c>
    </row>
    <row r="50" spans="1:2" x14ac:dyDescent="0.3">
      <c r="A50">
        <v>2</v>
      </c>
      <c r="B50">
        <f>DATA!M50</f>
        <v>1</v>
      </c>
    </row>
    <row r="51" spans="1:2" x14ac:dyDescent="0.3">
      <c r="A51">
        <v>1</v>
      </c>
      <c r="B51">
        <f>DATA!M51</f>
        <v>0</v>
      </c>
    </row>
    <row r="52" spans="1:2" x14ac:dyDescent="0.3">
      <c r="A52">
        <v>1</v>
      </c>
      <c r="B52">
        <f>DATA!M52</f>
        <v>1</v>
      </c>
    </row>
    <row r="53" spans="1:2" x14ac:dyDescent="0.3">
      <c r="A53">
        <v>1</v>
      </c>
      <c r="B53">
        <f>DATA!M53</f>
        <v>0</v>
      </c>
    </row>
    <row r="54" spans="1:2" x14ac:dyDescent="0.3">
      <c r="A54">
        <v>2</v>
      </c>
      <c r="B54">
        <f>DATA!M54</f>
        <v>0</v>
      </c>
    </row>
    <row r="55" spans="1:2" x14ac:dyDescent="0.3">
      <c r="A55">
        <v>1</v>
      </c>
      <c r="B55">
        <f>DATA!M55</f>
        <v>1</v>
      </c>
    </row>
    <row r="56" spans="1:2" x14ac:dyDescent="0.3">
      <c r="A56">
        <v>1</v>
      </c>
      <c r="B56">
        <f>DATA!M56</f>
        <v>0</v>
      </c>
    </row>
    <row r="57" spans="1:2" x14ac:dyDescent="0.3">
      <c r="A57">
        <v>1</v>
      </c>
      <c r="B57">
        <f>DATA!M57</f>
        <v>1</v>
      </c>
    </row>
    <row r="58" spans="1:2" x14ac:dyDescent="0.3">
      <c r="A58">
        <v>2</v>
      </c>
      <c r="B58">
        <f>DATA!M58</f>
        <v>1</v>
      </c>
    </row>
    <row r="59" spans="1:2" x14ac:dyDescent="0.3">
      <c r="A59">
        <v>1</v>
      </c>
      <c r="B59">
        <f>DATA!M59</f>
        <v>1</v>
      </c>
    </row>
    <row r="60" spans="1:2" x14ac:dyDescent="0.3">
      <c r="A60">
        <v>1</v>
      </c>
      <c r="B60">
        <f>DATA!M60</f>
        <v>0</v>
      </c>
    </row>
    <row r="61" spans="1:2" x14ac:dyDescent="0.3">
      <c r="A61">
        <v>1</v>
      </c>
      <c r="B61">
        <f>DATA!M61</f>
        <v>1</v>
      </c>
    </row>
    <row r="62" spans="1:2" x14ac:dyDescent="0.3">
      <c r="A62">
        <v>2</v>
      </c>
      <c r="B62">
        <f>DATA!M62</f>
        <v>0</v>
      </c>
    </row>
    <row r="63" spans="1:2" x14ac:dyDescent="0.3">
      <c r="A63">
        <v>1</v>
      </c>
      <c r="B63">
        <f>DATA!M63</f>
        <v>1</v>
      </c>
    </row>
    <row r="64" spans="1:2" x14ac:dyDescent="0.3">
      <c r="A64">
        <v>2</v>
      </c>
      <c r="B64">
        <f>DATA!M64</f>
        <v>1</v>
      </c>
    </row>
    <row r="65" spans="1:2" x14ac:dyDescent="0.3">
      <c r="A65">
        <v>2</v>
      </c>
      <c r="B65">
        <f>DATA!M65</f>
        <v>0</v>
      </c>
    </row>
    <row r="66" spans="1:2" x14ac:dyDescent="0.3">
      <c r="A66">
        <v>1</v>
      </c>
      <c r="B66">
        <f>DATA!M66</f>
        <v>1</v>
      </c>
    </row>
    <row r="67" spans="1:2" x14ac:dyDescent="0.3">
      <c r="A67">
        <v>2</v>
      </c>
      <c r="B67">
        <f>DATA!M67</f>
        <v>0</v>
      </c>
    </row>
    <row r="68" spans="1:2" x14ac:dyDescent="0.3">
      <c r="A68">
        <v>1</v>
      </c>
      <c r="B68">
        <f>DATA!M68</f>
        <v>1</v>
      </c>
    </row>
    <row r="69" spans="1:2" x14ac:dyDescent="0.3">
      <c r="A69">
        <v>2</v>
      </c>
      <c r="B69">
        <f>DATA!M69</f>
        <v>0</v>
      </c>
    </row>
    <row r="70" spans="1:2" x14ac:dyDescent="0.3">
      <c r="A70">
        <v>1</v>
      </c>
      <c r="B70">
        <f>DATA!M70</f>
        <v>1</v>
      </c>
    </row>
    <row r="71" spans="1:2" x14ac:dyDescent="0.3">
      <c r="A71">
        <v>2</v>
      </c>
      <c r="B71">
        <f>DATA!M71</f>
        <v>1</v>
      </c>
    </row>
    <row r="72" spans="1:2" x14ac:dyDescent="0.3">
      <c r="A72">
        <v>1</v>
      </c>
      <c r="B72">
        <f>DATA!M72</f>
        <v>1</v>
      </c>
    </row>
    <row r="73" spans="1:2" x14ac:dyDescent="0.3">
      <c r="A73">
        <v>2</v>
      </c>
      <c r="B73">
        <f>DATA!M73</f>
        <v>0</v>
      </c>
    </row>
    <row r="74" spans="1:2" x14ac:dyDescent="0.3">
      <c r="A74">
        <v>1</v>
      </c>
      <c r="B74">
        <f>DATA!M74</f>
        <v>0</v>
      </c>
    </row>
    <row r="75" spans="1:2" x14ac:dyDescent="0.3">
      <c r="A75">
        <v>2</v>
      </c>
      <c r="B75">
        <f>DATA!M75</f>
        <v>0</v>
      </c>
    </row>
    <row r="76" spans="1:2" x14ac:dyDescent="0.3">
      <c r="A76">
        <v>2</v>
      </c>
      <c r="B76">
        <f>DATA!M76</f>
        <v>0</v>
      </c>
    </row>
    <row r="77" spans="1:2" x14ac:dyDescent="0.3">
      <c r="A77">
        <v>2</v>
      </c>
      <c r="B77">
        <f>DATA!M77</f>
        <v>0</v>
      </c>
    </row>
    <row r="78" spans="1:2" x14ac:dyDescent="0.3">
      <c r="A78">
        <v>2</v>
      </c>
      <c r="B78">
        <f>DATA!M78</f>
        <v>0</v>
      </c>
    </row>
    <row r="79" spans="1:2" x14ac:dyDescent="0.3">
      <c r="A79">
        <v>2</v>
      </c>
      <c r="B79">
        <f>DATA!M79</f>
        <v>0</v>
      </c>
    </row>
    <row r="80" spans="1:2" x14ac:dyDescent="0.3">
      <c r="A80">
        <v>1</v>
      </c>
      <c r="B80">
        <f>DATA!M80</f>
        <v>1</v>
      </c>
    </row>
    <row r="81" spans="1:2" x14ac:dyDescent="0.3">
      <c r="A81">
        <v>1</v>
      </c>
      <c r="B81">
        <f>DATA!M81</f>
        <v>0</v>
      </c>
    </row>
    <row r="82" spans="1:2" x14ac:dyDescent="0.3">
      <c r="A82">
        <v>2</v>
      </c>
      <c r="B82">
        <f>DATA!M82</f>
        <v>0</v>
      </c>
    </row>
    <row r="83" spans="1:2" x14ac:dyDescent="0.3">
      <c r="A83">
        <v>1</v>
      </c>
      <c r="B83">
        <f>DATA!M83</f>
        <v>1</v>
      </c>
    </row>
    <row r="84" spans="1:2" x14ac:dyDescent="0.3">
      <c r="A84">
        <v>1</v>
      </c>
      <c r="B84">
        <f>DATA!M84</f>
        <v>1</v>
      </c>
    </row>
    <row r="85" spans="1:2" x14ac:dyDescent="0.3">
      <c r="A85">
        <v>2</v>
      </c>
      <c r="B85">
        <f>DATA!M85</f>
        <v>0</v>
      </c>
    </row>
    <row r="86" spans="1:2" x14ac:dyDescent="0.3">
      <c r="A86">
        <v>2</v>
      </c>
      <c r="B86">
        <f>DATA!M86</f>
        <v>0</v>
      </c>
    </row>
    <row r="87" spans="1:2" x14ac:dyDescent="0.3">
      <c r="A87">
        <v>2</v>
      </c>
      <c r="B87">
        <f>DATA!M87</f>
        <v>1</v>
      </c>
    </row>
    <row r="88" spans="1:2" x14ac:dyDescent="0.3">
      <c r="A88">
        <v>2</v>
      </c>
      <c r="B88">
        <f>DATA!M88</f>
        <v>0</v>
      </c>
    </row>
    <row r="89" spans="1:2" x14ac:dyDescent="0.3">
      <c r="A89">
        <v>1</v>
      </c>
      <c r="B89">
        <f>DATA!M89</f>
        <v>1</v>
      </c>
    </row>
    <row r="90" spans="1:2" x14ac:dyDescent="0.3">
      <c r="A90">
        <v>1</v>
      </c>
      <c r="B90">
        <f>DATA!M90</f>
        <v>1</v>
      </c>
    </row>
    <row r="91" spans="1:2" x14ac:dyDescent="0.3">
      <c r="A91">
        <v>2</v>
      </c>
      <c r="B91">
        <f>DATA!M91</f>
        <v>0</v>
      </c>
    </row>
    <row r="92" spans="1:2" x14ac:dyDescent="0.3">
      <c r="A92">
        <v>1</v>
      </c>
      <c r="B92">
        <f>DATA!M92</f>
        <v>0</v>
      </c>
    </row>
    <row r="93" spans="1:2" x14ac:dyDescent="0.3">
      <c r="A93">
        <v>1</v>
      </c>
      <c r="B93">
        <f>DATA!M93</f>
        <v>1</v>
      </c>
    </row>
    <row r="94" spans="1:2" x14ac:dyDescent="0.3">
      <c r="A94">
        <v>2</v>
      </c>
      <c r="B94">
        <f>DATA!M94</f>
        <v>0</v>
      </c>
    </row>
    <row r="95" spans="1:2" x14ac:dyDescent="0.3">
      <c r="A95">
        <v>1</v>
      </c>
      <c r="B95">
        <f>DATA!M95</f>
        <v>0</v>
      </c>
    </row>
    <row r="96" spans="1:2" x14ac:dyDescent="0.3">
      <c r="A96">
        <v>1</v>
      </c>
      <c r="B96">
        <f>DATA!M96</f>
        <v>1</v>
      </c>
    </row>
    <row r="97" spans="1:2" x14ac:dyDescent="0.3">
      <c r="A97">
        <v>2</v>
      </c>
      <c r="B97">
        <f>DATA!M97</f>
        <v>1</v>
      </c>
    </row>
    <row r="98" spans="1:2" x14ac:dyDescent="0.3">
      <c r="A98">
        <v>1</v>
      </c>
      <c r="B98">
        <f>DATA!M98</f>
        <v>0</v>
      </c>
    </row>
    <row r="99" spans="1:2" x14ac:dyDescent="0.3">
      <c r="A99">
        <v>1</v>
      </c>
      <c r="B99">
        <f>DATA!M99</f>
        <v>0</v>
      </c>
    </row>
    <row r="100" spans="1:2" x14ac:dyDescent="0.3">
      <c r="A100">
        <v>1</v>
      </c>
      <c r="B100">
        <f>DATA!M100</f>
        <v>1</v>
      </c>
    </row>
    <row r="101" spans="1:2" x14ac:dyDescent="0.3">
      <c r="A101">
        <v>2</v>
      </c>
      <c r="B101">
        <f>DATA!M101</f>
        <v>1</v>
      </c>
    </row>
    <row r="102" spans="1:2" x14ac:dyDescent="0.3">
      <c r="A102">
        <v>2</v>
      </c>
      <c r="B102">
        <f>DATA!M102</f>
        <v>0</v>
      </c>
    </row>
    <row r="103" spans="1:2" x14ac:dyDescent="0.3">
      <c r="A103">
        <v>1</v>
      </c>
      <c r="B103">
        <f>DATA!M103</f>
        <v>0</v>
      </c>
    </row>
    <row r="104" spans="1:2" x14ac:dyDescent="0.3">
      <c r="A104">
        <v>2</v>
      </c>
      <c r="B104">
        <f>DATA!M104</f>
        <v>1</v>
      </c>
    </row>
    <row r="105" spans="1:2" x14ac:dyDescent="0.3">
      <c r="A105">
        <v>1</v>
      </c>
      <c r="B105">
        <f>DATA!M105</f>
        <v>1</v>
      </c>
    </row>
    <row r="106" spans="1:2" x14ac:dyDescent="0.3">
      <c r="A106">
        <v>2</v>
      </c>
      <c r="B106">
        <f>DATA!M106</f>
        <v>1</v>
      </c>
    </row>
    <row r="107" spans="1:2" x14ac:dyDescent="0.3">
      <c r="A107">
        <v>1</v>
      </c>
      <c r="B107">
        <f>DATA!M107</f>
        <v>1</v>
      </c>
    </row>
    <row r="108" spans="1:2" x14ac:dyDescent="0.3">
      <c r="A108">
        <v>2</v>
      </c>
      <c r="B108">
        <f>DATA!M108</f>
        <v>0</v>
      </c>
    </row>
    <row r="109" spans="1:2" x14ac:dyDescent="0.3">
      <c r="A109">
        <v>1</v>
      </c>
      <c r="B109">
        <f>DATA!M109</f>
        <v>1</v>
      </c>
    </row>
    <row r="110" spans="1:2" x14ac:dyDescent="0.3">
      <c r="A110">
        <v>1</v>
      </c>
      <c r="B110">
        <f>DATA!M110</f>
        <v>0</v>
      </c>
    </row>
    <row r="111" spans="1:2" x14ac:dyDescent="0.3">
      <c r="A111">
        <v>2</v>
      </c>
      <c r="B111">
        <f>DATA!M111</f>
        <v>1</v>
      </c>
    </row>
    <row r="112" spans="1:2" x14ac:dyDescent="0.3">
      <c r="A112">
        <v>1</v>
      </c>
      <c r="B112">
        <f>DATA!M112</f>
        <v>0</v>
      </c>
    </row>
    <row r="113" spans="1:2" x14ac:dyDescent="0.3">
      <c r="A113">
        <v>1</v>
      </c>
      <c r="B113">
        <f>DATA!M113</f>
        <v>0</v>
      </c>
    </row>
    <row r="114" spans="1:2" x14ac:dyDescent="0.3">
      <c r="A114">
        <v>2</v>
      </c>
      <c r="B114">
        <f>DATA!M114</f>
        <v>0</v>
      </c>
    </row>
    <row r="115" spans="1:2" x14ac:dyDescent="0.3">
      <c r="A115">
        <v>2</v>
      </c>
      <c r="B115">
        <f>DATA!M115</f>
        <v>0</v>
      </c>
    </row>
    <row r="116" spans="1:2" x14ac:dyDescent="0.3">
      <c r="A116">
        <v>1</v>
      </c>
      <c r="B116">
        <f>DATA!M116</f>
        <v>1</v>
      </c>
    </row>
    <row r="117" spans="1:2" x14ac:dyDescent="0.3">
      <c r="A117">
        <v>1</v>
      </c>
      <c r="B117">
        <f>DATA!M117</f>
        <v>1</v>
      </c>
    </row>
    <row r="118" spans="1:2" x14ac:dyDescent="0.3">
      <c r="A118">
        <v>1</v>
      </c>
      <c r="B118">
        <f>DATA!M118</f>
        <v>1</v>
      </c>
    </row>
    <row r="119" spans="1:2" x14ac:dyDescent="0.3">
      <c r="A119">
        <v>2</v>
      </c>
      <c r="B119">
        <f>DATA!M119</f>
        <v>0</v>
      </c>
    </row>
    <row r="120" spans="1:2" x14ac:dyDescent="0.3">
      <c r="A120">
        <v>2</v>
      </c>
      <c r="B120">
        <f>DATA!M120</f>
        <v>0</v>
      </c>
    </row>
    <row r="121" spans="1:2" x14ac:dyDescent="0.3">
      <c r="A121">
        <v>1</v>
      </c>
      <c r="B121">
        <f>DATA!M121</f>
        <v>1</v>
      </c>
    </row>
    <row r="122" spans="1:2" x14ac:dyDescent="0.3">
      <c r="A122">
        <v>1</v>
      </c>
      <c r="B122">
        <f>DATA!M122</f>
        <v>1</v>
      </c>
    </row>
    <row r="123" spans="1:2" x14ac:dyDescent="0.3">
      <c r="A123">
        <v>1</v>
      </c>
      <c r="B123">
        <f>DATA!M123</f>
        <v>0</v>
      </c>
    </row>
    <row r="124" spans="1:2" x14ac:dyDescent="0.3">
      <c r="A124">
        <v>1</v>
      </c>
      <c r="B124">
        <f>DATA!M124</f>
        <v>1</v>
      </c>
    </row>
    <row r="125" spans="1:2" x14ac:dyDescent="0.3">
      <c r="A125">
        <v>2</v>
      </c>
      <c r="B125">
        <f>DATA!M125</f>
        <v>1</v>
      </c>
    </row>
    <row r="126" spans="1:2" x14ac:dyDescent="0.3">
      <c r="A126">
        <v>1</v>
      </c>
      <c r="B126">
        <f>DATA!M126</f>
        <v>0</v>
      </c>
    </row>
    <row r="127" spans="1:2" x14ac:dyDescent="0.3">
      <c r="A127">
        <v>1</v>
      </c>
      <c r="B127">
        <f>DATA!M127</f>
        <v>0</v>
      </c>
    </row>
    <row r="128" spans="1:2" x14ac:dyDescent="0.3">
      <c r="A128">
        <v>2</v>
      </c>
      <c r="B128">
        <f>DATA!M128</f>
        <v>1</v>
      </c>
    </row>
    <row r="129" spans="1:2" x14ac:dyDescent="0.3">
      <c r="A129">
        <v>2</v>
      </c>
      <c r="B129">
        <f>DATA!M129</f>
        <v>0</v>
      </c>
    </row>
    <row r="130" spans="1:2" x14ac:dyDescent="0.3">
      <c r="A130">
        <v>2</v>
      </c>
      <c r="B130">
        <f>DATA!M130</f>
        <v>0</v>
      </c>
    </row>
    <row r="131" spans="1:2" x14ac:dyDescent="0.3">
      <c r="A131">
        <v>2</v>
      </c>
      <c r="B131">
        <f>DATA!M131</f>
        <v>0</v>
      </c>
    </row>
    <row r="132" spans="1:2" x14ac:dyDescent="0.3">
      <c r="A132">
        <v>1</v>
      </c>
      <c r="B132">
        <f>DATA!M132</f>
        <v>1</v>
      </c>
    </row>
    <row r="133" spans="1:2" x14ac:dyDescent="0.3">
      <c r="A133">
        <v>1</v>
      </c>
      <c r="B133">
        <f>DATA!M133</f>
        <v>0</v>
      </c>
    </row>
    <row r="134" spans="1:2" x14ac:dyDescent="0.3">
      <c r="A134">
        <v>2</v>
      </c>
      <c r="B134">
        <f>DATA!M134</f>
        <v>1</v>
      </c>
    </row>
    <row r="135" spans="1:2" x14ac:dyDescent="0.3">
      <c r="A135">
        <v>2</v>
      </c>
      <c r="B135">
        <f>DATA!M135</f>
        <v>1</v>
      </c>
    </row>
    <row r="136" spans="1:2" x14ac:dyDescent="0.3">
      <c r="A136">
        <v>1</v>
      </c>
      <c r="B136">
        <f>DATA!M136</f>
        <v>1</v>
      </c>
    </row>
    <row r="137" spans="1:2" x14ac:dyDescent="0.3">
      <c r="A137">
        <v>1</v>
      </c>
      <c r="B137">
        <f>DATA!M137</f>
        <v>1</v>
      </c>
    </row>
    <row r="138" spans="1:2" x14ac:dyDescent="0.3">
      <c r="A138">
        <v>1</v>
      </c>
      <c r="B138">
        <f>DATA!M138</f>
        <v>0</v>
      </c>
    </row>
    <row r="139" spans="1:2" x14ac:dyDescent="0.3">
      <c r="A139">
        <v>2</v>
      </c>
      <c r="B139">
        <f>DATA!M139</f>
        <v>1</v>
      </c>
    </row>
    <row r="140" spans="1:2" x14ac:dyDescent="0.3">
      <c r="A140">
        <v>2</v>
      </c>
      <c r="B140">
        <f>DATA!M140</f>
        <v>0</v>
      </c>
    </row>
    <row r="141" spans="1:2" x14ac:dyDescent="0.3">
      <c r="A141">
        <v>2</v>
      </c>
      <c r="B141">
        <f>DATA!M141</f>
        <v>1</v>
      </c>
    </row>
    <row r="142" spans="1:2" x14ac:dyDescent="0.3">
      <c r="A142">
        <v>1</v>
      </c>
      <c r="B142">
        <f>DATA!M142</f>
        <v>1</v>
      </c>
    </row>
    <row r="143" spans="1:2" x14ac:dyDescent="0.3">
      <c r="A143">
        <v>1</v>
      </c>
      <c r="B143">
        <f>DATA!M143</f>
        <v>0</v>
      </c>
    </row>
    <row r="144" spans="1:2" x14ac:dyDescent="0.3">
      <c r="A144">
        <v>1</v>
      </c>
      <c r="B144">
        <f>DATA!M144</f>
        <v>1</v>
      </c>
    </row>
    <row r="145" spans="1:2" x14ac:dyDescent="0.3">
      <c r="A145">
        <v>2</v>
      </c>
      <c r="B145">
        <f>DATA!M145</f>
        <v>0</v>
      </c>
    </row>
    <row r="146" spans="1:2" x14ac:dyDescent="0.3">
      <c r="A146">
        <v>2</v>
      </c>
      <c r="B146">
        <f>DATA!M146</f>
        <v>0</v>
      </c>
    </row>
    <row r="147" spans="1:2" x14ac:dyDescent="0.3">
      <c r="A147">
        <v>1</v>
      </c>
      <c r="B147">
        <f>DATA!M147</f>
        <v>0</v>
      </c>
    </row>
    <row r="148" spans="1:2" x14ac:dyDescent="0.3">
      <c r="A148">
        <v>1</v>
      </c>
      <c r="B148">
        <f>DATA!M148</f>
        <v>1</v>
      </c>
    </row>
    <row r="149" spans="1:2" x14ac:dyDescent="0.3">
      <c r="A149">
        <v>2</v>
      </c>
      <c r="B149">
        <f>DATA!M149</f>
        <v>1</v>
      </c>
    </row>
    <row r="150" spans="1:2" x14ac:dyDescent="0.3">
      <c r="A150">
        <v>2</v>
      </c>
      <c r="B150">
        <f>DATA!M150</f>
        <v>1</v>
      </c>
    </row>
    <row r="151" spans="1:2" x14ac:dyDescent="0.3">
      <c r="A151">
        <v>2</v>
      </c>
      <c r="B151">
        <f>DATA!M151</f>
        <v>0</v>
      </c>
    </row>
    <row r="152" spans="1:2" x14ac:dyDescent="0.3">
      <c r="A152">
        <v>1</v>
      </c>
      <c r="B152">
        <f>DATA!M152</f>
        <v>0</v>
      </c>
    </row>
    <row r="153" spans="1:2" x14ac:dyDescent="0.3">
      <c r="A153">
        <v>1</v>
      </c>
      <c r="B153">
        <f>DATA!M153</f>
        <v>1</v>
      </c>
    </row>
    <row r="154" spans="1:2" x14ac:dyDescent="0.3">
      <c r="A154">
        <v>2</v>
      </c>
      <c r="B154">
        <f>DATA!M154</f>
        <v>1</v>
      </c>
    </row>
    <row r="155" spans="1:2" x14ac:dyDescent="0.3">
      <c r="A155">
        <v>1</v>
      </c>
      <c r="B155">
        <f>DATA!M155</f>
        <v>1</v>
      </c>
    </row>
    <row r="156" spans="1:2" x14ac:dyDescent="0.3">
      <c r="A156">
        <v>2</v>
      </c>
      <c r="B156">
        <f>DATA!M156</f>
        <v>0</v>
      </c>
    </row>
    <row r="157" spans="1:2" x14ac:dyDescent="0.3">
      <c r="A157">
        <v>1</v>
      </c>
      <c r="B157">
        <f>DATA!M157</f>
        <v>1</v>
      </c>
    </row>
    <row r="158" spans="1:2" x14ac:dyDescent="0.3">
      <c r="A158">
        <v>1</v>
      </c>
      <c r="B158">
        <f>DATA!M158</f>
        <v>0</v>
      </c>
    </row>
    <row r="159" spans="1:2" x14ac:dyDescent="0.3">
      <c r="A159">
        <v>1</v>
      </c>
      <c r="B159">
        <f>DATA!M159</f>
        <v>1</v>
      </c>
    </row>
    <row r="160" spans="1:2" x14ac:dyDescent="0.3">
      <c r="A160">
        <v>2</v>
      </c>
      <c r="B160">
        <f>DATA!M160</f>
        <v>1</v>
      </c>
    </row>
    <row r="161" spans="1:2" x14ac:dyDescent="0.3">
      <c r="A161">
        <v>1</v>
      </c>
      <c r="B161">
        <f>DATA!M161</f>
        <v>1</v>
      </c>
    </row>
    <row r="162" spans="1:2" x14ac:dyDescent="0.3">
      <c r="A162">
        <v>2</v>
      </c>
      <c r="B162">
        <f>DATA!M162</f>
        <v>0</v>
      </c>
    </row>
    <row r="163" spans="1:2" x14ac:dyDescent="0.3">
      <c r="A163">
        <v>1</v>
      </c>
      <c r="B163">
        <f>DATA!M163</f>
        <v>0</v>
      </c>
    </row>
    <row r="164" spans="1:2" x14ac:dyDescent="0.3">
      <c r="A164">
        <v>2</v>
      </c>
      <c r="B164">
        <f>DATA!M164</f>
        <v>1</v>
      </c>
    </row>
    <row r="165" spans="1:2" x14ac:dyDescent="0.3">
      <c r="A165">
        <v>2</v>
      </c>
      <c r="B165">
        <f>DATA!M165</f>
        <v>1</v>
      </c>
    </row>
    <row r="166" spans="1:2" x14ac:dyDescent="0.3">
      <c r="A166">
        <v>2</v>
      </c>
      <c r="B166">
        <f>DATA!M166</f>
        <v>0</v>
      </c>
    </row>
    <row r="167" spans="1:2" x14ac:dyDescent="0.3">
      <c r="A167">
        <v>2</v>
      </c>
      <c r="B167">
        <f>DATA!M167</f>
        <v>1</v>
      </c>
    </row>
    <row r="168" spans="1:2" x14ac:dyDescent="0.3">
      <c r="A168">
        <v>2</v>
      </c>
      <c r="B168">
        <f>DATA!M168</f>
        <v>1</v>
      </c>
    </row>
    <row r="169" spans="1:2" x14ac:dyDescent="0.3">
      <c r="A169">
        <v>1</v>
      </c>
      <c r="B169">
        <f>DATA!M169</f>
        <v>0</v>
      </c>
    </row>
    <row r="170" spans="1:2" x14ac:dyDescent="0.3">
      <c r="A170">
        <v>1</v>
      </c>
      <c r="B170">
        <f>DATA!M170</f>
        <v>0</v>
      </c>
    </row>
    <row r="171" spans="1:2" x14ac:dyDescent="0.3">
      <c r="A171">
        <v>2</v>
      </c>
      <c r="B171">
        <f>DATA!M171</f>
        <v>0</v>
      </c>
    </row>
    <row r="172" spans="1:2" x14ac:dyDescent="0.3">
      <c r="A172">
        <v>2</v>
      </c>
      <c r="B172">
        <f>DATA!M172</f>
        <v>1</v>
      </c>
    </row>
    <row r="173" spans="1:2" x14ac:dyDescent="0.3">
      <c r="A173">
        <v>2</v>
      </c>
      <c r="B173">
        <f>DATA!M173</f>
        <v>0</v>
      </c>
    </row>
    <row r="174" spans="1:2" x14ac:dyDescent="0.3">
      <c r="A174">
        <v>1</v>
      </c>
      <c r="B174">
        <f>DATA!M174</f>
        <v>1</v>
      </c>
    </row>
    <row r="175" spans="1:2" x14ac:dyDescent="0.3">
      <c r="A175">
        <v>2</v>
      </c>
      <c r="B175">
        <f>DATA!M175</f>
        <v>1</v>
      </c>
    </row>
    <row r="176" spans="1:2" x14ac:dyDescent="0.3">
      <c r="A176">
        <v>1</v>
      </c>
      <c r="B176">
        <f>DATA!M176</f>
        <v>1</v>
      </c>
    </row>
    <row r="177" spans="1:2" x14ac:dyDescent="0.3">
      <c r="A177">
        <v>2</v>
      </c>
      <c r="B177">
        <f>DATA!M177</f>
        <v>1</v>
      </c>
    </row>
    <row r="178" spans="1:2" x14ac:dyDescent="0.3">
      <c r="A178">
        <v>1</v>
      </c>
      <c r="B178">
        <f>DATA!M178</f>
        <v>0</v>
      </c>
    </row>
    <row r="179" spans="1:2" x14ac:dyDescent="0.3">
      <c r="A179">
        <v>2</v>
      </c>
      <c r="B179">
        <f>DATA!M179</f>
        <v>1</v>
      </c>
    </row>
    <row r="180" spans="1:2" x14ac:dyDescent="0.3">
      <c r="A180">
        <v>1</v>
      </c>
      <c r="B180">
        <f>DATA!M180</f>
        <v>1</v>
      </c>
    </row>
    <row r="181" spans="1:2" x14ac:dyDescent="0.3">
      <c r="A181">
        <v>1</v>
      </c>
      <c r="B181">
        <f>DATA!M181</f>
        <v>0</v>
      </c>
    </row>
    <row r="182" spans="1:2" x14ac:dyDescent="0.3">
      <c r="A182">
        <v>2</v>
      </c>
      <c r="B182">
        <f>DATA!M182</f>
        <v>1</v>
      </c>
    </row>
    <row r="183" spans="1:2" x14ac:dyDescent="0.3">
      <c r="A183">
        <v>2</v>
      </c>
      <c r="B183">
        <f>DATA!M183</f>
        <v>0</v>
      </c>
    </row>
    <row r="184" spans="1:2" x14ac:dyDescent="0.3">
      <c r="A184">
        <v>2</v>
      </c>
      <c r="B184">
        <f>DATA!M184</f>
        <v>0</v>
      </c>
    </row>
    <row r="185" spans="1:2" x14ac:dyDescent="0.3">
      <c r="A185">
        <v>2</v>
      </c>
      <c r="B185">
        <f>DATA!M185</f>
        <v>0</v>
      </c>
    </row>
    <row r="186" spans="1:2" x14ac:dyDescent="0.3">
      <c r="A186">
        <v>1</v>
      </c>
      <c r="B186">
        <f>DATA!M186</f>
        <v>0</v>
      </c>
    </row>
    <row r="187" spans="1:2" x14ac:dyDescent="0.3">
      <c r="A187">
        <v>1</v>
      </c>
      <c r="B187">
        <f>DATA!M187</f>
        <v>1</v>
      </c>
    </row>
    <row r="188" spans="1:2" x14ac:dyDescent="0.3">
      <c r="A188">
        <v>1</v>
      </c>
      <c r="B188">
        <f>DATA!M188</f>
        <v>1</v>
      </c>
    </row>
    <row r="189" spans="1:2" x14ac:dyDescent="0.3">
      <c r="A189">
        <v>1</v>
      </c>
      <c r="B189">
        <f>DATA!M189</f>
        <v>0</v>
      </c>
    </row>
    <row r="190" spans="1:2" x14ac:dyDescent="0.3">
      <c r="A190">
        <v>1</v>
      </c>
      <c r="B190">
        <f>DATA!M190</f>
        <v>1</v>
      </c>
    </row>
    <row r="191" spans="1:2" x14ac:dyDescent="0.3">
      <c r="A191">
        <v>1</v>
      </c>
      <c r="B191">
        <f>DATA!M191</f>
        <v>1</v>
      </c>
    </row>
    <row r="192" spans="1:2" x14ac:dyDescent="0.3">
      <c r="A192">
        <v>2</v>
      </c>
      <c r="B192">
        <f>DATA!M192</f>
        <v>0</v>
      </c>
    </row>
    <row r="193" spans="1:2" x14ac:dyDescent="0.3">
      <c r="A193">
        <v>1</v>
      </c>
      <c r="B193">
        <f>DATA!M193</f>
        <v>0</v>
      </c>
    </row>
    <row r="194" spans="1:2" x14ac:dyDescent="0.3">
      <c r="A194">
        <v>1</v>
      </c>
      <c r="B194">
        <f>DATA!M194</f>
        <v>1</v>
      </c>
    </row>
    <row r="195" spans="1:2" x14ac:dyDescent="0.3">
      <c r="A195">
        <v>1</v>
      </c>
      <c r="B195">
        <f>DATA!M195</f>
        <v>1</v>
      </c>
    </row>
    <row r="196" spans="1:2" x14ac:dyDescent="0.3">
      <c r="A196">
        <v>2</v>
      </c>
      <c r="B196">
        <f>DATA!M196</f>
        <v>1</v>
      </c>
    </row>
    <row r="197" spans="1:2" x14ac:dyDescent="0.3">
      <c r="A197">
        <v>1</v>
      </c>
      <c r="B197">
        <f>DATA!M197</f>
        <v>0</v>
      </c>
    </row>
    <row r="198" spans="1:2" x14ac:dyDescent="0.3">
      <c r="A198">
        <v>2</v>
      </c>
      <c r="B198">
        <f>DATA!M198</f>
        <v>0</v>
      </c>
    </row>
    <row r="199" spans="1:2" x14ac:dyDescent="0.3">
      <c r="A199">
        <v>1</v>
      </c>
      <c r="B199">
        <f>DATA!M199</f>
        <v>1</v>
      </c>
    </row>
    <row r="200" spans="1:2" x14ac:dyDescent="0.3">
      <c r="A200">
        <v>1</v>
      </c>
      <c r="B200">
        <f>DATA!M200</f>
        <v>1</v>
      </c>
    </row>
    <row r="201" spans="1:2" x14ac:dyDescent="0.3">
      <c r="A201">
        <v>2</v>
      </c>
      <c r="B201">
        <f>DATA!M201</f>
        <v>1</v>
      </c>
    </row>
    <row r="202" spans="1:2" x14ac:dyDescent="0.3">
      <c r="A202">
        <v>1</v>
      </c>
      <c r="B202">
        <f>DATA!M202</f>
        <v>0</v>
      </c>
    </row>
    <row r="203" spans="1:2" x14ac:dyDescent="0.3">
      <c r="A203">
        <v>1</v>
      </c>
      <c r="B203">
        <f>DATA!M203</f>
        <v>1</v>
      </c>
    </row>
    <row r="204" spans="1:2" x14ac:dyDescent="0.3">
      <c r="A204">
        <v>2</v>
      </c>
      <c r="B204">
        <f>DATA!M204</f>
        <v>1</v>
      </c>
    </row>
    <row r="205" spans="1:2" x14ac:dyDescent="0.3">
      <c r="A205">
        <v>2</v>
      </c>
      <c r="B205">
        <f>DATA!M205</f>
        <v>0</v>
      </c>
    </row>
    <row r="206" spans="1:2" x14ac:dyDescent="0.3">
      <c r="A206">
        <v>1</v>
      </c>
      <c r="B206">
        <f>DATA!M206</f>
        <v>1</v>
      </c>
    </row>
    <row r="207" spans="1:2" x14ac:dyDescent="0.3">
      <c r="A207">
        <v>1</v>
      </c>
      <c r="B207">
        <f>DATA!M207</f>
        <v>1</v>
      </c>
    </row>
    <row r="208" spans="1:2" x14ac:dyDescent="0.3">
      <c r="A208">
        <v>2</v>
      </c>
      <c r="B208">
        <f>DATA!M208</f>
        <v>1</v>
      </c>
    </row>
    <row r="209" spans="1:2" x14ac:dyDescent="0.3">
      <c r="A209">
        <v>2</v>
      </c>
      <c r="B209">
        <f>DATA!M209</f>
        <v>0</v>
      </c>
    </row>
    <row r="210" spans="1:2" x14ac:dyDescent="0.3">
      <c r="A210">
        <v>2</v>
      </c>
      <c r="B210">
        <f>DATA!M210</f>
        <v>0</v>
      </c>
    </row>
    <row r="211" spans="1:2" x14ac:dyDescent="0.3">
      <c r="A211">
        <v>2</v>
      </c>
      <c r="B211">
        <f>DATA!M211</f>
        <v>0</v>
      </c>
    </row>
    <row r="212" spans="1:2" x14ac:dyDescent="0.3">
      <c r="A212">
        <v>1</v>
      </c>
      <c r="B212">
        <f>DATA!M212</f>
        <v>1</v>
      </c>
    </row>
    <row r="213" spans="1:2" x14ac:dyDescent="0.3">
      <c r="A213">
        <v>1</v>
      </c>
      <c r="B213">
        <f>DATA!M213</f>
        <v>0</v>
      </c>
    </row>
    <row r="214" spans="1:2" x14ac:dyDescent="0.3">
      <c r="A214">
        <v>2</v>
      </c>
      <c r="B214">
        <f>DATA!M214</f>
        <v>0</v>
      </c>
    </row>
    <row r="215" spans="1:2" x14ac:dyDescent="0.3">
      <c r="A215">
        <v>1</v>
      </c>
      <c r="B215">
        <f>DATA!M215</f>
        <v>0</v>
      </c>
    </row>
    <row r="216" spans="1:2" x14ac:dyDescent="0.3">
      <c r="A216">
        <v>2</v>
      </c>
      <c r="B216">
        <f>DATA!M216</f>
        <v>1</v>
      </c>
    </row>
    <row r="217" spans="1:2" x14ac:dyDescent="0.3">
      <c r="A217">
        <v>2</v>
      </c>
      <c r="B217">
        <f>DATA!M217</f>
        <v>0</v>
      </c>
    </row>
    <row r="218" spans="1:2" x14ac:dyDescent="0.3">
      <c r="A218">
        <v>1</v>
      </c>
      <c r="B218">
        <f>DATA!M218</f>
        <v>1</v>
      </c>
    </row>
    <row r="219" spans="1:2" x14ac:dyDescent="0.3">
      <c r="A219">
        <v>2</v>
      </c>
      <c r="B219">
        <f>DATA!M219</f>
        <v>1</v>
      </c>
    </row>
    <row r="220" spans="1:2" x14ac:dyDescent="0.3">
      <c r="A220">
        <v>2</v>
      </c>
      <c r="B220">
        <f>DATA!M220</f>
        <v>0</v>
      </c>
    </row>
    <row r="221" spans="1:2" x14ac:dyDescent="0.3">
      <c r="A221">
        <v>1</v>
      </c>
      <c r="B221">
        <f>DATA!M221</f>
        <v>0</v>
      </c>
    </row>
    <row r="222" spans="1:2" x14ac:dyDescent="0.3">
      <c r="A222">
        <v>1</v>
      </c>
      <c r="B222">
        <f>DATA!M222</f>
        <v>0</v>
      </c>
    </row>
    <row r="223" spans="1:2" x14ac:dyDescent="0.3">
      <c r="A223">
        <v>2</v>
      </c>
      <c r="B223">
        <f>DATA!M223</f>
        <v>1</v>
      </c>
    </row>
    <row r="224" spans="1:2" x14ac:dyDescent="0.3">
      <c r="A224">
        <v>1</v>
      </c>
      <c r="B224">
        <f>DATA!M224</f>
        <v>0</v>
      </c>
    </row>
    <row r="225" spans="1:2" x14ac:dyDescent="0.3">
      <c r="A225">
        <v>1</v>
      </c>
      <c r="B225">
        <f>DATA!M225</f>
        <v>0</v>
      </c>
    </row>
    <row r="226" spans="1:2" x14ac:dyDescent="0.3">
      <c r="A226">
        <v>1</v>
      </c>
      <c r="B226">
        <f>DATA!M226</f>
        <v>0</v>
      </c>
    </row>
    <row r="227" spans="1:2" x14ac:dyDescent="0.3">
      <c r="A227">
        <v>1</v>
      </c>
      <c r="B227">
        <f>DATA!M227</f>
        <v>0</v>
      </c>
    </row>
    <row r="228" spans="1:2" x14ac:dyDescent="0.3">
      <c r="A228">
        <v>1</v>
      </c>
      <c r="B228">
        <f>DATA!M228</f>
        <v>1</v>
      </c>
    </row>
    <row r="229" spans="1:2" x14ac:dyDescent="0.3">
      <c r="A229">
        <v>1</v>
      </c>
      <c r="B229">
        <f>DATA!M229</f>
        <v>1</v>
      </c>
    </row>
    <row r="230" spans="1:2" x14ac:dyDescent="0.3">
      <c r="A230">
        <v>2</v>
      </c>
      <c r="B230">
        <f>DATA!M230</f>
        <v>1</v>
      </c>
    </row>
    <row r="231" spans="1:2" x14ac:dyDescent="0.3">
      <c r="A231">
        <v>1</v>
      </c>
      <c r="B231">
        <f>DATA!M231</f>
        <v>1</v>
      </c>
    </row>
    <row r="232" spans="1:2" x14ac:dyDescent="0.3">
      <c r="A232">
        <v>2</v>
      </c>
      <c r="B232">
        <f>DATA!M232</f>
        <v>0</v>
      </c>
    </row>
    <row r="233" spans="1:2" x14ac:dyDescent="0.3">
      <c r="A233">
        <v>2</v>
      </c>
      <c r="B233">
        <f>DATA!M233</f>
        <v>1</v>
      </c>
    </row>
    <row r="234" spans="1:2" x14ac:dyDescent="0.3">
      <c r="A234">
        <v>2</v>
      </c>
      <c r="B234">
        <f>DATA!M234</f>
        <v>1</v>
      </c>
    </row>
    <row r="235" spans="1:2" x14ac:dyDescent="0.3">
      <c r="A235">
        <v>1</v>
      </c>
      <c r="B235">
        <f>DATA!M235</f>
        <v>1</v>
      </c>
    </row>
    <row r="236" spans="1:2" x14ac:dyDescent="0.3">
      <c r="A236">
        <v>1</v>
      </c>
      <c r="B236">
        <f>DATA!M236</f>
        <v>1</v>
      </c>
    </row>
    <row r="237" spans="1:2" x14ac:dyDescent="0.3">
      <c r="A237">
        <v>2</v>
      </c>
      <c r="B237">
        <f>DATA!M237</f>
        <v>0</v>
      </c>
    </row>
    <row r="238" spans="1:2" x14ac:dyDescent="0.3">
      <c r="A238">
        <v>2</v>
      </c>
      <c r="B238">
        <f>DATA!M238</f>
        <v>0</v>
      </c>
    </row>
    <row r="239" spans="1:2" x14ac:dyDescent="0.3">
      <c r="A239">
        <v>2</v>
      </c>
      <c r="B239">
        <f>DATA!M239</f>
        <v>0</v>
      </c>
    </row>
    <row r="240" spans="1:2" x14ac:dyDescent="0.3">
      <c r="A240">
        <v>2</v>
      </c>
      <c r="B240">
        <f>DATA!M240</f>
        <v>1</v>
      </c>
    </row>
    <row r="241" spans="1:2" x14ac:dyDescent="0.3">
      <c r="A241">
        <v>1</v>
      </c>
      <c r="B241">
        <f>DATA!M241</f>
        <v>1</v>
      </c>
    </row>
    <row r="242" spans="1:2" x14ac:dyDescent="0.3">
      <c r="A242">
        <v>2</v>
      </c>
      <c r="B242">
        <f>DATA!M242</f>
        <v>1</v>
      </c>
    </row>
    <row r="243" spans="1:2" x14ac:dyDescent="0.3">
      <c r="A243">
        <v>1</v>
      </c>
      <c r="B243">
        <f>DATA!M243</f>
        <v>0</v>
      </c>
    </row>
    <row r="244" spans="1:2" x14ac:dyDescent="0.3">
      <c r="A244">
        <v>2</v>
      </c>
      <c r="B244">
        <f>DATA!M244</f>
        <v>0</v>
      </c>
    </row>
    <row r="245" spans="1:2" x14ac:dyDescent="0.3">
      <c r="A245">
        <v>1</v>
      </c>
      <c r="B245">
        <f>DATA!M245</f>
        <v>1</v>
      </c>
    </row>
    <row r="246" spans="1:2" x14ac:dyDescent="0.3">
      <c r="A246">
        <v>1</v>
      </c>
      <c r="B246">
        <f>DATA!M246</f>
        <v>1</v>
      </c>
    </row>
    <row r="247" spans="1:2" x14ac:dyDescent="0.3">
      <c r="A247">
        <v>2</v>
      </c>
      <c r="B247">
        <f>DATA!M247</f>
        <v>0</v>
      </c>
    </row>
    <row r="248" spans="1:2" x14ac:dyDescent="0.3">
      <c r="A248">
        <v>2</v>
      </c>
      <c r="B248">
        <f>DATA!M248</f>
        <v>0</v>
      </c>
    </row>
    <row r="249" spans="1:2" x14ac:dyDescent="0.3">
      <c r="A249">
        <v>2</v>
      </c>
      <c r="B249">
        <f>DATA!M249</f>
        <v>0</v>
      </c>
    </row>
    <row r="250" spans="1:2" x14ac:dyDescent="0.3">
      <c r="A250">
        <v>2</v>
      </c>
      <c r="B250">
        <f>DATA!M250</f>
        <v>0</v>
      </c>
    </row>
    <row r="251" spans="1:2" x14ac:dyDescent="0.3">
      <c r="A251">
        <v>1</v>
      </c>
      <c r="B251">
        <f>DATA!M251</f>
        <v>0</v>
      </c>
    </row>
    <row r="252" spans="1:2" x14ac:dyDescent="0.3">
      <c r="A252">
        <v>1</v>
      </c>
      <c r="B252">
        <f>DATA!M252</f>
        <v>0</v>
      </c>
    </row>
    <row r="253" spans="1:2" x14ac:dyDescent="0.3">
      <c r="A253">
        <v>1</v>
      </c>
      <c r="B253">
        <f>DATA!M253</f>
        <v>1</v>
      </c>
    </row>
    <row r="254" spans="1:2" x14ac:dyDescent="0.3">
      <c r="A254">
        <v>1</v>
      </c>
      <c r="B254">
        <f>DATA!M254</f>
        <v>0</v>
      </c>
    </row>
    <row r="255" spans="1:2" x14ac:dyDescent="0.3">
      <c r="A255">
        <v>1</v>
      </c>
      <c r="B255">
        <f>DATA!M255</f>
        <v>1</v>
      </c>
    </row>
    <row r="256" spans="1:2" x14ac:dyDescent="0.3">
      <c r="A256">
        <v>2</v>
      </c>
      <c r="B256">
        <f>DATA!M256</f>
        <v>0</v>
      </c>
    </row>
    <row r="257" spans="1:2" x14ac:dyDescent="0.3">
      <c r="A257">
        <v>1</v>
      </c>
      <c r="B257">
        <f>DATA!M257</f>
        <v>1</v>
      </c>
    </row>
    <row r="258" spans="1:2" x14ac:dyDescent="0.3">
      <c r="A258">
        <v>2</v>
      </c>
      <c r="B258">
        <f>DATA!M258</f>
        <v>1</v>
      </c>
    </row>
    <row r="259" spans="1:2" x14ac:dyDescent="0.3">
      <c r="A259">
        <v>1</v>
      </c>
      <c r="B259">
        <f>DATA!M259</f>
        <v>1</v>
      </c>
    </row>
    <row r="260" spans="1:2" x14ac:dyDescent="0.3">
      <c r="A260">
        <v>1</v>
      </c>
      <c r="B260">
        <f>DATA!M260</f>
        <v>1</v>
      </c>
    </row>
    <row r="261" spans="1:2" x14ac:dyDescent="0.3">
      <c r="A261">
        <v>2</v>
      </c>
      <c r="B261">
        <f>DATA!M261</f>
        <v>0</v>
      </c>
    </row>
    <row r="262" spans="1:2" x14ac:dyDescent="0.3">
      <c r="A262">
        <v>1</v>
      </c>
      <c r="B262">
        <f>DATA!M262</f>
        <v>1</v>
      </c>
    </row>
    <row r="263" spans="1:2" x14ac:dyDescent="0.3">
      <c r="A263">
        <v>1</v>
      </c>
      <c r="B263">
        <f>DATA!M263</f>
        <v>1</v>
      </c>
    </row>
    <row r="264" spans="1:2" x14ac:dyDescent="0.3">
      <c r="A264">
        <v>2</v>
      </c>
      <c r="B264">
        <f>DATA!M264</f>
        <v>0</v>
      </c>
    </row>
    <row r="265" spans="1:2" x14ac:dyDescent="0.3">
      <c r="A265">
        <v>1</v>
      </c>
      <c r="B265">
        <f>DATA!M265</f>
        <v>1</v>
      </c>
    </row>
    <row r="266" spans="1:2" x14ac:dyDescent="0.3">
      <c r="A266">
        <v>2</v>
      </c>
      <c r="B266">
        <f>DATA!M266</f>
        <v>0</v>
      </c>
    </row>
    <row r="267" spans="1:2" x14ac:dyDescent="0.3">
      <c r="A267">
        <v>1</v>
      </c>
      <c r="B267">
        <f>DATA!M267</f>
        <v>1</v>
      </c>
    </row>
    <row r="268" spans="1:2" x14ac:dyDescent="0.3">
      <c r="A268">
        <v>2</v>
      </c>
      <c r="B268">
        <f>DATA!M268</f>
        <v>0</v>
      </c>
    </row>
    <row r="269" spans="1:2" x14ac:dyDescent="0.3">
      <c r="A269">
        <v>1</v>
      </c>
      <c r="B269">
        <f>DATA!M269</f>
        <v>1</v>
      </c>
    </row>
    <row r="270" spans="1:2" x14ac:dyDescent="0.3">
      <c r="A270">
        <v>1</v>
      </c>
      <c r="B270">
        <f>DATA!M270</f>
        <v>1</v>
      </c>
    </row>
    <row r="271" spans="1:2" x14ac:dyDescent="0.3">
      <c r="A271">
        <v>2</v>
      </c>
      <c r="B271">
        <f>DATA!M271</f>
        <v>1</v>
      </c>
    </row>
    <row r="272" spans="1:2" x14ac:dyDescent="0.3">
      <c r="A272">
        <v>2</v>
      </c>
      <c r="B272">
        <f>DATA!M272</f>
        <v>1</v>
      </c>
    </row>
    <row r="273" spans="1:2" x14ac:dyDescent="0.3">
      <c r="A273">
        <v>1</v>
      </c>
      <c r="B273">
        <f>DATA!M273</f>
        <v>1</v>
      </c>
    </row>
    <row r="274" spans="1:2" x14ac:dyDescent="0.3">
      <c r="A274">
        <v>1</v>
      </c>
      <c r="B274">
        <f>DATA!M274</f>
        <v>1</v>
      </c>
    </row>
    <row r="275" spans="1:2" x14ac:dyDescent="0.3">
      <c r="A275">
        <v>1</v>
      </c>
      <c r="B275">
        <f>DATA!M275</f>
        <v>0</v>
      </c>
    </row>
    <row r="276" spans="1:2" x14ac:dyDescent="0.3">
      <c r="A276">
        <v>1</v>
      </c>
      <c r="B276">
        <f>DATA!M276</f>
        <v>0</v>
      </c>
    </row>
    <row r="277" spans="1:2" x14ac:dyDescent="0.3">
      <c r="A277">
        <v>1</v>
      </c>
      <c r="B277">
        <f>DATA!M277</f>
        <v>0</v>
      </c>
    </row>
    <row r="278" spans="1:2" x14ac:dyDescent="0.3">
      <c r="A278">
        <v>2</v>
      </c>
      <c r="B278">
        <f>DATA!M278</f>
        <v>1</v>
      </c>
    </row>
    <row r="279" spans="1:2" x14ac:dyDescent="0.3">
      <c r="A279">
        <v>2</v>
      </c>
      <c r="B279">
        <f>DATA!M279</f>
        <v>1</v>
      </c>
    </row>
    <row r="280" spans="1:2" x14ac:dyDescent="0.3">
      <c r="A280">
        <v>1</v>
      </c>
      <c r="B280">
        <f>DATA!M280</f>
        <v>1</v>
      </c>
    </row>
    <row r="281" spans="1:2" x14ac:dyDescent="0.3">
      <c r="A281">
        <v>2</v>
      </c>
      <c r="B281">
        <f>DATA!M281</f>
        <v>1</v>
      </c>
    </row>
    <row r="282" spans="1:2" x14ac:dyDescent="0.3">
      <c r="A282">
        <v>2</v>
      </c>
      <c r="B282">
        <f>DATA!M282</f>
        <v>1</v>
      </c>
    </row>
    <row r="283" spans="1:2" x14ac:dyDescent="0.3">
      <c r="A283">
        <v>1</v>
      </c>
      <c r="B283">
        <f>DATA!M283</f>
        <v>1</v>
      </c>
    </row>
    <row r="284" spans="1:2" x14ac:dyDescent="0.3">
      <c r="A284">
        <v>1</v>
      </c>
      <c r="B284">
        <f>DATA!M284</f>
        <v>0</v>
      </c>
    </row>
    <row r="285" spans="1:2" x14ac:dyDescent="0.3">
      <c r="A285">
        <v>1</v>
      </c>
      <c r="B285">
        <f>DATA!M285</f>
        <v>1</v>
      </c>
    </row>
    <row r="286" spans="1:2" x14ac:dyDescent="0.3">
      <c r="A286">
        <v>2</v>
      </c>
      <c r="B286">
        <f>DATA!M286</f>
        <v>1</v>
      </c>
    </row>
    <row r="287" spans="1:2" x14ac:dyDescent="0.3">
      <c r="A287">
        <v>1</v>
      </c>
      <c r="B287">
        <f>DATA!M287</f>
        <v>1</v>
      </c>
    </row>
    <row r="288" spans="1:2" x14ac:dyDescent="0.3">
      <c r="A288">
        <v>2</v>
      </c>
      <c r="B288">
        <f>DATA!M288</f>
        <v>0</v>
      </c>
    </row>
    <row r="289" spans="1:2" x14ac:dyDescent="0.3">
      <c r="A289">
        <v>2</v>
      </c>
      <c r="B289">
        <f>DATA!M289</f>
        <v>1</v>
      </c>
    </row>
    <row r="290" spans="1:2" x14ac:dyDescent="0.3">
      <c r="A290">
        <v>2</v>
      </c>
      <c r="B290">
        <f>DATA!M290</f>
        <v>0</v>
      </c>
    </row>
    <row r="291" spans="1:2" x14ac:dyDescent="0.3">
      <c r="A291">
        <v>2</v>
      </c>
      <c r="B291">
        <f>DATA!M291</f>
        <v>0</v>
      </c>
    </row>
    <row r="292" spans="1:2" x14ac:dyDescent="0.3">
      <c r="A292">
        <v>2</v>
      </c>
      <c r="B292">
        <f>DATA!M292</f>
        <v>0</v>
      </c>
    </row>
    <row r="293" spans="1:2" x14ac:dyDescent="0.3">
      <c r="A293">
        <v>2</v>
      </c>
      <c r="B293">
        <f>DATA!M293</f>
        <v>1</v>
      </c>
    </row>
    <row r="294" spans="1:2" x14ac:dyDescent="0.3">
      <c r="A294">
        <v>2</v>
      </c>
      <c r="B294">
        <f>DATA!M294</f>
        <v>0</v>
      </c>
    </row>
    <row r="295" spans="1:2" x14ac:dyDescent="0.3">
      <c r="A295">
        <v>2</v>
      </c>
      <c r="B295">
        <f>DATA!M295</f>
        <v>1</v>
      </c>
    </row>
    <row r="296" spans="1:2" x14ac:dyDescent="0.3">
      <c r="A296">
        <v>2</v>
      </c>
      <c r="B296">
        <f>DATA!M296</f>
        <v>0</v>
      </c>
    </row>
    <row r="297" spans="1:2" x14ac:dyDescent="0.3">
      <c r="A297">
        <v>1</v>
      </c>
      <c r="B297">
        <f>DATA!M297</f>
        <v>0</v>
      </c>
    </row>
    <row r="298" spans="1:2" x14ac:dyDescent="0.3">
      <c r="A298">
        <v>2</v>
      </c>
      <c r="B298">
        <f>DATA!M298</f>
        <v>1</v>
      </c>
    </row>
    <row r="299" spans="1:2" x14ac:dyDescent="0.3">
      <c r="A299">
        <v>2</v>
      </c>
      <c r="B299">
        <f>DATA!M299</f>
        <v>1</v>
      </c>
    </row>
    <row r="300" spans="1:2" x14ac:dyDescent="0.3">
      <c r="A300">
        <v>2</v>
      </c>
      <c r="B300">
        <f>DATA!M300</f>
        <v>1</v>
      </c>
    </row>
    <row r="301" spans="1:2" x14ac:dyDescent="0.3">
      <c r="A301">
        <v>2</v>
      </c>
      <c r="B301">
        <f>DATA!M301</f>
        <v>0</v>
      </c>
    </row>
    <row r="302" spans="1:2" x14ac:dyDescent="0.3">
      <c r="A302">
        <v>1</v>
      </c>
      <c r="B302">
        <f>DATA!M302</f>
        <v>1</v>
      </c>
    </row>
    <row r="303" spans="1:2" x14ac:dyDescent="0.3">
      <c r="A303">
        <v>1</v>
      </c>
      <c r="B303">
        <f>DATA!M303</f>
        <v>1</v>
      </c>
    </row>
    <row r="304" spans="1:2" x14ac:dyDescent="0.3">
      <c r="A304">
        <v>1</v>
      </c>
      <c r="B304">
        <f>DATA!M304</f>
        <v>0</v>
      </c>
    </row>
    <row r="305" spans="1:2" x14ac:dyDescent="0.3">
      <c r="A305">
        <v>1</v>
      </c>
      <c r="B305">
        <f>DATA!M305</f>
        <v>1</v>
      </c>
    </row>
    <row r="306" spans="1:2" x14ac:dyDescent="0.3">
      <c r="A306">
        <v>2</v>
      </c>
      <c r="B306">
        <f>DATA!M306</f>
        <v>0</v>
      </c>
    </row>
    <row r="307" spans="1:2" x14ac:dyDescent="0.3">
      <c r="A307">
        <v>2</v>
      </c>
      <c r="B307">
        <f>DATA!M307</f>
        <v>0</v>
      </c>
    </row>
    <row r="308" spans="1:2" x14ac:dyDescent="0.3">
      <c r="A308">
        <v>2</v>
      </c>
      <c r="B308">
        <f>DATA!M308</f>
        <v>1</v>
      </c>
    </row>
    <row r="309" spans="1:2" x14ac:dyDescent="0.3">
      <c r="A309">
        <v>1</v>
      </c>
      <c r="B309">
        <f>DATA!M309</f>
        <v>0</v>
      </c>
    </row>
    <row r="310" spans="1:2" x14ac:dyDescent="0.3">
      <c r="A310">
        <v>2</v>
      </c>
      <c r="B310">
        <f>DATA!M310</f>
        <v>1</v>
      </c>
    </row>
    <row r="311" spans="1:2" x14ac:dyDescent="0.3">
      <c r="A311">
        <v>1</v>
      </c>
      <c r="B311">
        <f>DATA!M311</f>
        <v>1</v>
      </c>
    </row>
    <row r="312" spans="1:2" x14ac:dyDescent="0.3">
      <c r="A312">
        <v>1</v>
      </c>
      <c r="B312">
        <f>DATA!M312</f>
        <v>0</v>
      </c>
    </row>
    <row r="313" spans="1:2" x14ac:dyDescent="0.3">
      <c r="A313">
        <v>2</v>
      </c>
      <c r="B313">
        <f>DATA!M313</f>
        <v>1</v>
      </c>
    </row>
    <row r="314" spans="1:2" x14ac:dyDescent="0.3">
      <c r="A314">
        <v>1</v>
      </c>
      <c r="B314">
        <f>DATA!M314</f>
        <v>1</v>
      </c>
    </row>
    <row r="315" spans="1:2" x14ac:dyDescent="0.3">
      <c r="A315">
        <v>1</v>
      </c>
      <c r="B315">
        <f>DATA!M315</f>
        <v>1</v>
      </c>
    </row>
    <row r="316" spans="1:2" x14ac:dyDescent="0.3">
      <c r="A316">
        <v>2</v>
      </c>
      <c r="B316">
        <f>DATA!M316</f>
        <v>0</v>
      </c>
    </row>
    <row r="317" spans="1:2" x14ac:dyDescent="0.3">
      <c r="A317">
        <v>2</v>
      </c>
      <c r="B317">
        <f>DATA!M317</f>
        <v>0</v>
      </c>
    </row>
    <row r="318" spans="1:2" x14ac:dyDescent="0.3">
      <c r="A318">
        <v>1</v>
      </c>
      <c r="B318">
        <f>DATA!M318</f>
        <v>1</v>
      </c>
    </row>
    <row r="319" spans="1:2" x14ac:dyDescent="0.3">
      <c r="A319">
        <v>1</v>
      </c>
      <c r="B319">
        <f>DATA!M319</f>
        <v>1</v>
      </c>
    </row>
    <row r="320" spans="1:2" x14ac:dyDescent="0.3">
      <c r="A320">
        <v>2</v>
      </c>
      <c r="B320">
        <f>DATA!M320</f>
        <v>1</v>
      </c>
    </row>
    <row r="321" spans="1:2" x14ac:dyDescent="0.3">
      <c r="A321">
        <v>1</v>
      </c>
      <c r="B321">
        <f>DATA!M321</f>
        <v>1</v>
      </c>
    </row>
    <row r="322" spans="1:2" x14ac:dyDescent="0.3">
      <c r="A322">
        <v>1</v>
      </c>
      <c r="B322">
        <f>DATA!M322</f>
        <v>0</v>
      </c>
    </row>
    <row r="323" spans="1:2" x14ac:dyDescent="0.3">
      <c r="A323">
        <v>1</v>
      </c>
      <c r="B323">
        <f>DATA!M323</f>
        <v>1</v>
      </c>
    </row>
    <row r="324" spans="1:2" x14ac:dyDescent="0.3">
      <c r="A324">
        <v>2</v>
      </c>
      <c r="B324">
        <f>DATA!M324</f>
        <v>1</v>
      </c>
    </row>
    <row r="325" spans="1:2" x14ac:dyDescent="0.3">
      <c r="A325">
        <v>1</v>
      </c>
      <c r="B325">
        <f>DATA!M325</f>
        <v>0</v>
      </c>
    </row>
    <row r="326" spans="1:2" x14ac:dyDescent="0.3">
      <c r="A326">
        <v>1</v>
      </c>
      <c r="B326">
        <f>DATA!M326</f>
        <v>1</v>
      </c>
    </row>
    <row r="327" spans="1:2" x14ac:dyDescent="0.3">
      <c r="A327">
        <v>1</v>
      </c>
      <c r="B327">
        <f>DATA!M327</f>
        <v>1</v>
      </c>
    </row>
    <row r="328" spans="1:2" x14ac:dyDescent="0.3">
      <c r="A328">
        <v>2</v>
      </c>
      <c r="B328">
        <f>DATA!M328</f>
        <v>1</v>
      </c>
    </row>
    <row r="329" spans="1:2" x14ac:dyDescent="0.3">
      <c r="A329">
        <v>1</v>
      </c>
      <c r="B329">
        <f>DATA!M329</f>
        <v>0</v>
      </c>
    </row>
    <row r="330" spans="1:2" x14ac:dyDescent="0.3">
      <c r="A330">
        <v>2</v>
      </c>
      <c r="B330">
        <f>DATA!M330</f>
        <v>0</v>
      </c>
    </row>
    <row r="331" spans="1:2" x14ac:dyDescent="0.3">
      <c r="A331">
        <v>1</v>
      </c>
      <c r="B331">
        <f>DATA!M331</f>
        <v>0</v>
      </c>
    </row>
    <row r="332" spans="1:2" x14ac:dyDescent="0.3">
      <c r="A332">
        <v>2</v>
      </c>
      <c r="B332">
        <f>DATA!M332</f>
        <v>1</v>
      </c>
    </row>
    <row r="333" spans="1:2" x14ac:dyDescent="0.3">
      <c r="A333">
        <v>2</v>
      </c>
      <c r="B333">
        <f>DATA!M333</f>
        <v>0</v>
      </c>
    </row>
    <row r="334" spans="1:2" x14ac:dyDescent="0.3">
      <c r="A334">
        <v>2</v>
      </c>
      <c r="B334">
        <f>DATA!M334</f>
        <v>1</v>
      </c>
    </row>
    <row r="335" spans="1:2" x14ac:dyDescent="0.3">
      <c r="A335">
        <v>2</v>
      </c>
      <c r="B335">
        <f>DATA!M335</f>
        <v>1</v>
      </c>
    </row>
    <row r="336" spans="1:2" x14ac:dyDescent="0.3">
      <c r="A336">
        <v>1</v>
      </c>
      <c r="B336">
        <f>DATA!M336</f>
        <v>0</v>
      </c>
    </row>
    <row r="337" spans="1:2" x14ac:dyDescent="0.3">
      <c r="A337">
        <v>2</v>
      </c>
      <c r="B337">
        <f>DATA!M337</f>
        <v>1</v>
      </c>
    </row>
    <row r="338" spans="1:2" x14ac:dyDescent="0.3">
      <c r="A338">
        <v>1</v>
      </c>
      <c r="B338">
        <f>DATA!M338</f>
        <v>1</v>
      </c>
    </row>
    <row r="339" spans="1:2" x14ac:dyDescent="0.3">
      <c r="A339">
        <v>2</v>
      </c>
      <c r="B339">
        <f>DATA!M339</f>
        <v>1</v>
      </c>
    </row>
    <row r="340" spans="1:2" x14ac:dyDescent="0.3">
      <c r="A340">
        <v>2</v>
      </c>
      <c r="B340">
        <f>DATA!M340</f>
        <v>1</v>
      </c>
    </row>
    <row r="341" spans="1:2" x14ac:dyDescent="0.3">
      <c r="A341">
        <v>1</v>
      </c>
      <c r="B341">
        <f>DATA!M341</f>
        <v>1</v>
      </c>
    </row>
    <row r="342" spans="1:2" x14ac:dyDescent="0.3">
      <c r="A342">
        <v>1</v>
      </c>
      <c r="B342">
        <f>DATA!M342</f>
        <v>0</v>
      </c>
    </row>
    <row r="343" spans="1:2" x14ac:dyDescent="0.3">
      <c r="A343">
        <v>1</v>
      </c>
      <c r="B343">
        <f>DATA!M343</f>
        <v>1</v>
      </c>
    </row>
    <row r="344" spans="1:2" x14ac:dyDescent="0.3">
      <c r="A344">
        <v>2</v>
      </c>
      <c r="B344">
        <f>DATA!M344</f>
        <v>1</v>
      </c>
    </row>
    <row r="345" spans="1:2" x14ac:dyDescent="0.3">
      <c r="A345">
        <v>2</v>
      </c>
      <c r="B345">
        <f>DATA!M345</f>
        <v>1</v>
      </c>
    </row>
    <row r="346" spans="1:2" x14ac:dyDescent="0.3">
      <c r="A346">
        <v>1</v>
      </c>
      <c r="B346">
        <f>DATA!M346</f>
        <v>0</v>
      </c>
    </row>
    <row r="347" spans="1:2" x14ac:dyDescent="0.3">
      <c r="A347">
        <v>2</v>
      </c>
      <c r="B347">
        <f>DATA!M347</f>
        <v>0</v>
      </c>
    </row>
    <row r="348" spans="1:2" x14ac:dyDescent="0.3">
      <c r="A348">
        <v>2</v>
      </c>
      <c r="B348">
        <f>DATA!M348</f>
        <v>0</v>
      </c>
    </row>
    <row r="349" spans="1:2" x14ac:dyDescent="0.3">
      <c r="A349">
        <v>1</v>
      </c>
      <c r="B349">
        <f>DATA!M349</f>
        <v>0</v>
      </c>
    </row>
    <row r="350" spans="1:2" x14ac:dyDescent="0.3">
      <c r="A350">
        <v>1</v>
      </c>
      <c r="B350">
        <f>DATA!M350</f>
        <v>0</v>
      </c>
    </row>
    <row r="351" spans="1:2" x14ac:dyDescent="0.3">
      <c r="A351">
        <v>1</v>
      </c>
      <c r="B351">
        <f>DATA!M351</f>
        <v>0</v>
      </c>
    </row>
    <row r="352" spans="1:2" x14ac:dyDescent="0.3">
      <c r="A352">
        <v>1</v>
      </c>
      <c r="B352">
        <f>DATA!M352</f>
        <v>1</v>
      </c>
    </row>
    <row r="353" spans="1:2" x14ac:dyDescent="0.3">
      <c r="A353">
        <v>2</v>
      </c>
      <c r="B353">
        <f>DATA!M353</f>
        <v>1</v>
      </c>
    </row>
    <row r="354" spans="1:2" x14ac:dyDescent="0.3">
      <c r="A354">
        <v>2</v>
      </c>
      <c r="B354">
        <f>DATA!M354</f>
        <v>0</v>
      </c>
    </row>
    <row r="355" spans="1:2" x14ac:dyDescent="0.3">
      <c r="A355">
        <v>1</v>
      </c>
      <c r="B355">
        <f>DATA!M355</f>
        <v>1</v>
      </c>
    </row>
    <row r="356" spans="1:2" x14ac:dyDescent="0.3">
      <c r="A356">
        <v>2</v>
      </c>
      <c r="B356">
        <f>DATA!M356</f>
        <v>1</v>
      </c>
    </row>
    <row r="357" spans="1:2" x14ac:dyDescent="0.3">
      <c r="A357">
        <v>2</v>
      </c>
      <c r="B357">
        <f>DATA!M357</f>
        <v>1</v>
      </c>
    </row>
    <row r="358" spans="1:2" x14ac:dyDescent="0.3">
      <c r="A358">
        <v>2</v>
      </c>
      <c r="B358">
        <f>DATA!M358</f>
        <v>1</v>
      </c>
    </row>
    <row r="359" spans="1:2" x14ac:dyDescent="0.3">
      <c r="A359">
        <v>2</v>
      </c>
      <c r="B359">
        <f>DATA!M359</f>
        <v>0</v>
      </c>
    </row>
    <row r="360" spans="1:2" x14ac:dyDescent="0.3">
      <c r="A360">
        <v>2</v>
      </c>
      <c r="B360">
        <f>DATA!M360</f>
        <v>1</v>
      </c>
    </row>
    <row r="361" spans="1:2" x14ac:dyDescent="0.3">
      <c r="A361">
        <v>2</v>
      </c>
      <c r="B361">
        <f>DATA!M361</f>
        <v>0</v>
      </c>
    </row>
    <row r="362" spans="1:2" x14ac:dyDescent="0.3">
      <c r="A362">
        <v>1</v>
      </c>
      <c r="B362">
        <f>DATA!M362</f>
        <v>0</v>
      </c>
    </row>
    <row r="363" spans="1:2" x14ac:dyDescent="0.3">
      <c r="A363">
        <v>2</v>
      </c>
      <c r="B363">
        <f>DATA!M363</f>
        <v>1</v>
      </c>
    </row>
    <row r="364" spans="1:2" x14ac:dyDescent="0.3">
      <c r="A364">
        <v>2</v>
      </c>
      <c r="B364">
        <f>DATA!M364</f>
        <v>0</v>
      </c>
    </row>
    <row r="365" spans="1:2" x14ac:dyDescent="0.3">
      <c r="A365">
        <v>2</v>
      </c>
      <c r="B365">
        <f>DATA!M365</f>
        <v>1</v>
      </c>
    </row>
    <row r="366" spans="1:2" x14ac:dyDescent="0.3">
      <c r="A366">
        <v>1</v>
      </c>
      <c r="B366">
        <f>DATA!M366</f>
        <v>0</v>
      </c>
    </row>
    <row r="367" spans="1:2" x14ac:dyDescent="0.3">
      <c r="A367">
        <v>2</v>
      </c>
      <c r="B367">
        <f>DATA!M367</f>
        <v>1</v>
      </c>
    </row>
    <row r="368" spans="1:2" x14ac:dyDescent="0.3">
      <c r="A368">
        <v>2</v>
      </c>
      <c r="B368">
        <f>DATA!M368</f>
        <v>1</v>
      </c>
    </row>
    <row r="369" spans="1:2" x14ac:dyDescent="0.3">
      <c r="A369">
        <v>2</v>
      </c>
      <c r="B369">
        <f>DATA!M369</f>
        <v>0</v>
      </c>
    </row>
    <row r="370" spans="1:2" x14ac:dyDescent="0.3">
      <c r="A370">
        <v>2</v>
      </c>
      <c r="B370">
        <f>DATA!M370</f>
        <v>1</v>
      </c>
    </row>
    <row r="371" spans="1:2" x14ac:dyDescent="0.3">
      <c r="A371">
        <v>2</v>
      </c>
      <c r="B371">
        <f>DATA!M371</f>
        <v>0</v>
      </c>
    </row>
    <row r="372" spans="1:2" x14ac:dyDescent="0.3">
      <c r="A372">
        <v>1</v>
      </c>
      <c r="B372">
        <f>DATA!M372</f>
        <v>1</v>
      </c>
    </row>
    <row r="373" spans="1:2" x14ac:dyDescent="0.3">
      <c r="A373">
        <v>2</v>
      </c>
      <c r="B373">
        <f>DATA!M373</f>
        <v>0</v>
      </c>
    </row>
    <row r="374" spans="1:2" x14ac:dyDescent="0.3">
      <c r="A374">
        <v>2</v>
      </c>
      <c r="B374">
        <f>DATA!M374</f>
        <v>0</v>
      </c>
    </row>
    <row r="375" spans="1:2" x14ac:dyDescent="0.3">
      <c r="A375">
        <v>1</v>
      </c>
      <c r="B375">
        <f>DATA!M375</f>
        <v>0</v>
      </c>
    </row>
    <row r="376" spans="1:2" x14ac:dyDescent="0.3">
      <c r="A376">
        <v>1</v>
      </c>
      <c r="B376">
        <f>DATA!M376</f>
        <v>0</v>
      </c>
    </row>
    <row r="377" spans="1:2" x14ac:dyDescent="0.3">
      <c r="A377">
        <v>2</v>
      </c>
      <c r="B377">
        <f>DATA!M377</f>
        <v>1</v>
      </c>
    </row>
    <row r="378" spans="1:2" x14ac:dyDescent="0.3">
      <c r="A378">
        <v>2</v>
      </c>
      <c r="B378">
        <f>DATA!M378</f>
        <v>0</v>
      </c>
    </row>
    <row r="379" spans="1:2" x14ac:dyDescent="0.3">
      <c r="A379">
        <v>2</v>
      </c>
      <c r="B379">
        <f>DATA!M379</f>
        <v>0</v>
      </c>
    </row>
    <row r="380" spans="1:2" x14ac:dyDescent="0.3">
      <c r="A380">
        <v>1</v>
      </c>
      <c r="B380">
        <f>DATA!M380</f>
        <v>1</v>
      </c>
    </row>
    <row r="381" spans="1:2" x14ac:dyDescent="0.3">
      <c r="A381">
        <v>2</v>
      </c>
      <c r="B381">
        <f>DATA!M381</f>
        <v>1</v>
      </c>
    </row>
    <row r="382" spans="1:2" x14ac:dyDescent="0.3">
      <c r="A382">
        <v>1</v>
      </c>
      <c r="B382">
        <f>DATA!M382</f>
        <v>1</v>
      </c>
    </row>
    <row r="383" spans="1:2" x14ac:dyDescent="0.3">
      <c r="A383">
        <v>2</v>
      </c>
      <c r="B383">
        <f>DATA!M383</f>
        <v>1</v>
      </c>
    </row>
    <row r="384" spans="1:2" x14ac:dyDescent="0.3">
      <c r="A384">
        <v>1</v>
      </c>
      <c r="B384">
        <f>DATA!M384</f>
        <v>1</v>
      </c>
    </row>
    <row r="385" spans="1:2" x14ac:dyDescent="0.3">
      <c r="A385">
        <v>1</v>
      </c>
      <c r="B385">
        <f>DATA!M385</f>
        <v>0</v>
      </c>
    </row>
    <row r="386" spans="1:2" x14ac:dyDescent="0.3">
      <c r="A386">
        <v>1</v>
      </c>
      <c r="B386">
        <f>DATA!M386</f>
        <v>0</v>
      </c>
    </row>
    <row r="387" spans="1:2" x14ac:dyDescent="0.3">
      <c r="A387">
        <v>2</v>
      </c>
      <c r="B387">
        <f>DATA!M387</f>
        <v>0</v>
      </c>
    </row>
    <row r="388" spans="1:2" x14ac:dyDescent="0.3">
      <c r="A388">
        <v>2</v>
      </c>
      <c r="B388">
        <f>DATA!M388</f>
        <v>0</v>
      </c>
    </row>
    <row r="389" spans="1:2" x14ac:dyDescent="0.3">
      <c r="A389">
        <v>2</v>
      </c>
      <c r="B389">
        <f>DATA!M389</f>
        <v>0</v>
      </c>
    </row>
    <row r="390" spans="1:2" x14ac:dyDescent="0.3">
      <c r="A390">
        <v>2</v>
      </c>
      <c r="B390">
        <f>DATA!M390</f>
        <v>1</v>
      </c>
    </row>
    <row r="391" spans="1:2" x14ac:dyDescent="0.3">
      <c r="A391">
        <v>2</v>
      </c>
      <c r="B391">
        <f>DATA!M391</f>
        <v>1</v>
      </c>
    </row>
    <row r="392" spans="1:2" x14ac:dyDescent="0.3">
      <c r="A392">
        <v>1</v>
      </c>
      <c r="B392">
        <f>DATA!M392</f>
        <v>1</v>
      </c>
    </row>
    <row r="393" spans="1:2" x14ac:dyDescent="0.3">
      <c r="A393">
        <v>2</v>
      </c>
      <c r="B393">
        <f>DATA!M393</f>
        <v>1</v>
      </c>
    </row>
    <row r="394" spans="1:2" x14ac:dyDescent="0.3">
      <c r="A394">
        <v>2</v>
      </c>
      <c r="B394">
        <f>DATA!M394</f>
        <v>0</v>
      </c>
    </row>
    <row r="395" spans="1:2" x14ac:dyDescent="0.3">
      <c r="A395">
        <v>2</v>
      </c>
      <c r="B395">
        <f>DATA!M395</f>
        <v>1</v>
      </c>
    </row>
    <row r="396" spans="1:2" x14ac:dyDescent="0.3">
      <c r="A396">
        <v>1</v>
      </c>
      <c r="B396">
        <f>DATA!M396</f>
        <v>1</v>
      </c>
    </row>
    <row r="397" spans="1:2" x14ac:dyDescent="0.3">
      <c r="A397">
        <v>2</v>
      </c>
      <c r="B397">
        <f>DATA!M397</f>
        <v>0</v>
      </c>
    </row>
    <row r="398" spans="1:2" x14ac:dyDescent="0.3">
      <c r="A398">
        <v>2</v>
      </c>
      <c r="B398">
        <f>DATA!M398</f>
        <v>1</v>
      </c>
    </row>
    <row r="399" spans="1:2" x14ac:dyDescent="0.3">
      <c r="A399">
        <v>2</v>
      </c>
      <c r="B399">
        <f>DATA!M399</f>
        <v>0</v>
      </c>
    </row>
    <row r="400" spans="1:2" x14ac:dyDescent="0.3">
      <c r="A400">
        <v>1</v>
      </c>
      <c r="B400">
        <f>DATA!M400</f>
        <v>1</v>
      </c>
    </row>
    <row r="401" spans="1:2" x14ac:dyDescent="0.3">
      <c r="A401">
        <v>2</v>
      </c>
      <c r="B401">
        <f>DATA!M401</f>
        <v>0</v>
      </c>
    </row>
    <row r="402" spans="1:2" x14ac:dyDescent="0.3">
      <c r="A402">
        <v>2</v>
      </c>
      <c r="B402">
        <f>DATA!M402</f>
        <v>0</v>
      </c>
    </row>
    <row r="403" spans="1:2" x14ac:dyDescent="0.3">
      <c r="A403">
        <v>1</v>
      </c>
      <c r="B403">
        <f>DATA!M403</f>
        <v>1</v>
      </c>
    </row>
    <row r="404" spans="1:2" x14ac:dyDescent="0.3">
      <c r="A404">
        <v>2</v>
      </c>
      <c r="B404">
        <f>DATA!M404</f>
        <v>1</v>
      </c>
    </row>
    <row r="405" spans="1:2" x14ac:dyDescent="0.3">
      <c r="A405">
        <v>1</v>
      </c>
      <c r="B405">
        <f>DATA!M405</f>
        <v>1</v>
      </c>
    </row>
    <row r="406" spans="1:2" x14ac:dyDescent="0.3">
      <c r="A406">
        <v>2</v>
      </c>
      <c r="B406">
        <f>DATA!M406</f>
        <v>1</v>
      </c>
    </row>
    <row r="407" spans="1:2" x14ac:dyDescent="0.3">
      <c r="A407">
        <v>2</v>
      </c>
      <c r="B407">
        <f>DATA!M407</f>
        <v>1</v>
      </c>
    </row>
    <row r="408" spans="1:2" x14ac:dyDescent="0.3">
      <c r="A408">
        <v>1</v>
      </c>
      <c r="B408">
        <f>DATA!M408</f>
        <v>0</v>
      </c>
    </row>
    <row r="409" spans="1:2" x14ac:dyDescent="0.3">
      <c r="A409">
        <v>1</v>
      </c>
      <c r="B409">
        <f>DATA!M409</f>
        <v>0</v>
      </c>
    </row>
    <row r="410" spans="1:2" x14ac:dyDescent="0.3">
      <c r="A410">
        <v>2</v>
      </c>
      <c r="B410">
        <f>DATA!M410</f>
        <v>1</v>
      </c>
    </row>
    <row r="411" spans="1:2" x14ac:dyDescent="0.3">
      <c r="A411">
        <v>2</v>
      </c>
      <c r="B411">
        <f>DATA!M411</f>
        <v>1</v>
      </c>
    </row>
    <row r="412" spans="1:2" x14ac:dyDescent="0.3">
      <c r="A412">
        <v>2</v>
      </c>
      <c r="B412">
        <f>DATA!M412</f>
        <v>1</v>
      </c>
    </row>
    <row r="413" spans="1:2" x14ac:dyDescent="0.3">
      <c r="A413">
        <v>2</v>
      </c>
      <c r="B413">
        <f>DATA!M413</f>
        <v>1</v>
      </c>
    </row>
    <row r="414" spans="1:2" x14ac:dyDescent="0.3">
      <c r="A414">
        <v>2</v>
      </c>
      <c r="B414">
        <f>DATA!M414</f>
        <v>0</v>
      </c>
    </row>
    <row r="415" spans="1:2" x14ac:dyDescent="0.3">
      <c r="A415">
        <v>1</v>
      </c>
      <c r="B415">
        <f>DATA!M415</f>
        <v>1</v>
      </c>
    </row>
    <row r="416" spans="1:2" x14ac:dyDescent="0.3">
      <c r="A416">
        <v>2</v>
      </c>
      <c r="B416">
        <f>DATA!M416</f>
        <v>1</v>
      </c>
    </row>
    <row r="417" spans="1:2" x14ac:dyDescent="0.3">
      <c r="A417">
        <v>1</v>
      </c>
      <c r="B417">
        <f>DATA!M417</f>
        <v>1</v>
      </c>
    </row>
    <row r="418" spans="1:2" x14ac:dyDescent="0.3">
      <c r="A418">
        <v>2</v>
      </c>
      <c r="B418">
        <f>DATA!M418</f>
        <v>1</v>
      </c>
    </row>
    <row r="419" spans="1:2" x14ac:dyDescent="0.3">
      <c r="A419">
        <v>2</v>
      </c>
      <c r="B419">
        <f>DATA!M419</f>
        <v>1</v>
      </c>
    </row>
    <row r="420" spans="1:2" x14ac:dyDescent="0.3">
      <c r="A420">
        <v>2</v>
      </c>
      <c r="B420">
        <f>DATA!M420</f>
        <v>0</v>
      </c>
    </row>
    <row r="421" spans="1:2" x14ac:dyDescent="0.3">
      <c r="A421">
        <v>1</v>
      </c>
      <c r="B421">
        <f>DATA!M421</f>
        <v>0</v>
      </c>
    </row>
    <row r="422" spans="1:2" x14ac:dyDescent="0.3">
      <c r="A422">
        <v>2</v>
      </c>
      <c r="B422">
        <f>DATA!M422</f>
        <v>0</v>
      </c>
    </row>
    <row r="423" spans="1:2" x14ac:dyDescent="0.3">
      <c r="A423">
        <v>2</v>
      </c>
      <c r="B423">
        <f>DATA!M423</f>
        <v>1</v>
      </c>
    </row>
    <row r="424" spans="1:2" x14ac:dyDescent="0.3">
      <c r="A424">
        <v>1</v>
      </c>
      <c r="B424">
        <f>DATA!M424</f>
        <v>1</v>
      </c>
    </row>
    <row r="425" spans="1:2" x14ac:dyDescent="0.3">
      <c r="A425">
        <v>1</v>
      </c>
      <c r="B425">
        <f>DATA!M425</f>
        <v>1</v>
      </c>
    </row>
    <row r="426" spans="1:2" x14ac:dyDescent="0.3">
      <c r="A426">
        <v>2</v>
      </c>
      <c r="B426">
        <f>DATA!M426</f>
        <v>1</v>
      </c>
    </row>
    <row r="427" spans="1:2" x14ac:dyDescent="0.3">
      <c r="A427">
        <v>2</v>
      </c>
      <c r="B427">
        <f>DATA!M427</f>
        <v>1</v>
      </c>
    </row>
    <row r="428" spans="1:2" x14ac:dyDescent="0.3">
      <c r="A428">
        <v>2</v>
      </c>
      <c r="B428">
        <f>DATA!M428</f>
        <v>0</v>
      </c>
    </row>
    <row r="429" spans="1:2" x14ac:dyDescent="0.3">
      <c r="A429">
        <v>2</v>
      </c>
      <c r="B429">
        <f>DATA!M429</f>
        <v>1</v>
      </c>
    </row>
    <row r="430" spans="1:2" x14ac:dyDescent="0.3">
      <c r="A430">
        <v>1</v>
      </c>
      <c r="B430">
        <f>DATA!M430</f>
        <v>1</v>
      </c>
    </row>
    <row r="431" spans="1:2" x14ac:dyDescent="0.3">
      <c r="A431">
        <v>1</v>
      </c>
      <c r="B431">
        <f>DATA!M431</f>
        <v>0</v>
      </c>
    </row>
    <row r="432" spans="1:2" x14ac:dyDescent="0.3">
      <c r="A432">
        <v>2</v>
      </c>
      <c r="B432">
        <f>DATA!M432</f>
        <v>0</v>
      </c>
    </row>
    <row r="433" spans="1:2" x14ac:dyDescent="0.3">
      <c r="A433">
        <v>1</v>
      </c>
      <c r="B433">
        <f>DATA!M433</f>
        <v>1</v>
      </c>
    </row>
    <row r="434" spans="1:2" x14ac:dyDescent="0.3">
      <c r="A434">
        <v>1</v>
      </c>
      <c r="B434">
        <f>DATA!M434</f>
        <v>1</v>
      </c>
    </row>
    <row r="435" spans="1:2" x14ac:dyDescent="0.3">
      <c r="A435">
        <v>1</v>
      </c>
      <c r="B435">
        <f>DATA!M435</f>
        <v>1</v>
      </c>
    </row>
    <row r="436" spans="1:2" x14ac:dyDescent="0.3">
      <c r="A436">
        <v>1</v>
      </c>
      <c r="B436">
        <f>DATA!M436</f>
        <v>1</v>
      </c>
    </row>
    <row r="437" spans="1:2" x14ac:dyDescent="0.3">
      <c r="A437">
        <v>1</v>
      </c>
      <c r="B437">
        <f>DATA!M437</f>
        <v>1</v>
      </c>
    </row>
    <row r="438" spans="1:2" x14ac:dyDescent="0.3">
      <c r="A438">
        <v>2</v>
      </c>
      <c r="B438">
        <f>DATA!M438</f>
        <v>0</v>
      </c>
    </row>
    <row r="439" spans="1:2" x14ac:dyDescent="0.3">
      <c r="A439">
        <v>2</v>
      </c>
      <c r="B439">
        <f>DATA!M439</f>
        <v>0</v>
      </c>
    </row>
    <row r="440" spans="1:2" x14ac:dyDescent="0.3">
      <c r="A440">
        <v>1</v>
      </c>
      <c r="B440">
        <f>DATA!M440</f>
        <v>0</v>
      </c>
    </row>
    <row r="441" spans="1:2" x14ac:dyDescent="0.3">
      <c r="A441">
        <v>2</v>
      </c>
      <c r="B441">
        <f>DATA!M441</f>
        <v>1</v>
      </c>
    </row>
    <row r="442" spans="1:2" x14ac:dyDescent="0.3">
      <c r="A442">
        <v>1</v>
      </c>
      <c r="B442">
        <f>DATA!M442</f>
        <v>1</v>
      </c>
    </row>
    <row r="443" spans="1:2" x14ac:dyDescent="0.3">
      <c r="A443">
        <v>1</v>
      </c>
      <c r="B443">
        <f>DATA!M443</f>
        <v>1</v>
      </c>
    </row>
    <row r="444" spans="1:2" x14ac:dyDescent="0.3">
      <c r="A444">
        <v>1</v>
      </c>
      <c r="B444">
        <f>DATA!M444</f>
        <v>1</v>
      </c>
    </row>
    <row r="445" spans="1:2" x14ac:dyDescent="0.3">
      <c r="A445">
        <v>1</v>
      </c>
      <c r="B445">
        <f>DATA!M445</f>
        <v>0</v>
      </c>
    </row>
    <row r="446" spans="1:2" x14ac:dyDescent="0.3">
      <c r="A446">
        <v>1</v>
      </c>
      <c r="B446">
        <f>DATA!M446</f>
        <v>1</v>
      </c>
    </row>
    <row r="447" spans="1:2" x14ac:dyDescent="0.3">
      <c r="A447">
        <v>2</v>
      </c>
      <c r="B447">
        <f>DATA!M447</f>
        <v>1</v>
      </c>
    </row>
    <row r="448" spans="1:2" x14ac:dyDescent="0.3">
      <c r="A448">
        <v>2</v>
      </c>
      <c r="B448">
        <f>DATA!M448</f>
        <v>1</v>
      </c>
    </row>
    <row r="449" spans="1:2" x14ac:dyDescent="0.3">
      <c r="A449">
        <v>2</v>
      </c>
      <c r="B449">
        <f>DATA!M449</f>
        <v>0</v>
      </c>
    </row>
    <row r="450" spans="1:2" x14ac:dyDescent="0.3">
      <c r="A450">
        <v>2</v>
      </c>
      <c r="B450">
        <f>DATA!M450</f>
        <v>1</v>
      </c>
    </row>
    <row r="451" spans="1:2" x14ac:dyDescent="0.3">
      <c r="A451">
        <v>2</v>
      </c>
      <c r="B451">
        <f>DATA!M451</f>
        <v>0</v>
      </c>
    </row>
    <row r="452" spans="1:2" x14ac:dyDescent="0.3">
      <c r="A452">
        <v>2</v>
      </c>
      <c r="B452">
        <f>DATA!M452</f>
        <v>0</v>
      </c>
    </row>
    <row r="453" spans="1:2" x14ac:dyDescent="0.3">
      <c r="A453">
        <v>2</v>
      </c>
      <c r="B453">
        <f>DATA!M453</f>
        <v>1</v>
      </c>
    </row>
    <row r="454" spans="1:2" x14ac:dyDescent="0.3">
      <c r="A454">
        <v>1</v>
      </c>
      <c r="B454">
        <f>DATA!M454</f>
        <v>1</v>
      </c>
    </row>
    <row r="455" spans="1:2" x14ac:dyDescent="0.3">
      <c r="A455">
        <v>2</v>
      </c>
      <c r="B455">
        <f>DATA!M455</f>
        <v>0</v>
      </c>
    </row>
    <row r="456" spans="1:2" x14ac:dyDescent="0.3">
      <c r="A456">
        <v>2</v>
      </c>
      <c r="B456">
        <f>DATA!M456</f>
        <v>0</v>
      </c>
    </row>
    <row r="457" spans="1:2" x14ac:dyDescent="0.3">
      <c r="A457">
        <v>1</v>
      </c>
      <c r="B457">
        <f>DATA!M457</f>
        <v>0</v>
      </c>
    </row>
    <row r="458" spans="1:2" x14ac:dyDescent="0.3">
      <c r="A458">
        <v>2</v>
      </c>
      <c r="B458">
        <f>DATA!M458</f>
        <v>0</v>
      </c>
    </row>
    <row r="459" spans="1:2" x14ac:dyDescent="0.3">
      <c r="A459">
        <v>1</v>
      </c>
      <c r="B459">
        <f>DATA!M459</f>
        <v>1</v>
      </c>
    </row>
    <row r="460" spans="1:2" x14ac:dyDescent="0.3">
      <c r="A460">
        <v>2</v>
      </c>
      <c r="B460">
        <f>DATA!M460</f>
        <v>1</v>
      </c>
    </row>
    <row r="461" spans="1:2" x14ac:dyDescent="0.3">
      <c r="A461">
        <v>1</v>
      </c>
      <c r="B461">
        <f>DATA!M461</f>
        <v>1</v>
      </c>
    </row>
    <row r="462" spans="1:2" x14ac:dyDescent="0.3">
      <c r="A462">
        <v>2</v>
      </c>
      <c r="B462">
        <f>DATA!M462</f>
        <v>1</v>
      </c>
    </row>
    <row r="463" spans="1:2" x14ac:dyDescent="0.3">
      <c r="A463">
        <v>1</v>
      </c>
      <c r="B463">
        <f>DATA!M463</f>
        <v>1</v>
      </c>
    </row>
    <row r="464" spans="1:2" x14ac:dyDescent="0.3">
      <c r="A464">
        <v>2</v>
      </c>
      <c r="B464">
        <f>DATA!M464</f>
        <v>1</v>
      </c>
    </row>
    <row r="465" spans="1:2" x14ac:dyDescent="0.3">
      <c r="A465">
        <v>1</v>
      </c>
      <c r="B465">
        <f>DATA!M465</f>
        <v>0</v>
      </c>
    </row>
    <row r="466" spans="1:2" x14ac:dyDescent="0.3">
      <c r="A466">
        <v>2</v>
      </c>
      <c r="B466">
        <f>DATA!M466</f>
        <v>1</v>
      </c>
    </row>
    <row r="467" spans="1:2" x14ac:dyDescent="0.3">
      <c r="A467">
        <v>2</v>
      </c>
      <c r="B467">
        <f>DATA!M467</f>
        <v>0</v>
      </c>
    </row>
    <row r="468" spans="1:2" x14ac:dyDescent="0.3">
      <c r="A468">
        <v>1</v>
      </c>
      <c r="B468">
        <f>DATA!M468</f>
        <v>1</v>
      </c>
    </row>
    <row r="469" spans="1:2" x14ac:dyDescent="0.3">
      <c r="A469">
        <v>1</v>
      </c>
      <c r="B469">
        <f>DATA!M469</f>
        <v>1</v>
      </c>
    </row>
    <row r="470" spans="1:2" x14ac:dyDescent="0.3">
      <c r="A470">
        <v>2</v>
      </c>
      <c r="B470">
        <f>DATA!M470</f>
        <v>0</v>
      </c>
    </row>
    <row r="471" spans="1:2" x14ac:dyDescent="0.3">
      <c r="A471">
        <v>2</v>
      </c>
      <c r="B471">
        <f>DATA!M471</f>
        <v>0</v>
      </c>
    </row>
    <row r="472" spans="1:2" x14ac:dyDescent="0.3">
      <c r="A472">
        <v>2</v>
      </c>
      <c r="B472">
        <f>DATA!M472</f>
        <v>1</v>
      </c>
    </row>
    <row r="473" spans="1:2" x14ac:dyDescent="0.3">
      <c r="A473">
        <v>1</v>
      </c>
      <c r="B473">
        <f>DATA!M473</f>
        <v>1</v>
      </c>
    </row>
    <row r="474" spans="1:2" x14ac:dyDescent="0.3">
      <c r="A474">
        <v>1</v>
      </c>
      <c r="B474">
        <f>DATA!M474</f>
        <v>0</v>
      </c>
    </row>
    <row r="475" spans="1:2" x14ac:dyDescent="0.3">
      <c r="A475">
        <v>1</v>
      </c>
      <c r="B475">
        <f>DATA!M475</f>
        <v>1</v>
      </c>
    </row>
    <row r="476" spans="1:2" x14ac:dyDescent="0.3">
      <c r="A476">
        <v>1</v>
      </c>
      <c r="B476">
        <f>DATA!M476</f>
        <v>0</v>
      </c>
    </row>
    <row r="477" spans="1:2" x14ac:dyDescent="0.3">
      <c r="A477">
        <v>1</v>
      </c>
      <c r="B477">
        <f>DATA!M477</f>
        <v>0</v>
      </c>
    </row>
    <row r="478" spans="1:2" x14ac:dyDescent="0.3">
      <c r="A478">
        <v>1</v>
      </c>
      <c r="B478">
        <f>DATA!M478</f>
        <v>1</v>
      </c>
    </row>
    <row r="479" spans="1:2" x14ac:dyDescent="0.3">
      <c r="A479">
        <v>2</v>
      </c>
      <c r="B479">
        <f>DATA!M479</f>
        <v>1</v>
      </c>
    </row>
    <row r="480" spans="1:2" x14ac:dyDescent="0.3">
      <c r="A480">
        <v>1</v>
      </c>
      <c r="B480">
        <f>DATA!M480</f>
        <v>0</v>
      </c>
    </row>
    <row r="481" spans="1:2" x14ac:dyDescent="0.3">
      <c r="A481">
        <v>2</v>
      </c>
      <c r="B481">
        <f>DATA!M481</f>
        <v>0</v>
      </c>
    </row>
    <row r="482" spans="1:2" x14ac:dyDescent="0.3">
      <c r="A482">
        <v>1</v>
      </c>
      <c r="B482">
        <f>DATA!M482</f>
        <v>0</v>
      </c>
    </row>
    <row r="483" spans="1:2" x14ac:dyDescent="0.3">
      <c r="A483">
        <v>1</v>
      </c>
      <c r="B483">
        <f>DATA!M483</f>
        <v>0</v>
      </c>
    </row>
    <row r="484" spans="1:2" x14ac:dyDescent="0.3">
      <c r="A484">
        <v>1</v>
      </c>
      <c r="B484">
        <f>DATA!M484</f>
        <v>0</v>
      </c>
    </row>
    <row r="485" spans="1:2" x14ac:dyDescent="0.3">
      <c r="A485">
        <v>2</v>
      </c>
      <c r="B485">
        <f>DATA!M485</f>
        <v>0</v>
      </c>
    </row>
    <row r="486" spans="1:2" x14ac:dyDescent="0.3">
      <c r="A486">
        <v>1</v>
      </c>
      <c r="B486">
        <f>DATA!M486</f>
        <v>1</v>
      </c>
    </row>
    <row r="487" spans="1:2" x14ac:dyDescent="0.3">
      <c r="A487">
        <v>2</v>
      </c>
      <c r="B487">
        <f>DATA!M487</f>
        <v>1</v>
      </c>
    </row>
    <row r="488" spans="1:2" x14ac:dyDescent="0.3">
      <c r="A488">
        <v>2</v>
      </c>
      <c r="B488">
        <f>DATA!M488</f>
        <v>1</v>
      </c>
    </row>
    <row r="489" spans="1:2" x14ac:dyDescent="0.3">
      <c r="A489">
        <v>1</v>
      </c>
      <c r="B489">
        <f>DATA!M489</f>
        <v>0</v>
      </c>
    </row>
    <row r="490" spans="1:2" x14ac:dyDescent="0.3">
      <c r="A490">
        <v>1</v>
      </c>
      <c r="B490">
        <f>DATA!M490</f>
        <v>0</v>
      </c>
    </row>
    <row r="491" spans="1:2" x14ac:dyDescent="0.3">
      <c r="A491">
        <v>1</v>
      </c>
      <c r="B491">
        <f>DATA!M491</f>
        <v>0</v>
      </c>
    </row>
    <row r="492" spans="1:2" x14ac:dyDescent="0.3">
      <c r="A492">
        <v>2</v>
      </c>
      <c r="B492">
        <f>DATA!M492</f>
        <v>1</v>
      </c>
    </row>
    <row r="493" spans="1:2" x14ac:dyDescent="0.3">
      <c r="A493">
        <v>2</v>
      </c>
      <c r="B493">
        <f>DATA!M493</f>
        <v>0</v>
      </c>
    </row>
    <row r="494" spans="1:2" x14ac:dyDescent="0.3">
      <c r="A494">
        <v>1</v>
      </c>
      <c r="B494">
        <f>DATA!M494</f>
        <v>0</v>
      </c>
    </row>
    <row r="495" spans="1:2" x14ac:dyDescent="0.3">
      <c r="A495">
        <v>1</v>
      </c>
      <c r="B495">
        <f>DATA!M495</f>
        <v>0</v>
      </c>
    </row>
    <row r="496" spans="1:2" x14ac:dyDescent="0.3">
      <c r="A496">
        <v>1</v>
      </c>
      <c r="B496">
        <f>DATA!M496</f>
        <v>1</v>
      </c>
    </row>
    <row r="497" spans="1:2" x14ac:dyDescent="0.3">
      <c r="A497">
        <v>2</v>
      </c>
      <c r="B497">
        <f>DATA!M497</f>
        <v>1</v>
      </c>
    </row>
    <row r="498" spans="1:2" x14ac:dyDescent="0.3">
      <c r="A498">
        <v>2</v>
      </c>
      <c r="B498">
        <f>DATA!M498</f>
        <v>0</v>
      </c>
    </row>
    <row r="499" spans="1:2" x14ac:dyDescent="0.3">
      <c r="A499">
        <v>1</v>
      </c>
      <c r="B499">
        <f>DATA!M499</f>
        <v>1</v>
      </c>
    </row>
    <row r="500" spans="1:2" x14ac:dyDescent="0.3">
      <c r="A500">
        <v>1</v>
      </c>
      <c r="B500">
        <f>DATA!M500</f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4B5E8-5C49-4452-900A-34ABCECCABA2}">
  <dimension ref="A1:M500"/>
  <sheetViews>
    <sheetView workbookViewId="0">
      <selection activeCell="M5" sqref="M5"/>
    </sheetView>
  </sheetViews>
  <sheetFormatPr defaultRowHeight="14.4" x14ac:dyDescent="0.3"/>
  <cols>
    <col min="1" max="1" width="15.21875" bestFit="1" customWidth="1"/>
    <col min="4" max="4" width="14.77734375" bestFit="1" customWidth="1"/>
    <col min="5" max="5" width="15.33203125" bestFit="1" customWidth="1"/>
    <col min="6" max="6" width="6.33203125" bestFit="1" customWidth="1"/>
    <col min="11" max="11" width="39.21875" customWidth="1"/>
    <col min="12" max="13" width="12" bestFit="1" customWidth="1"/>
  </cols>
  <sheetData>
    <row r="1" spans="1:13" s="10" customFormat="1" ht="15" thickBot="1" x14ac:dyDescent="0.35">
      <c r="A1" s="10" t="str" cm="1">
        <f t="array" ref="A1:A500">DATA!S1:S500</f>
        <v>Gender Category</v>
      </c>
      <c r="B1" s="10" t="str">
        <f>DATA!M1</f>
        <v>Churn</v>
      </c>
      <c r="H1" s="10" t="s">
        <v>4</v>
      </c>
      <c r="I1" s="10" t="str">
        <f>DATA!M1</f>
        <v>Churn</v>
      </c>
    </row>
    <row r="2" spans="1:13" x14ac:dyDescent="0.3">
      <c r="A2">
        <v>1</v>
      </c>
      <c r="B2">
        <f>DATA!M2</f>
        <v>0</v>
      </c>
      <c r="D2" s="14"/>
      <c r="E2" s="14" t="s">
        <v>61</v>
      </c>
      <c r="F2" s="14" t="s">
        <v>27</v>
      </c>
      <c r="H2" t="s">
        <v>26</v>
      </c>
      <c r="I2" s="12">
        <f>DATA!M3</f>
        <v>0</v>
      </c>
      <c r="K2" t="s">
        <v>99</v>
      </c>
    </row>
    <row r="3" spans="1:13" ht="15" thickBot="1" x14ac:dyDescent="0.35">
      <c r="A3">
        <v>2</v>
      </c>
      <c r="B3">
        <f>DATA!M3</f>
        <v>0</v>
      </c>
      <c r="D3" t="s">
        <v>61</v>
      </c>
      <c r="E3">
        <v>1</v>
      </c>
      <c r="H3" t="s">
        <v>26</v>
      </c>
      <c r="I3" s="12">
        <f>DATA!M5</f>
        <v>0</v>
      </c>
    </row>
    <row r="4" spans="1:13" ht="15" thickBot="1" x14ac:dyDescent="0.35">
      <c r="A4">
        <v>1</v>
      </c>
      <c r="B4">
        <f>DATA!M4</f>
        <v>0</v>
      </c>
      <c r="D4" s="13" t="s">
        <v>27</v>
      </c>
      <c r="E4" s="31">
        <v>-0.15434816599564499</v>
      </c>
      <c r="F4" s="13">
        <v>1</v>
      </c>
      <c r="H4" t="s">
        <v>26</v>
      </c>
      <c r="I4" s="12">
        <f>DATA!M6</f>
        <v>0</v>
      </c>
      <c r="K4" s="14"/>
      <c r="L4" s="24" t="s">
        <v>25</v>
      </c>
      <c r="M4" s="24" t="s">
        <v>26</v>
      </c>
    </row>
    <row r="5" spans="1:13" x14ac:dyDescent="0.3">
      <c r="A5">
        <v>2</v>
      </c>
      <c r="B5">
        <f>DATA!M5</f>
        <v>0</v>
      </c>
      <c r="H5" t="s">
        <v>26</v>
      </c>
      <c r="I5" s="12">
        <f>DATA!M7</f>
        <v>0</v>
      </c>
      <c r="K5" s="2" t="s">
        <v>87</v>
      </c>
      <c r="L5" s="22">
        <v>0.59336099585062241</v>
      </c>
      <c r="M5" s="22">
        <v>0.5</v>
      </c>
    </row>
    <row r="6" spans="1:13" x14ac:dyDescent="0.3">
      <c r="A6">
        <v>2</v>
      </c>
      <c r="B6">
        <f>DATA!M6</f>
        <v>0</v>
      </c>
      <c r="H6" t="s">
        <v>26</v>
      </c>
      <c r="I6" s="12">
        <f>DATA!M8</f>
        <v>0</v>
      </c>
      <c r="K6" t="s">
        <v>100</v>
      </c>
      <c r="L6" s="4">
        <v>0.24228907330567082</v>
      </c>
      <c r="M6" s="4">
        <v>0.25097276264591439</v>
      </c>
    </row>
    <row r="7" spans="1:13" x14ac:dyDescent="0.3">
      <c r="A7">
        <v>2</v>
      </c>
      <c r="B7">
        <f>DATA!M7</f>
        <v>0</v>
      </c>
      <c r="D7" s="10" t="s">
        <v>25</v>
      </c>
      <c r="E7" s="10" t="s">
        <v>26</v>
      </c>
      <c r="H7" t="s">
        <v>26</v>
      </c>
      <c r="I7" s="12">
        <f>DATA!M10</f>
        <v>1</v>
      </c>
      <c r="K7" t="s">
        <v>69</v>
      </c>
      <c r="L7" s="4">
        <v>241</v>
      </c>
      <c r="M7" s="4">
        <v>258</v>
      </c>
    </row>
    <row r="8" spans="1:13" x14ac:dyDescent="0.3">
      <c r="A8">
        <v>2</v>
      </c>
      <c r="B8">
        <f>DATA!M8</f>
        <v>0</v>
      </c>
      <c r="D8">
        <v>0</v>
      </c>
      <c r="E8">
        <v>0</v>
      </c>
      <c r="H8" t="s">
        <v>26</v>
      </c>
      <c r="I8" s="12">
        <f>DATA!M11</f>
        <v>1</v>
      </c>
      <c r="K8" t="s">
        <v>101</v>
      </c>
      <c r="L8" s="4">
        <v>0.24677943177738632</v>
      </c>
      <c r="M8" s="4"/>
    </row>
    <row r="9" spans="1:13" x14ac:dyDescent="0.3">
      <c r="A9">
        <v>1</v>
      </c>
      <c r="B9">
        <f>DATA!M9</f>
        <v>1</v>
      </c>
      <c r="D9">
        <v>0</v>
      </c>
      <c r="E9">
        <v>0</v>
      </c>
      <c r="H9" t="s">
        <v>26</v>
      </c>
      <c r="I9" s="12">
        <f>DATA!M12</f>
        <v>1</v>
      </c>
      <c r="K9" t="s">
        <v>102</v>
      </c>
      <c r="L9" s="4">
        <v>0</v>
      </c>
      <c r="M9" s="4"/>
    </row>
    <row r="10" spans="1:13" x14ac:dyDescent="0.3">
      <c r="A10">
        <v>2</v>
      </c>
      <c r="B10">
        <f>DATA!M10</f>
        <v>1</v>
      </c>
      <c r="D10">
        <v>1</v>
      </c>
      <c r="E10">
        <v>0</v>
      </c>
      <c r="H10" t="s">
        <v>26</v>
      </c>
      <c r="I10" s="12">
        <f>DATA!M14</f>
        <v>0</v>
      </c>
      <c r="K10" t="s">
        <v>75</v>
      </c>
      <c r="L10" s="4">
        <v>497</v>
      </c>
      <c r="M10" s="4"/>
    </row>
    <row r="11" spans="1:13" x14ac:dyDescent="0.3">
      <c r="A11">
        <v>2</v>
      </c>
      <c r="B11">
        <f>DATA!M11</f>
        <v>1</v>
      </c>
      <c r="D11">
        <v>1</v>
      </c>
      <c r="E11">
        <v>0</v>
      </c>
      <c r="H11" t="s">
        <v>26</v>
      </c>
      <c r="I11" s="12">
        <f>DATA!M17</f>
        <v>1</v>
      </c>
      <c r="K11" t="s">
        <v>81</v>
      </c>
      <c r="L11" s="4">
        <v>2.097872533812442</v>
      </c>
      <c r="M11" s="4"/>
    </row>
    <row r="12" spans="1:13" x14ac:dyDescent="0.3">
      <c r="A12">
        <v>2</v>
      </c>
      <c r="B12">
        <f>DATA!M12</f>
        <v>1</v>
      </c>
      <c r="D12">
        <v>1</v>
      </c>
      <c r="E12">
        <v>0</v>
      </c>
      <c r="H12" t="s">
        <v>26</v>
      </c>
      <c r="I12" s="12">
        <f>DATA!M20</f>
        <v>1</v>
      </c>
      <c r="K12" t="s">
        <v>103</v>
      </c>
      <c r="L12" s="4">
        <v>1.8210382724253502E-2</v>
      </c>
      <c r="M12" s="4"/>
    </row>
    <row r="13" spans="1:13" x14ac:dyDescent="0.3">
      <c r="A13">
        <v>1</v>
      </c>
      <c r="B13">
        <f>DATA!M13</f>
        <v>1</v>
      </c>
      <c r="D13">
        <v>0</v>
      </c>
      <c r="E13">
        <v>1</v>
      </c>
      <c r="H13" t="s">
        <v>26</v>
      </c>
      <c r="I13" s="12">
        <f>DATA!M21</f>
        <v>0</v>
      </c>
      <c r="K13" t="s">
        <v>104</v>
      </c>
      <c r="L13" s="4">
        <v>1.6479253184645424</v>
      </c>
      <c r="M13" s="4"/>
    </row>
    <row r="14" spans="1:13" x14ac:dyDescent="0.3">
      <c r="A14">
        <v>2</v>
      </c>
      <c r="B14">
        <f>DATA!M14</f>
        <v>0</v>
      </c>
      <c r="D14">
        <v>1</v>
      </c>
      <c r="E14">
        <v>1</v>
      </c>
      <c r="H14" t="s">
        <v>26</v>
      </c>
      <c r="I14" s="12">
        <f>DATA!M23</f>
        <v>0</v>
      </c>
      <c r="K14" s="2" t="s">
        <v>105</v>
      </c>
      <c r="L14" s="19">
        <v>3.6420765448507003E-2</v>
      </c>
      <c r="M14" s="4"/>
    </row>
    <row r="15" spans="1:13" ht="15" thickBot="1" x14ac:dyDescent="0.35">
      <c r="A15">
        <v>1</v>
      </c>
      <c r="B15">
        <f>DATA!M15</f>
        <v>1</v>
      </c>
      <c r="D15">
        <v>0</v>
      </c>
      <c r="E15">
        <v>1</v>
      </c>
      <c r="H15" t="s">
        <v>26</v>
      </c>
      <c r="I15" s="12">
        <f>DATA!M25</f>
        <v>0</v>
      </c>
      <c r="K15" s="13" t="s">
        <v>106</v>
      </c>
      <c r="L15" s="16">
        <v>1.9647486136388823</v>
      </c>
      <c r="M15" s="16"/>
    </row>
    <row r="16" spans="1:13" x14ac:dyDescent="0.3">
      <c r="A16">
        <v>1</v>
      </c>
      <c r="B16">
        <f>DATA!M16</f>
        <v>0</v>
      </c>
      <c r="D16">
        <v>1</v>
      </c>
      <c r="E16">
        <v>0</v>
      </c>
      <c r="H16" t="s">
        <v>26</v>
      </c>
      <c r="I16" s="12">
        <f>DATA!M26</f>
        <v>0</v>
      </c>
    </row>
    <row r="17" spans="1:9" x14ac:dyDescent="0.3">
      <c r="A17">
        <v>2</v>
      </c>
      <c r="B17">
        <f>DATA!M17</f>
        <v>1</v>
      </c>
      <c r="D17">
        <v>1</v>
      </c>
      <c r="E17">
        <v>1</v>
      </c>
      <c r="H17" t="s">
        <v>26</v>
      </c>
      <c r="I17" s="12">
        <f>DATA!M27</f>
        <v>0</v>
      </c>
    </row>
    <row r="18" spans="1:9" x14ac:dyDescent="0.3">
      <c r="A18">
        <v>1</v>
      </c>
      <c r="B18">
        <f>DATA!M18</f>
        <v>1</v>
      </c>
      <c r="D18">
        <v>1</v>
      </c>
      <c r="E18">
        <v>1</v>
      </c>
      <c r="H18" t="s">
        <v>26</v>
      </c>
      <c r="I18" s="12">
        <f>DATA!M31</f>
        <v>1</v>
      </c>
    </row>
    <row r="19" spans="1:9" x14ac:dyDescent="0.3">
      <c r="A19">
        <v>1</v>
      </c>
      <c r="B19">
        <f>DATA!M19</f>
        <v>0</v>
      </c>
      <c r="D19">
        <v>0</v>
      </c>
      <c r="E19">
        <v>0</v>
      </c>
      <c r="H19" t="s">
        <v>26</v>
      </c>
      <c r="I19" s="12">
        <f>DATA!M33</f>
        <v>1</v>
      </c>
    </row>
    <row r="20" spans="1:9" x14ac:dyDescent="0.3">
      <c r="A20">
        <v>2</v>
      </c>
      <c r="B20">
        <f>DATA!M20</f>
        <v>1</v>
      </c>
      <c r="D20">
        <v>1</v>
      </c>
      <c r="E20">
        <v>0</v>
      </c>
      <c r="H20" t="s">
        <v>26</v>
      </c>
      <c r="I20" s="12">
        <f>DATA!M34</f>
        <v>1</v>
      </c>
    </row>
    <row r="21" spans="1:9" x14ac:dyDescent="0.3">
      <c r="A21">
        <v>2</v>
      </c>
      <c r="B21">
        <f>DATA!M21</f>
        <v>0</v>
      </c>
      <c r="D21">
        <v>1</v>
      </c>
      <c r="E21">
        <v>0</v>
      </c>
      <c r="H21" t="s">
        <v>26</v>
      </c>
      <c r="I21" s="12">
        <f>DATA!M36</f>
        <v>1</v>
      </c>
    </row>
    <row r="22" spans="1:9" x14ac:dyDescent="0.3">
      <c r="A22">
        <v>1</v>
      </c>
      <c r="B22">
        <f>DATA!M22</f>
        <v>1</v>
      </c>
      <c r="D22">
        <v>0</v>
      </c>
      <c r="E22">
        <v>0</v>
      </c>
      <c r="H22" t="s">
        <v>26</v>
      </c>
      <c r="I22" s="12">
        <f>DATA!M38</f>
        <v>0</v>
      </c>
    </row>
    <row r="23" spans="1:9" x14ac:dyDescent="0.3">
      <c r="A23">
        <v>2</v>
      </c>
      <c r="B23">
        <f>DATA!M23</f>
        <v>0</v>
      </c>
      <c r="D23">
        <v>1</v>
      </c>
      <c r="E23">
        <v>0</v>
      </c>
      <c r="H23" t="s">
        <v>26</v>
      </c>
      <c r="I23" s="12">
        <f>DATA!M40</f>
        <v>1</v>
      </c>
    </row>
    <row r="24" spans="1:9" x14ac:dyDescent="0.3">
      <c r="A24">
        <v>1</v>
      </c>
      <c r="B24">
        <f>DATA!M24</f>
        <v>1</v>
      </c>
      <c r="D24">
        <v>0</v>
      </c>
      <c r="E24">
        <v>1</v>
      </c>
      <c r="H24" t="s">
        <v>26</v>
      </c>
      <c r="I24" s="12">
        <f>DATA!M41</f>
        <v>0</v>
      </c>
    </row>
    <row r="25" spans="1:9" x14ac:dyDescent="0.3">
      <c r="A25">
        <v>2</v>
      </c>
      <c r="B25">
        <f>DATA!M25</f>
        <v>0</v>
      </c>
      <c r="D25">
        <v>1</v>
      </c>
      <c r="E25">
        <v>1</v>
      </c>
      <c r="H25" t="s">
        <v>26</v>
      </c>
      <c r="I25" s="12">
        <f>DATA!M44</f>
        <v>1</v>
      </c>
    </row>
    <row r="26" spans="1:9" x14ac:dyDescent="0.3">
      <c r="A26">
        <v>2</v>
      </c>
      <c r="B26">
        <f>DATA!M26</f>
        <v>0</v>
      </c>
      <c r="D26">
        <v>0</v>
      </c>
      <c r="E26">
        <v>1</v>
      </c>
      <c r="H26" t="s">
        <v>26</v>
      </c>
      <c r="I26" s="12">
        <f>DATA!M46</f>
        <v>0</v>
      </c>
    </row>
    <row r="27" spans="1:9" x14ac:dyDescent="0.3">
      <c r="A27">
        <v>2</v>
      </c>
      <c r="B27">
        <f>DATA!M27</f>
        <v>0</v>
      </c>
      <c r="D27">
        <v>0</v>
      </c>
      <c r="E27">
        <v>1</v>
      </c>
      <c r="H27" t="s">
        <v>26</v>
      </c>
      <c r="I27" s="12">
        <f>DATA!M47</f>
        <v>1</v>
      </c>
    </row>
    <row r="28" spans="1:9" x14ac:dyDescent="0.3">
      <c r="A28">
        <v>1</v>
      </c>
      <c r="B28">
        <f>DATA!M28</f>
        <v>1</v>
      </c>
      <c r="D28">
        <v>0</v>
      </c>
      <c r="E28">
        <v>0</v>
      </c>
      <c r="H28" t="s">
        <v>26</v>
      </c>
      <c r="I28" s="12">
        <f>DATA!M48</f>
        <v>0</v>
      </c>
    </row>
    <row r="29" spans="1:9" x14ac:dyDescent="0.3">
      <c r="A29">
        <v>1</v>
      </c>
      <c r="B29">
        <f>DATA!M29</f>
        <v>0</v>
      </c>
      <c r="D29">
        <v>1</v>
      </c>
      <c r="E29">
        <v>1</v>
      </c>
      <c r="H29" t="s">
        <v>26</v>
      </c>
      <c r="I29" s="12">
        <f>DATA!M49</f>
        <v>1</v>
      </c>
    </row>
    <row r="30" spans="1:9" x14ac:dyDescent="0.3">
      <c r="A30">
        <v>1</v>
      </c>
      <c r="B30">
        <f>DATA!M30</f>
        <v>1</v>
      </c>
      <c r="D30">
        <v>0</v>
      </c>
      <c r="E30">
        <v>0</v>
      </c>
      <c r="H30" t="s">
        <v>26</v>
      </c>
      <c r="I30" s="12">
        <f>DATA!M50</f>
        <v>1</v>
      </c>
    </row>
    <row r="31" spans="1:9" x14ac:dyDescent="0.3">
      <c r="A31">
        <v>2</v>
      </c>
      <c r="B31">
        <f>DATA!M31</f>
        <v>1</v>
      </c>
      <c r="D31">
        <v>1</v>
      </c>
      <c r="E31">
        <v>1</v>
      </c>
      <c r="H31" t="s">
        <v>26</v>
      </c>
      <c r="I31" s="12">
        <f>DATA!M54</f>
        <v>0</v>
      </c>
    </row>
    <row r="32" spans="1:9" x14ac:dyDescent="0.3">
      <c r="A32">
        <v>1</v>
      </c>
      <c r="B32">
        <f>DATA!M32</f>
        <v>1</v>
      </c>
      <c r="D32">
        <v>0</v>
      </c>
      <c r="E32">
        <v>0</v>
      </c>
      <c r="H32" t="s">
        <v>26</v>
      </c>
      <c r="I32" s="12">
        <f>DATA!M58</f>
        <v>1</v>
      </c>
    </row>
    <row r="33" spans="1:9" x14ac:dyDescent="0.3">
      <c r="A33">
        <v>2</v>
      </c>
      <c r="B33">
        <f>DATA!M33</f>
        <v>1</v>
      </c>
      <c r="D33">
        <v>1</v>
      </c>
      <c r="E33">
        <v>1</v>
      </c>
      <c r="H33" t="s">
        <v>26</v>
      </c>
      <c r="I33" s="12">
        <f>DATA!M62</f>
        <v>0</v>
      </c>
    </row>
    <row r="34" spans="1:9" x14ac:dyDescent="0.3">
      <c r="A34">
        <v>2</v>
      </c>
      <c r="B34">
        <f>DATA!M34</f>
        <v>1</v>
      </c>
      <c r="D34">
        <v>1</v>
      </c>
      <c r="E34">
        <v>0</v>
      </c>
      <c r="H34" t="s">
        <v>26</v>
      </c>
      <c r="I34" s="12">
        <f>DATA!M64</f>
        <v>1</v>
      </c>
    </row>
    <row r="35" spans="1:9" x14ac:dyDescent="0.3">
      <c r="A35">
        <v>1</v>
      </c>
      <c r="B35">
        <f>DATA!M35</f>
        <v>0</v>
      </c>
      <c r="D35">
        <v>0</v>
      </c>
      <c r="E35">
        <v>1</v>
      </c>
      <c r="H35" t="s">
        <v>26</v>
      </c>
      <c r="I35" s="12">
        <f>DATA!M65</f>
        <v>0</v>
      </c>
    </row>
    <row r="36" spans="1:9" x14ac:dyDescent="0.3">
      <c r="A36">
        <v>2</v>
      </c>
      <c r="B36">
        <f>DATA!M36</f>
        <v>1</v>
      </c>
      <c r="D36">
        <v>1</v>
      </c>
      <c r="E36">
        <v>1</v>
      </c>
      <c r="H36" t="s">
        <v>26</v>
      </c>
      <c r="I36" s="12">
        <f>DATA!M67</f>
        <v>0</v>
      </c>
    </row>
    <row r="37" spans="1:9" x14ac:dyDescent="0.3">
      <c r="A37">
        <v>1</v>
      </c>
      <c r="B37">
        <f>DATA!M37</f>
        <v>1</v>
      </c>
      <c r="D37">
        <v>1</v>
      </c>
      <c r="E37">
        <v>0</v>
      </c>
      <c r="H37" t="s">
        <v>26</v>
      </c>
      <c r="I37" s="12">
        <f>DATA!M69</f>
        <v>0</v>
      </c>
    </row>
    <row r="38" spans="1:9" x14ac:dyDescent="0.3">
      <c r="A38">
        <v>2</v>
      </c>
      <c r="B38">
        <f>DATA!M38</f>
        <v>0</v>
      </c>
      <c r="D38">
        <v>1</v>
      </c>
      <c r="E38">
        <v>1</v>
      </c>
      <c r="H38" t="s">
        <v>26</v>
      </c>
      <c r="I38" s="12">
        <f>DATA!M71</f>
        <v>1</v>
      </c>
    </row>
    <row r="39" spans="1:9" x14ac:dyDescent="0.3">
      <c r="A39">
        <v>1</v>
      </c>
      <c r="B39">
        <f>DATA!M39</f>
        <v>0</v>
      </c>
      <c r="D39">
        <v>1</v>
      </c>
      <c r="E39">
        <v>0</v>
      </c>
      <c r="H39" t="s">
        <v>26</v>
      </c>
      <c r="I39" s="12">
        <f>DATA!M73</f>
        <v>0</v>
      </c>
    </row>
    <row r="40" spans="1:9" x14ac:dyDescent="0.3">
      <c r="A40">
        <v>2</v>
      </c>
      <c r="B40">
        <f>DATA!M40</f>
        <v>1</v>
      </c>
      <c r="D40">
        <v>1</v>
      </c>
      <c r="E40">
        <v>1</v>
      </c>
      <c r="H40" t="s">
        <v>26</v>
      </c>
      <c r="I40" s="12">
        <f>DATA!M75</f>
        <v>0</v>
      </c>
    </row>
    <row r="41" spans="1:9" x14ac:dyDescent="0.3">
      <c r="A41">
        <v>2</v>
      </c>
      <c r="B41">
        <f>DATA!M41</f>
        <v>0</v>
      </c>
      <c r="D41">
        <v>1</v>
      </c>
      <c r="E41">
        <v>0</v>
      </c>
      <c r="H41" t="s">
        <v>26</v>
      </c>
      <c r="I41" s="12">
        <f>DATA!M76</f>
        <v>0</v>
      </c>
    </row>
    <row r="42" spans="1:9" x14ac:dyDescent="0.3">
      <c r="A42">
        <v>1</v>
      </c>
      <c r="B42">
        <f>DATA!M42</f>
        <v>1</v>
      </c>
      <c r="D42">
        <v>0</v>
      </c>
      <c r="E42">
        <v>0</v>
      </c>
      <c r="H42" t="s">
        <v>26</v>
      </c>
      <c r="I42" s="12">
        <f>DATA!M77</f>
        <v>0</v>
      </c>
    </row>
    <row r="43" spans="1:9" x14ac:dyDescent="0.3">
      <c r="A43">
        <v>1</v>
      </c>
      <c r="B43">
        <f>DATA!M43</f>
        <v>0</v>
      </c>
      <c r="D43">
        <v>1</v>
      </c>
      <c r="E43">
        <v>0</v>
      </c>
      <c r="H43" t="s">
        <v>26</v>
      </c>
      <c r="I43" s="12">
        <f>DATA!M78</f>
        <v>0</v>
      </c>
    </row>
    <row r="44" spans="1:9" x14ac:dyDescent="0.3">
      <c r="A44">
        <v>2</v>
      </c>
      <c r="B44">
        <f>DATA!M44</f>
        <v>1</v>
      </c>
      <c r="D44">
        <v>0</v>
      </c>
      <c r="E44">
        <v>1</v>
      </c>
      <c r="H44" t="s">
        <v>26</v>
      </c>
      <c r="I44" s="12">
        <f>DATA!M79</f>
        <v>0</v>
      </c>
    </row>
    <row r="45" spans="1:9" x14ac:dyDescent="0.3">
      <c r="A45">
        <v>1</v>
      </c>
      <c r="B45">
        <f>DATA!M45</f>
        <v>0</v>
      </c>
      <c r="D45">
        <v>1</v>
      </c>
      <c r="E45">
        <v>0</v>
      </c>
      <c r="H45" t="s">
        <v>26</v>
      </c>
      <c r="I45" s="12">
        <f>DATA!M82</f>
        <v>0</v>
      </c>
    </row>
    <row r="46" spans="1:9" x14ac:dyDescent="0.3">
      <c r="A46">
        <v>2</v>
      </c>
      <c r="B46">
        <f>DATA!M46</f>
        <v>0</v>
      </c>
      <c r="D46">
        <v>1</v>
      </c>
      <c r="E46">
        <v>0</v>
      </c>
      <c r="H46" t="s">
        <v>26</v>
      </c>
      <c r="I46" s="12">
        <f>DATA!M85</f>
        <v>0</v>
      </c>
    </row>
    <row r="47" spans="1:9" x14ac:dyDescent="0.3">
      <c r="A47">
        <v>2</v>
      </c>
      <c r="B47">
        <f>DATA!M47</f>
        <v>1</v>
      </c>
      <c r="D47">
        <v>1</v>
      </c>
      <c r="E47">
        <v>0</v>
      </c>
      <c r="H47" t="s">
        <v>26</v>
      </c>
      <c r="I47" s="12">
        <f>DATA!M86</f>
        <v>0</v>
      </c>
    </row>
    <row r="48" spans="1:9" x14ac:dyDescent="0.3">
      <c r="A48">
        <v>2</v>
      </c>
      <c r="B48">
        <f>DATA!M48</f>
        <v>0</v>
      </c>
      <c r="D48">
        <v>1</v>
      </c>
      <c r="E48">
        <v>0</v>
      </c>
      <c r="H48" t="s">
        <v>26</v>
      </c>
      <c r="I48" s="12">
        <f>DATA!M87</f>
        <v>1</v>
      </c>
    </row>
    <row r="49" spans="1:9" x14ac:dyDescent="0.3">
      <c r="A49">
        <v>2</v>
      </c>
      <c r="B49">
        <f>DATA!M49</f>
        <v>1</v>
      </c>
      <c r="D49">
        <v>0</v>
      </c>
      <c r="E49">
        <v>0</v>
      </c>
      <c r="H49" t="s">
        <v>26</v>
      </c>
      <c r="I49" s="12">
        <f>DATA!M88</f>
        <v>0</v>
      </c>
    </row>
    <row r="50" spans="1:9" x14ac:dyDescent="0.3">
      <c r="A50">
        <v>2</v>
      </c>
      <c r="B50">
        <f>DATA!M50</f>
        <v>1</v>
      </c>
      <c r="D50">
        <v>1</v>
      </c>
      <c r="E50">
        <v>0</v>
      </c>
      <c r="H50" t="s">
        <v>26</v>
      </c>
      <c r="I50" s="12">
        <f>DATA!M91</f>
        <v>0</v>
      </c>
    </row>
    <row r="51" spans="1:9" x14ac:dyDescent="0.3">
      <c r="A51">
        <v>1</v>
      </c>
      <c r="B51">
        <f>DATA!M51</f>
        <v>0</v>
      </c>
      <c r="D51">
        <v>0</v>
      </c>
      <c r="E51">
        <v>0</v>
      </c>
      <c r="H51" t="s">
        <v>26</v>
      </c>
      <c r="I51" s="12">
        <f>DATA!M94</f>
        <v>0</v>
      </c>
    </row>
    <row r="52" spans="1:9" x14ac:dyDescent="0.3">
      <c r="A52">
        <v>1</v>
      </c>
      <c r="B52">
        <f>DATA!M52</f>
        <v>1</v>
      </c>
      <c r="D52">
        <v>1</v>
      </c>
      <c r="E52">
        <v>0</v>
      </c>
      <c r="H52" t="s">
        <v>26</v>
      </c>
      <c r="I52" s="12">
        <f>DATA!M97</f>
        <v>1</v>
      </c>
    </row>
    <row r="53" spans="1:9" x14ac:dyDescent="0.3">
      <c r="A53">
        <v>1</v>
      </c>
      <c r="B53">
        <f>DATA!M53</f>
        <v>0</v>
      </c>
      <c r="D53">
        <v>0</v>
      </c>
      <c r="E53">
        <v>0</v>
      </c>
      <c r="H53" t="s">
        <v>26</v>
      </c>
      <c r="I53" s="12">
        <f>DATA!M101</f>
        <v>1</v>
      </c>
    </row>
    <row r="54" spans="1:9" x14ac:dyDescent="0.3">
      <c r="A54">
        <v>2</v>
      </c>
      <c r="B54">
        <f>DATA!M54</f>
        <v>0</v>
      </c>
      <c r="D54">
        <v>0</v>
      </c>
      <c r="E54">
        <v>1</v>
      </c>
      <c r="H54" t="s">
        <v>26</v>
      </c>
      <c r="I54" s="12">
        <f>DATA!M102</f>
        <v>0</v>
      </c>
    </row>
    <row r="55" spans="1:9" x14ac:dyDescent="0.3">
      <c r="A55">
        <v>1</v>
      </c>
      <c r="B55">
        <f>DATA!M55</f>
        <v>1</v>
      </c>
      <c r="D55">
        <v>1</v>
      </c>
      <c r="E55">
        <v>0</v>
      </c>
      <c r="H55" t="s">
        <v>26</v>
      </c>
      <c r="I55" s="12">
        <f>DATA!M104</f>
        <v>1</v>
      </c>
    </row>
    <row r="56" spans="1:9" x14ac:dyDescent="0.3">
      <c r="A56">
        <v>1</v>
      </c>
      <c r="B56">
        <f>DATA!M56</f>
        <v>0</v>
      </c>
      <c r="D56">
        <v>0</v>
      </c>
      <c r="E56">
        <v>0</v>
      </c>
      <c r="H56" t="s">
        <v>26</v>
      </c>
      <c r="I56" s="12">
        <f>DATA!M106</f>
        <v>1</v>
      </c>
    </row>
    <row r="57" spans="1:9" x14ac:dyDescent="0.3">
      <c r="A57">
        <v>1</v>
      </c>
      <c r="B57">
        <f>DATA!M57</f>
        <v>1</v>
      </c>
      <c r="D57">
        <v>1</v>
      </c>
      <c r="E57">
        <v>0</v>
      </c>
      <c r="H57" t="s">
        <v>26</v>
      </c>
      <c r="I57" s="12">
        <f>DATA!M108</f>
        <v>0</v>
      </c>
    </row>
    <row r="58" spans="1:9" x14ac:dyDescent="0.3">
      <c r="A58">
        <v>2</v>
      </c>
      <c r="B58">
        <f>DATA!M58</f>
        <v>1</v>
      </c>
      <c r="D58">
        <v>1</v>
      </c>
      <c r="E58">
        <v>1</v>
      </c>
      <c r="H58" t="s">
        <v>26</v>
      </c>
      <c r="I58" s="12">
        <f>DATA!M111</f>
        <v>1</v>
      </c>
    </row>
    <row r="59" spans="1:9" x14ac:dyDescent="0.3">
      <c r="A59">
        <v>1</v>
      </c>
      <c r="B59">
        <f>DATA!M59</f>
        <v>1</v>
      </c>
      <c r="D59">
        <v>1</v>
      </c>
      <c r="E59">
        <v>1</v>
      </c>
      <c r="H59" t="s">
        <v>26</v>
      </c>
      <c r="I59" s="12">
        <f>DATA!M114</f>
        <v>0</v>
      </c>
    </row>
    <row r="60" spans="1:9" x14ac:dyDescent="0.3">
      <c r="A60">
        <v>1</v>
      </c>
      <c r="B60">
        <f>DATA!M60</f>
        <v>0</v>
      </c>
      <c r="D60">
        <v>0</v>
      </c>
      <c r="E60">
        <v>0</v>
      </c>
      <c r="H60" t="s">
        <v>26</v>
      </c>
      <c r="I60" s="12">
        <f>DATA!M115</f>
        <v>0</v>
      </c>
    </row>
    <row r="61" spans="1:9" x14ac:dyDescent="0.3">
      <c r="A61">
        <v>1</v>
      </c>
      <c r="B61">
        <f>DATA!M61</f>
        <v>1</v>
      </c>
      <c r="D61">
        <v>0</v>
      </c>
      <c r="E61">
        <v>1</v>
      </c>
      <c r="H61" t="s">
        <v>26</v>
      </c>
      <c r="I61" s="12">
        <f>DATA!M119</f>
        <v>0</v>
      </c>
    </row>
    <row r="62" spans="1:9" x14ac:dyDescent="0.3">
      <c r="A62">
        <v>2</v>
      </c>
      <c r="B62">
        <f>DATA!M62</f>
        <v>0</v>
      </c>
      <c r="D62">
        <v>0</v>
      </c>
      <c r="E62">
        <v>1</v>
      </c>
      <c r="H62" t="s">
        <v>26</v>
      </c>
      <c r="I62" s="12">
        <f>DATA!M120</f>
        <v>0</v>
      </c>
    </row>
    <row r="63" spans="1:9" x14ac:dyDescent="0.3">
      <c r="A63">
        <v>1</v>
      </c>
      <c r="B63">
        <f>DATA!M63</f>
        <v>1</v>
      </c>
      <c r="D63">
        <v>1</v>
      </c>
      <c r="E63">
        <v>0</v>
      </c>
      <c r="H63" t="s">
        <v>26</v>
      </c>
      <c r="I63" s="12">
        <f>DATA!M125</f>
        <v>1</v>
      </c>
    </row>
    <row r="64" spans="1:9" x14ac:dyDescent="0.3">
      <c r="A64">
        <v>2</v>
      </c>
      <c r="B64">
        <f>DATA!M64</f>
        <v>1</v>
      </c>
      <c r="D64">
        <v>1</v>
      </c>
      <c r="E64">
        <v>1</v>
      </c>
      <c r="H64" t="s">
        <v>26</v>
      </c>
      <c r="I64" s="12">
        <f>DATA!M128</f>
        <v>1</v>
      </c>
    </row>
    <row r="65" spans="1:9" x14ac:dyDescent="0.3">
      <c r="A65">
        <v>2</v>
      </c>
      <c r="B65">
        <f>DATA!M65</f>
        <v>0</v>
      </c>
      <c r="D65">
        <v>1</v>
      </c>
      <c r="E65">
        <v>0</v>
      </c>
      <c r="H65" t="s">
        <v>26</v>
      </c>
      <c r="I65" s="12">
        <f>DATA!M129</f>
        <v>0</v>
      </c>
    </row>
    <row r="66" spans="1:9" x14ac:dyDescent="0.3">
      <c r="A66">
        <v>1</v>
      </c>
      <c r="B66">
        <f>DATA!M66</f>
        <v>1</v>
      </c>
      <c r="D66">
        <v>1</v>
      </c>
      <c r="E66">
        <v>0</v>
      </c>
      <c r="H66" t="s">
        <v>26</v>
      </c>
      <c r="I66" s="12">
        <f>DATA!M130</f>
        <v>0</v>
      </c>
    </row>
    <row r="67" spans="1:9" x14ac:dyDescent="0.3">
      <c r="A67">
        <v>2</v>
      </c>
      <c r="B67">
        <f>DATA!M67</f>
        <v>0</v>
      </c>
      <c r="D67">
        <v>1</v>
      </c>
      <c r="E67">
        <v>0</v>
      </c>
      <c r="H67" t="s">
        <v>26</v>
      </c>
      <c r="I67" s="12">
        <f>DATA!M131</f>
        <v>0</v>
      </c>
    </row>
    <row r="68" spans="1:9" x14ac:dyDescent="0.3">
      <c r="A68">
        <v>1</v>
      </c>
      <c r="B68">
        <f>DATA!M68</f>
        <v>1</v>
      </c>
      <c r="D68">
        <v>0</v>
      </c>
      <c r="E68">
        <v>0</v>
      </c>
      <c r="H68" t="s">
        <v>26</v>
      </c>
      <c r="I68" s="12">
        <f>DATA!M134</f>
        <v>1</v>
      </c>
    </row>
    <row r="69" spans="1:9" x14ac:dyDescent="0.3">
      <c r="A69">
        <v>2</v>
      </c>
      <c r="B69">
        <f>DATA!M69</f>
        <v>0</v>
      </c>
      <c r="D69">
        <v>1</v>
      </c>
      <c r="E69">
        <v>1</v>
      </c>
      <c r="H69" t="s">
        <v>26</v>
      </c>
      <c r="I69" s="12">
        <f>DATA!M135</f>
        <v>1</v>
      </c>
    </row>
    <row r="70" spans="1:9" x14ac:dyDescent="0.3">
      <c r="A70">
        <v>1</v>
      </c>
      <c r="B70">
        <f>DATA!M70</f>
        <v>1</v>
      </c>
      <c r="D70">
        <v>0</v>
      </c>
      <c r="E70">
        <v>1</v>
      </c>
      <c r="H70" t="s">
        <v>26</v>
      </c>
      <c r="I70" s="12">
        <f>DATA!M139</f>
        <v>1</v>
      </c>
    </row>
    <row r="71" spans="1:9" x14ac:dyDescent="0.3">
      <c r="A71">
        <v>2</v>
      </c>
      <c r="B71">
        <f>DATA!M71</f>
        <v>1</v>
      </c>
      <c r="D71">
        <v>0</v>
      </c>
      <c r="E71">
        <v>0</v>
      </c>
      <c r="H71" t="s">
        <v>26</v>
      </c>
      <c r="I71" s="12">
        <f>DATA!M140</f>
        <v>0</v>
      </c>
    </row>
    <row r="72" spans="1:9" x14ac:dyDescent="0.3">
      <c r="A72">
        <v>1</v>
      </c>
      <c r="B72">
        <f>DATA!M72</f>
        <v>1</v>
      </c>
      <c r="D72">
        <v>1</v>
      </c>
      <c r="E72">
        <v>0</v>
      </c>
      <c r="H72" t="s">
        <v>26</v>
      </c>
      <c r="I72" s="12">
        <f>DATA!M141</f>
        <v>1</v>
      </c>
    </row>
    <row r="73" spans="1:9" x14ac:dyDescent="0.3">
      <c r="A73">
        <v>2</v>
      </c>
      <c r="B73">
        <f>DATA!M73</f>
        <v>0</v>
      </c>
      <c r="D73">
        <v>0</v>
      </c>
      <c r="E73">
        <v>0</v>
      </c>
      <c r="H73" t="s">
        <v>26</v>
      </c>
      <c r="I73" s="12">
        <f>DATA!M145</f>
        <v>0</v>
      </c>
    </row>
    <row r="74" spans="1:9" x14ac:dyDescent="0.3">
      <c r="A74">
        <v>1</v>
      </c>
      <c r="B74">
        <f>DATA!M74</f>
        <v>0</v>
      </c>
      <c r="D74">
        <v>1</v>
      </c>
      <c r="E74">
        <v>1</v>
      </c>
      <c r="H74" t="s">
        <v>26</v>
      </c>
      <c r="I74" s="12">
        <f>DATA!M146</f>
        <v>0</v>
      </c>
    </row>
    <row r="75" spans="1:9" x14ac:dyDescent="0.3">
      <c r="A75">
        <v>2</v>
      </c>
      <c r="B75">
        <f>DATA!M75</f>
        <v>0</v>
      </c>
      <c r="D75">
        <v>1</v>
      </c>
      <c r="E75">
        <v>1</v>
      </c>
      <c r="H75" t="s">
        <v>26</v>
      </c>
      <c r="I75" s="12">
        <f>DATA!M149</f>
        <v>1</v>
      </c>
    </row>
    <row r="76" spans="1:9" x14ac:dyDescent="0.3">
      <c r="A76">
        <v>2</v>
      </c>
      <c r="B76">
        <f>DATA!M76</f>
        <v>0</v>
      </c>
      <c r="D76">
        <v>0</v>
      </c>
      <c r="E76">
        <v>1</v>
      </c>
      <c r="H76" t="s">
        <v>26</v>
      </c>
      <c r="I76" s="12">
        <f>DATA!M150</f>
        <v>1</v>
      </c>
    </row>
    <row r="77" spans="1:9" x14ac:dyDescent="0.3">
      <c r="A77">
        <v>2</v>
      </c>
      <c r="B77">
        <f>DATA!M77</f>
        <v>0</v>
      </c>
      <c r="D77">
        <v>1</v>
      </c>
      <c r="E77">
        <v>0</v>
      </c>
      <c r="H77" t="s">
        <v>26</v>
      </c>
      <c r="I77" s="12">
        <f>DATA!M151</f>
        <v>0</v>
      </c>
    </row>
    <row r="78" spans="1:9" x14ac:dyDescent="0.3">
      <c r="A78">
        <v>2</v>
      </c>
      <c r="B78">
        <f>DATA!M78</f>
        <v>0</v>
      </c>
      <c r="D78">
        <v>0</v>
      </c>
      <c r="E78">
        <v>1</v>
      </c>
      <c r="H78" t="s">
        <v>26</v>
      </c>
      <c r="I78" s="12">
        <f>DATA!M154</f>
        <v>1</v>
      </c>
    </row>
    <row r="79" spans="1:9" x14ac:dyDescent="0.3">
      <c r="A79">
        <v>2</v>
      </c>
      <c r="B79">
        <f>DATA!M79</f>
        <v>0</v>
      </c>
      <c r="D79">
        <v>1</v>
      </c>
      <c r="E79">
        <v>0</v>
      </c>
      <c r="H79" t="s">
        <v>26</v>
      </c>
      <c r="I79" s="12">
        <f>DATA!M156</f>
        <v>0</v>
      </c>
    </row>
    <row r="80" spans="1:9" x14ac:dyDescent="0.3">
      <c r="A80">
        <v>1</v>
      </c>
      <c r="B80">
        <f>DATA!M80</f>
        <v>1</v>
      </c>
      <c r="D80">
        <v>0</v>
      </c>
      <c r="E80">
        <v>0</v>
      </c>
      <c r="H80" t="s">
        <v>26</v>
      </c>
      <c r="I80" s="12">
        <f>DATA!M160</f>
        <v>1</v>
      </c>
    </row>
    <row r="81" spans="1:9" x14ac:dyDescent="0.3">
      <c r="A81">
        <v>1</v>
      </c>
      <c r="B81">
        <f>DATA!M81</f>
        <v>0</v>
      </c>
      <c r="D81">
        <v>1</v>
      </c>
      <c r="E81">
        <v>1</v>
      </c>
      <c r="H81" t="s">
        <v>26</v>
      </c>
      <c r="I81" s="12">
        <f>DATA!M162</f>
        <v>0</v>
      </c>
    </row>
    <row r="82" spans="1:9" x14ac:dyDescent="0.3">
      <c r="A82">
        <v>2</v>
      </c>
      <c r="B82">
        <f>DATA!M82</f>
        <v>0</v>
      </c>
      <c r="D82">
        <v>0</v>
      </c>
      <c r="E82">
        <v>1</v>
      </c>
      <c r="H82" t="s">
        <v>26</v>
      </c>
      <c r="I82" s="12">
        <f>DATA!M164</f>
        <v>1</v>
      </c>
    </row>
    <row r="83" spans="1:9" x14ac:dyDescent="0.3">
      <c r="A83">
        <v>1</v>
      </c>
      <c r="B83">
        <f>DATA!M83</f>
        <v>1</v>
      </c>
      <c r="D83">
        <v>1</v>
      </c>
      <c r="E83">
        <v>0</v>
      </c>
      <c r="H83" t="s">
        <v>26</v>
      </c>
      <c r="I83" s="12">
        <f>DATA!M165</f>
        <v>1</v>
      </c>
    </row>
    <row r="84" spans="1:9" x14ac:dyDescent="0.3">
      <c r="A84">
        <v>1</v>
      </c>
      <c r="B84">
        <f>DATA!M84</f>
        <v>1</v>
      </c>
      <c r="D84">
        <v>1</v>
      </c>
      <c r="E84">
        <v>1</v>
      </c>
      <c r="H84" t="s">
        <v>26</v>
      </c>
      <c r="I84" s="12">
        <f>DATA!M166</f>
        <v>0</v>
      </c>
    </row>
    <row r="85" spans="1:9" x14ac:dyDescent="0.3">
      <c r="A85">
        <v>2</v>
      </c>
      <c r="B85">
        <f>DATA!M85</f>
        <v>0</v>
      </c>
      <c r="D85">
        <v>1</v>
      </c>
      <c r="E85">
        <v>0</v>
      </c>
      <c r="H85" t="s">
        <v>26</v>
      </c>
      <c r="I85" s="12">
        <f>DATA!M167</f>
        <v>1</v>
      </c>
    </row>
    <row r="86" spans="1:9" x14ac:dyDescent="0.3">
      <c r="A86">
        <v>2</v>
      </c>
      <c r="B86">
        <f>DATA!M86</f>
        <v>0</v>
      </c>
      <c r="D86">
        <v>0</v>
      </c>
      <c r="E86">
        <v>1</v>
      </c>
      <c r="H86" t="s">
        <v>26</v>
      </c>
      <c r="I86" s="12">
        <f>DATA!M168</f>
        <v>1</v>
      </c>
    </row>
    <row r="87" spans="1:9" x14ac:dyDescent="0.3">
      <c r="A87">
        <v>2</v>
      </c>
      <c r="B87">
        <f>DATA!M87</f>
        <v>1</v>
      </c>
      <c r="D87">
        <v>1</v>
      </c>
      <c r="E87">
        <v>0</v>
      </c>
      <c r="H87" t="s">
        <v>26</v>
      </c>
      <c r="I87" s="12">
        <f>DATA!M171</f>
        <v>0</v>
      </c>
    </row>
    <row r="88" spans="1:9" x14ac:dyDescent="0.3">
      <c r="A88">
        <v>2</v>
      </c>
      <c r="B88">
        <f>DATA!M88</f>
        <v>0</v>
      </c>
      <c r="D88">
        <v>1</v>
      </c>
      <c r="E88">
        <v>1</v>
      </c>
      <c r="H88" t="s">
        <v>26</v>
      </c>
      <c r="I88" s="12">
        <f>DATA!M172</f>
        <v>1</v>
      </c>
    </row>
    <row r="89" spans="1:9" x14ac:dyDescent="0.3">
      <c r="A89">
        <v>1</v>
      </c>
      <c r="B89">
        <f>DATA!M89</f>
        <v>1</v>
      </c>
      <c r="D89">
        <v>0</v>
      </c>
      <c r="E89">
        <v>1</v>
      </c>
      <c r="H89" t="s">
        <v>26</v>
      </c>
      <c r="I89" s="12">
        <f>DATA!M173</f>
        <v>0</v>
      </c>
    </row>
    <row r="90" spans="1:9" x14ac:dyDescent="0.3">
      <c r="A90">
        <v>1</v>
      </c>
      <c r="B90">
        <f>DATA!M90</f>
        <v>1</v>
      </c>
      <c r="D90">
        <v>0</v>
      </c>
      <c r="E90">
        <v>0</v>
      </c>
      <c r="H90" t="s">
        <v>26</v>
      </c>
      <c r="I90" s="12">
        <f>DATA!M175</f>
        <v>1</v>
      </c>
    </row>
    <row r="91" spans="1:9" x14ac:dyDescent="0.3">
      <c r="A91">
        <v>2</v>
      </c>
      <c r="B91">
        <f>DATA!M91</f>
        <v>0</v>
      </c>
      <c r="D91">
        <v>0</v>
      </c>
      <c r="E91">
        <v>1</v>
      </c>
      <c r="H91" t="s">
        <v>26</v>
      </c>
      <c r="I91" s="12">
        <f>DATA!M177</f>
        <v>1</v>
      </c>
    </row>
    <row r="92" spans="1:9" x14ac:dyDescent="0.3">
      <c r="A92">
        <v>1</v>
      </c>
      <c r="B92">
        <f>DATA!M92</f>
        <v>0</v>
      </c>
      <c r="D92">
        <v>1</v>
      </c>
      <c r="E92">
        <v>1</v>
      </c>
      <c r="H92" t="s">
        <v>26</v>
      </c>
      <c r="I92" s="12">
        <f>DATA!M179</f>
        <v>1</v>
      </c>
    </row>
    <row r="93" spans="1:9" x14ac:dyDescent="0.3">
      <c r="A93">
        <v>1</v>
      </c>
      <c r="B93">
        <f>DATA!M93</f>
        <v>1</v>
      </c>
      <c r="D93">
        <v>1</v>
      </c>
      <c r="E93">
        <v>0</v>
      </c>
      <c r="H93" t="s">
        <v>26</v>
      </c>
      <c r="I93" s="12">
        <f>DATA!M182</f>
        <v>1</v>
      </c>
    </row>
    <row r="94" spans="1:9" x14ac:dyDescent="0.3">
      <c r="A94">
        <v>2</v>
      </c>
      <c r="B94">
        <f>DATA!M94</f>
        <v>0</v>
      </c>
      <c r="D94">
        <v>0</v>
      </c>
      <c r="E94">
        <v>1</v>
      </c>
      <c r="H94" t="s">
        <v>26</v>
      </c>
      <c r="I94" s="12">
        <f>DATA!M183</f>
        <v>0</v>
      </c>
    </row>
    <row r="95" spans="1:9" x14ac:dyDescent="0.3">
      <c r="A95">
        <v>1</v>
      </c>
      <c r="B95">
        <f>DATA!M95</f>
        <v>0</v>
      </c>
      <c r="D95">
        <v>1</v>
      </c>
      <c r="E95">
        <v>0</v>
      </c>
      <c r="H95" t="s">
        <v>26</v>
      </c>
      <c r="I95" s="12">
        <f>DATA!M184</f>
        <v>0</v>
      </c>
    </row>
    <row r="96" spans="1:9" x14ac:dyDescent="0.3">
      <c r="A96">
        <v>1</v>
      </c>
      <c r="B96">
        <f>DATA!M96</f>
        <v>1</v>
      </c>
      <c r="D96">
        <v>0</v>
      </c>
      <c r="E96">
        <v>1</v>
      </c>
      <c r="H96" t="s">
        <v>26</v>
      </c>
      <c r="I96" s="12">
        <f>DATA!M185</f>
        <v>0</v>
      </c>
    </row>
    <row r="97" spans="1:9" x14ac:dyDescent="0.3">
      <c r="A97">
        <v>2</v>
      </c>
      <c r="B97">
        <f>DATA!M97</f>
        <v>1</v>
      </c>
      <c r="D97">
        <v>0</v>
      </c>
      <c r="E97">
        <v>1</v>
      </c>
      <c r="H97" t="s">
        <v>26</v>
      </c>
      <c r="I97" s="12">
        <f>DATA!M192</f>
        <v>0</v>
      </c>
    </row>
    <row r="98" spans="1:9" x14ac:dyDescent="0.3">
      <c r="A98">
        <v>1</v>
      </c>
      <c r="B98">
        <f>DATA!M98</f>
        <v>0</v>
      </c>
      <c r="D98">
        <v>1</v>
      </c>
      <c r="E98">
        <v>1</v>
      </c>
      <c r="H98" t="s">
        <v>26</v>
      </c>
      <c r="I98" s="12">
        <f>DATA!M196</f>
        <v>1</v>
      </c>
    </row>
    <row r="99" spans="1:9" x14ac:dyDescent="0.3">
      <c r="A99">
        <v>1</v>
      </c>
      <c r="B99">
        <f>DATA!M99</f>
        <v>0</v>
      </c>
      <c r="D99">
        <v>1</v>
      </c>
      <c r="E99">
        <v>1</v>
      </c>
      <c r="H99" t="s">
        <v>26</v>
      </c>
      <c r="I99" s="12">
        <f>DATA!M198</f>
        <v>0</v>
      </c>
    </row>
    <row r="100" spans="1:9" x14ac:dyDescent="0.3">
      <c r="A100">
        <v>1</v>
      </c>
      <c r="B100">
        <f>DATA!M100</f>
        <v>1</v>
      </c>
      <c r="D100">
        <v>0</v>
      </c>
      <c r="E100">
        <v>0</v>
      </c>
      <c r="H100" t="s">
        <v>26</v>
      </c>
      <c r="I100" s="12">
        <f>DATA!M201</f>
        <v>1</v>
      </c>
    </row>
    <row r="101" spans="1:9" x14ac:dyDescent="0.3">
      <c r="A101">
        <v>2</v>
      </c>
      <c r="B101">
        <f>DATA!M101</f>
        <v>1</v>
      </c>
      <c r="D101">
        <v>1</v>
      </c>
      <c r="E101">
        <v>0</v>
      </c>
      <c r="H101" t="s">
        <v>26</v>
      </c>
      <c r="I101" s="12">
        <f>DATA!M204</f>
        <v>1</v>
      </c>
    </row>
    <row r="102" spans="1:9" x14ac:dyDescent="0.3">
      <c r="A102">
        <v>2</v>
      </c>
      <c r="B102">
        <f>DATA!M102</f>
        <v>0</v>
      </c>
      <c r="D102">
        <v>1</v>
      </c>
      <c r="E102">
        <v>0</v>
      </c>
      <c r="H102" t="s">
        <v>26</v>
      </c>
      <c r="I102" s="12">
        <f>DATA!M205</f>
        <v>0</v>
      </c>
    </row>
    <row r="103" spans="1:9" x14ac:dyDescent="0.3">
      <c r="A103">
        <v>1</v>
      </c>
      <c r="B103">
        <f>DATA!M103</f>
        <v>0</v>
      </c>
      <c r="D103">
        <v>0</v>
      </c>
      <c r="E103">
        <v>0</v>
      </c>
      <c r="H103" t="s">
        <v>26</v>
      </c>
      <c r="I103" s="12">
        <f>DATA!M208</f>
        <v>1</v>
      </c>
    </row>
    <row r="104" spans="1:9" x14ac:dyDescent="0.3">
      <c r="A104">
        <v>2</v>
      </c>
      <c r="B104">
        <f>DATA!M104</f>
        <v>1</v>
      </c>
      <c r="D104">
        <v>1</v>
      </c>
      <c r="E104">
        <v>1</v>
      </c>
      <c r="H104" t="s">
        <v>26</v>
      </c>
      <c r="I104" s="12">
        <f>DATA!M209</f>
        <v>0</v>
      </c>
    </row>
    <row r="105" spans="1:9" x14ac:dyDescent="0.3">
      <c r="A105">
        <v>1</v>
      </c>
      <c r="B105">
        <f>DATA!M105</f>
        <v>1</v>
      </c>
      <c r="D105">
        <v>1</v>
      </c>
      <c r="E105">
        <v>0</v>
      </c>
      <c r="H105" t="s">
        <v>26</v>
      </c>
      <c r="I105" s="12">
        <f>DATA!M210</f>
        <v>0</v>
      </c>
    </row>
    <row r="106" spans="1:9" x14ac:dyDescent="0.3">
      <c r="A106">
        <v>2</v>
      </c>
      <c r="B106">
        <f>DATA!M106</f>
        <v>1</v>
      </c>
      <c r="D106">
        <v>0</v>
      </c>
      <c r="E106">
        <v>1</v>
      </c>
      <c r="H106" t="s">
        <v>26</v>
      </c>
      <c r="I106" s="12">
        <f>DATA!M211</f>
        <v>0</v>
      </c>
    </row>
    <row r="107" spans="1:9" x14ac:dyDescent="0.3">
      <c r="A107">
        <v>1</v>
      </c>
      <c r="B107">
        <f>DATA!M107</f>
        <v>1</v>
      </c>
      <c r="D107">
        <v>1</v>
      </c>
      <c r="E107">
        <v>1</v>
      </c>
      <c r="H107" t="s">
        <v>26</v>
      </c>
      <c r="I107" s="12">
        <f>DATA!M214</f>
        <v>0</v>
      </c>
    </row>
    <row r="108" spans="1:9" x14ac:dyDescent="0.3">
      <c r="A108">
        <v>2</v>
      </c>
      <c r="B108">
        <f>DATA!M108</f>
        <v>0</v>
      </c>
      <c r="D108">
        <v>1</v>
      </c>
      <c r="E108">
        <v>0</v>
      </c>
      <c r="H108" t="s">
        <v>26</v>
      </c>
      <c r="I108" s="12">
        <f>DATA!M216</f>
        <v>1</v>
      </c>
    </row>
    <row r="109" spans="1:9" x14ac:dyDescent="0.3">
      <c r="A109">
        <v>1</v>
      </c>
      <c r="B109">
        <f>DATA!M109</f>
        <v>1</v>
      </c>
      <c r="D109">
        <v>0</v>
      </c>
      <c r="E109">
        <v>1</v>
      </c>
      <c r="H109" t="s">
        <v>26</v>
      </c>
      <c r="I109" s="12">
        <f>DATA!M217</f>
        <v>0</v>
      </c>
    </row>
    <row r="110" spans="1:9" x14ac:dyDescent="0.3">
      <c r="A110">
        <v>1</v>
      </c>
      <c r="B110">
        <f>DATA!M110</f>
        <v>0</v>
      </c>
      <c r="D110">
        <v>1</v>
      </c>
      <c r="E110">
        <v>0</v>
      </c>
      <c r="H110" t="s">
        <v>26</v>
      </c>
      <c r="I110" s="12">
        <f>DATA!M219</f>
        <v>1</v>
      </c>
    </row>
    <row r="111" spans="1:9" x14ac:dyDescent="0.3">
      <c r="A111">
        <v>2</v>
      </c>
      <c r="B111">
        <f>DATA!M111</f>
        <v>1</v>
      </c>
      <c r="D111">
        <v>1</v>
      </c>
      <c r="E111">
        <v>0</v>
      </c>
      <c r="H111" t="s">
        <v>26</v>
      </c>
      <c r="I111" s="12">
        <f>DATA!M220</f>
        <v>0</v>
      </c>
    </row>
    <row r="112" spans="1:9" x14ac:dyDescent="0.3">
      <c r="A112">
        <v>1</v>
      </c>
      <c r="B112">
        <f>DATA!M112</f>
        <v>0</v>
      </c>
      <c r="D112">
        <v>1</v>
      </c>
      <c r="E112">
        <v>0</v>
      </c>
      <c r="H112" t="s">
        <v>26</v>
      </c>
      <c r="I112" s="12">
        <f>DATA!M223</f>
        <v>1</v>
      </c>
    </row>
    <row r="113" spans="1:9" x14ac:dyDescent="0.3">
      <c r="A113">
        <v>1</v>
      </c>
      <c r="B113">
        <f>DATA!M113</f>
        <v>0</v>
      </c>
      <c r="D113">
        <v>1</v>
      </c>
      <c r="E113">
        <v>0</v>
      </c>
      <c r="H113" t="s">
        <v>26</v>
      </c>
      <c r="I113" s="12">
        <f>DATA!M230</f>
        <v>1</v>
      </c>
    </row>
    <row r="114" spans="1:9" x14ac:dyDescent="0.3">
      <c r="A114">
        <v>2</v>
      </c>
      <c r="B114">
        <f>DATA!M114</f>
        <v>0</v>
      </c>
      <c r="D114">
        <v>0</v>
      </c>
      <c r="E114">
        <v>1</v>
      </c>
      <c r="H114" t="s">
        <v>26</v>
      </c>
      <c r="I114" s="12">
        <f>DATA!M232</f>
        <v>0</v>
      </c>
    </row>
    <row r="115" spans="1:9" x14ac:dyDescent="0.3">
      <c r="A115">
        <v>2</v>
      </c>
      <c r="B115">
        <f>DATA!M115</f>
        <v>0</v>
      </c>
      <c r="D115">
        <v>0</v>
      </c>
      <c r="E115">
        <v>0</v>
      </c>
      <c r="H115" t="s">
        <v>26</v>
      </c>
      <c r="I115" s="12">
        <f>DATA!M233</f>
        <v>1</v>
      </c>
    </row>
    <row r="116" spans="1:9" x14ac:dyDescent="0.3">
      <c r="A116">
        <v>1</v>
      </c>
      <c r="B116">
        <f>DATA!M116</f>
        <v>1</v>
      </c>
      <c r="D116">
        <v>1</v>
      </c>
      <c r="E116">
        <v>1</v>
      </c>
      <c r="H116" t="s">
        <v>26</v>
      </c>
      <c r="I116" s="12">
        <f>DATA!M234</f>
        <v>1</v>
      </c>
    </row>
    <row r="117" spans="1:9" x14ac:dyDescent="0.3">
      <c r="A117">
        <v>1</v>
      </c>
      <c r="B117">
        <f>DATA!M117</f>
        <v>1</v>
      </c>
      <c r="D117">
        <v>0</v>
      </c>
      <c r="E117">
        <v>0</v>
      </c>
      <c r="H117" t="s">
        <v>26</v>
      </c>
      <c r="I117" s="12">
        <f>DATA!M237</f>
        <v>0</v>
      </c>
    </row>
    <row r="118" spans="1:9" x14ac:dyDescent="0.3">
      <c r="A118">
        <v>1</v>
      </c>
      <c r="B118">
        <f>DATA!M118</f>
        <v>1</v>
      </c>
      <c r="D118">
        <v>0</v>
      </c>
      <c r="E118">
        <v>1</v>
      </c>
      <c r="H118" t="s">
        <v>26</v>
      </c>
      <c r="I118" s="12">
        <f>DATA!M238</f>
        <v>0</v>
      </c>
    </row>
    <row r="119" spans="1:9" x14ac:dyDescent="0.3">
      <c r="A119">
        <v>2</v>
      </c>
      <c r="B119">
        <f>DATA!M119</f>
        <v>0</v>
      </c>
      <c r="D119">
        <v>0</v>
      </c>
      <c r="E119">
        <v>1</v>
      </c>
      <c r="H119" t="s">
        <v>26</v>
      </c>
      <c r="I119" s="12">
        <f>DATA!M239</f>
        <v>0</v>
      </c>
    </row>
    <row r="120" spans="1:9" x14ac:dyDescent="0.3">
      <c r="A120">
        <v>2</v>
      </c>
      <c r="B120">
        <f>DATA!M120</f>
        <v>0</v>
      </c>
      <c r="D120">
        <v>0</v>
      </c>
      <c r="E120">
        <v>0</v>
      </c>
      <c r="H120" t="s">
        <v>26</v>
      </c>
      <c r="I120" s="12">
        <f>DATA!M240</f>
        <v>1</v>
      </c>
    </row>
    <row r="121" spans="1:9" x14ac:dyDescent="0.3">
      <c r="A121">
        <v>1</v>
      </c>
      <c r="B121">
        <f>DATA!M121</f>
        <v>1</v>
      </c>
      <c r="D121">
        <v>0</v>
      </c>
      <c r="E121">
        <v>1</v>
      </c>
      <c r="H121" t="s">
        <v>26</v>
      </c>
      <c r="I121" s="12">
        <f>DATA!M242</f>
        <v>1</v>
      </c>
    </row>
    <row r="122" spans="1:9" x14ac:dyDescent="0.3">
      <c r="A122">
        <v>1</v>
      </c>
      <c r="B122">
        <f>DATA!M122</f>
        <v>1</v>
      </c>
      <c r="D122">
        <v>0</v>
      </c>
      <c r="E122">
        <v>1</v>
      </c>
      <c r="H122" t="s">
        <v>26</v>
      </c>
      <c r="I122" s="12">
        <f>DATA!M244</f>
        <v>0</v>
      </c>
    </row>
    <row r="123" spans="1:9" x14ac:dyDescent="0.3">
      <c r="A123">
        <v>1</v>
      </c>
      <c r="B123">
        <f>DATA!M123</f>
        <v>0</v>
      </c>
      <c r="D123">
        <v>1</v>
      </c>
      <c r="E123">
        <v>0</v>
      </c>
      <c r="H123" t="s">
        <v>26</v>
      </c>
      <c r="I123" s="12">
        <f>DATA!M247</f>
        <v>0</v>
      </c>
    </row>
    <row r="124" spans="1:9" x14ac:dyDescent="0.3">
      <c r="A124">
        <v>1</v>
      </c>
      <c r="B124">
        <f>DATA!M124</f>
        <v>1</v>
      </c>
      <c r="D124">
        <v>1</v>
      </c>
      <c r="E124">
        <v>0</v>
      </c>
      <c r="H124" t="s">
        <v>26</v>
      </c>
      <c r="I124" s="12">
        <f>DATA!M248</f>
        <v>0</v>
      </c>
    </row>
    <row r="125" spans="1:9" x14ac:dyDescent="0.3">
      <c r="A125">
        <v>2</v>
      </c>
      <c r="B125">
        <f>DATA!M125</f>
        <v>1</v>
      </c>
      <c r="D125">
        <v>1</v>
      </c>
      <c r="E125">
        <v>0</v>
      </c>
      <c r="H125" t="s">
        <v>26</v>
      </c>
      <c r="I125" s="12">
        <f>DATA!M249</f>
        <v>0</v>
      </c>
    </row>
    <row r="126" spans="1:9" x14ac:dyDescent="0.3">
      <c r="A126">
        <v>1</v>
      </c>
      <c r="B126">
        <f>DATA!M126</f>
        <v>0</v>
      </c>
      <c r="D126">
        <v>1</v>
      </c>
      <c r="E126">
        <v>1</v>
      </c>
      <c r="H126" t="s">
        <v>26</v>
      </c>
      <c r="I126" s="12">
        <f>DATA!M250</f>
        <v>0</v>
      </c>
    </row>
    <row r="127" spans="1:9" x14ac:dyDescent="0.3">
      <c r="A127">
        <v>1</v>
      </c>
      <c r="B127">
        <f>DATA!M127</f>
        <v>0</v>
      </c>
      <c r="D127">
        <v>1</v>
      </c>
      <c r="E127">
        <v>1</v>
      </c>
      <c r="H127" t="s">
        <v>26</v>
      </c>
      <c r="I127" s="12">
        <f>DATA!M256</f>
        <v>0</v>
      </c>
    </row>
    <row r="128" spans="1:9" x14ac:dyDescent="0.3">
      <c r="A128">
        <v>2</v>
      </c>
      <c r="B128">
        <f>DATA!M128</f>
        <v>1</v>
      </c>
      <c r="D128">
        <v>1</v>
      </c>
      <c r="E128">
        <v>0</v>
      </c>
      <c r="H128" t="s">
        <v>26</v>
      </c>
      <c r="I128" s="12">
        <f>DATA!M258</f>
        <v>1</v>
      </c>
    </row>
    <row r="129" spans="1:9" x14ac:dyDescent="0.3">
      <c r="A129">
        <v>2</v>
      </c>
      <c r="B129">
        <f>DATA!M129</f>
        <v>0</v>
      </c>
      <c r="D129">
        <v>0</v>
      </c>
      <c r="E129">
        <v>0</v>
      </c>
      <c r="H129" s="7" t="s">
        <v>26</v>
      </c>
      <c r="I129" s="12">
        <f>DATA!M261</f>
        <v>0</v>
      </c>
    </row>
    <row r="130" spans="1:9" x14ac:dyDescent="0.3">
      <c r="A130">
        <v>2</v>
      </c>
      <c r="B130">
        <f>DATA!M130</f>
        <v>0</v>
      </c>
      <c r="D130">
        <v>1</v>
      </c>
      <c r="E130">
        <v>0</v>
      </c>
      <c r="H130" t="s">
        <v>26</v>
      </c>
      <c r="I130" s="12">
        <f>DATA!M264</f>
        <v>0</v>
      </c>
    </row>
    <row r="131" spans="1:9" x14ac:dyDescent="0.3">
      <c r="A131">
        <v>2</v>
      </c>
      <c r="B131">
        <f>DATA!M131</f>
        <v>0</v>
      </c>
      <c r="D131">
        <v>1</v>
      </c>
      <c r="E131">
        <v>0</v>
      </c>
      <c r="H131" t="s">
        <v>26</v>
      </c>
      <c r="I131" s="12">
        <f>DATA!M266</f>
        <v>0</v>
      </c>
    </row>
    <row r="132" spans="1:9" x14ac:dyDescent="0.3">
      <c r="A132">
        <v>1</v>
      </c>
      <c r="B132">
        <f>DATA!M132</f>
        <v>1</v>
      </c>
      <c r="D132">
        <v>0</v>
      </c>
      <c r="E132">
        <v>0</v>
      </c>
      <c r="H132" t="s">
        <v>26</v>
      </c>
      <c r="I132" s="12">
        <f>DATA!M268</f>
        <v>0</v>
      </c>
    </row>
    <row r="133" spans="1:9" x14ac:dyDescent="0.3">
      <c r="A133">
        <v>1</v>
      </c>
      <c r="B133">
        <f>DATA!M133</f>
        <v>0</v>
      </c>
      <c r="D133">
        <v>0</v>
      </c>
      <c r="E133">
        <v>0</v>
      </c>
      <c r="H133" t="s">
        <v>26</v>
      </c>
      <c r="I133" s="12">
        <f>DATA!M271</f>
        <v>1</v>
      </c>
    </row>
    <row r="134" spans="1:9" x14ac:dyDescent="0.3">
      <c r="A134">
        <v>2</v>
      </c>
      <c r="B134">
        <f>DATA!M134</f>
        <v>1</v>
      </c>
      <c r="D134">
        <v>1</v>
      </c>
      <c r="E134">
        <v>1</v>
      </c>
      <c r="H134" t="s">
        <v>26</v>
      </c>
      <c r="I134" s="12">
        <f>DATA!M272</f>
        <v>1</v>
      </c>
    </row>
    <row r="135" spans="1:9" x14ac:dyDescent="0.3">
      <c r="A135">
        <v>2</v>
      </c>
      <c r="B135">
        <f>DATA!M135</f>
        <v>1</v>
      </c>
      <c r="D135">
        <v>0</v>
      </c>
      <c r="E135">
        <v>0</v>
      </c>
      <c r="H135" t="s">
        <v>26</v>
      </c>
      <c r="I135" s="12">
        <f>DATA!M278</f>
        <v>1</v>
      </c>
    </row>
    <row r="136" spans="1:9" x14ac:dyDescent="0.3">
      <c r="A136">
        <v>1</v>
      </c>
      <c r="B136">
        <f>DATA!M136</f>
        <v>1</v>
      </c>
      <c r="D136">
        <v>1</v>
      </c>
      <c r="E136">
        <v>0</v>
      </c>
      <c r="H136" t="s">
        <v>26</v>
      </c>
      <c r="I136" s="12">
        <f>DATA!M279</f>
        <v>1</v>
      </c>
    </row>
    <row r="137" spans="1:9" x14ac:dyDescent="0.3">
      <c r="A137">
        <v>1</v>
      </c>
      <c r="B137">
        <f>DATA!M137</f>
        <v>1</v>
      </c>
      <c r="D137">
        <v>1</v>
      </c>
      <c r="E137">
        <v>0</v>
      </c>
      <c r="H137" t="s">
        <v>26</v>
      </c>
      <c r="I137" s="12">
        <f>DATA!M281</f>
        <v>1</v>
      </c>
    </row>
    <row r="138" spans="1:9" x14ac:dyDescent="0.3">
      <c r="A138">
        <v>1</v>
      </c>
      <c r="B138">
        <f>DATA!M138</f>
        <v>0</v>
      </c>
      <c r="D138">
        <v>1</v>
      </c>
      <c r="E138">
        <v>0</v>
      </c>
      <c r="H138" t="s">
        <v>26</v>
      </c>
      <c r="I138" s="12">
        <f>DATA!M282</f>
        <v>1</v>
      </c>
    </row>
    <row r="139" spans="1:9" x14ac:dyDescent="0.3">
      <c r="A139">
        <v>2</v>
      </c>
      <c r="B139">
        <f>DATA!M139</f>
        <v>1</v>
      </c>
      <c r="D139">
        <v>1</v>
      </c>
      <c r="E139">
        <v>1</v>
      </c>
      <c r="H139" t="s">
        <v>26</v>
      </c>
      <c r="I139" s="12">
        <f>DATA!M286</f>
        <v>1</v>
      </c>
    </row>
    <row r="140" spans="1:9" x14ac:dyDescent="0.3">
      <c r="A140">
        <v>2</v>
      </c>
      <c r="B140">
        <f>DATA!M140</f>
        <v>0</v>
      </c>
      <c r="D140">
        <v>1</v>
      </c>
      <c r="E140">
        <v>1</v>
      </c>
      <c r="H140" t="s">
        <v>26</v>
      </c>
      <c r="I140" s="12">
        <f>DATA!M288</f>
        <v>0</v>
      </c>
    </row>
    <row r="141" spans="1:9" x14ac:dyDescent="0.3">
      <c r="A141">
        <v>2</v>
      </c>
      <c r="B141">
        <f>DATA!M141</f>
        <v>1</v>
      </c>
      <c r="D141">
        <v>1</v>
      </c>
      <c r="E141">
        <v>1</v>
      </c>
      <c r="H141" t="s">
        <v>26</v>
      </c>
      <c r="I141" s="12">
        <f>DATA!M289</f>
        <v>1</v>
      </c>
    </row>
    <row r="142" spans="1:9" x14ac:dyDescent="0.3">
      <c r="A142">
        <v>1</v>
      </c>
      <c r="B142">
        <f>DATA!M142</f>
        <v>1</v>
      </c>
      <c r="D142">
        <v>1</v>
      </c>
      <c r="E142">
        <v>1</v>
      </c>
      <c r="H142" t="s">
        <v>26</v>
      </c>
      <c r="I142" s="12">
        <f>DATA!M290</f>
        <v>0</v>
      </c>
    </row>
    <row r="143" spans="1:9" x14ac:dyDescent="0.3">
      <c r="A143">
        <v>1</v>
      </c>
      <c r="B143">
        <f>DATA!M143</f>
        <v>0</v>
      </c>
      <c r="D143">
        <v>1</v>
      </c>
      <c r="E143">
        <v>1</v>
      </c>
      <c r="H143" t="s">
        <v>26</v>
      </c>
      <c r="I143" s="12">
        <f>DATA!M291</f>
        <v>0</v>
      </c>
    </row>
    <row r="144" spans="1:9" x14ac:dyDescent="0.3">
      <c r="A144">
        <v>1</v>
      </c>
      <c r="B144">
        <f>DATA!M144</f>
        <v>1</v>
      </c>
      <c r="D144">
        <v>1</v>
      </c>
      <c r="E144">
        <v>1</v>
      </c>
      <c r="H144" t="s">
        <v>26</v>
      </c>
      <c r="I144" s="12">
        <f>DATA!M292</f>
        <v>0</v>
      </c>
    </row>
    <row r="145" spans="1:9" x14ac:dyDescent="0.3">
      <c r="A145">
        <v>2</v>
      </c>
      <c r="B145">
        <f>DATA!M145</f>
        <v>0</v>
      </c>
      <c r="D145">
        <v>1</v>
      </c>
      <c r="E145">
        <v>1</v>
      </c>
      <c r="H145" t="s">
        <v>26</v>
      </c>
      <c r="I145" s="12">
        <f>DATA!M293</f>
        <v>1</v>
      </c>
    </row>
    <row r="146" spans="1:9" x14ac:dyDescent="0.3">
      <c r="A146">
        <v>2</v>
      </c>
      <c r="B146">
        <f>DATA!M146</f>
        <v>0</v>
      </c>
      <c r="D146">
        <v>1</v>
      </c>
      <c r="E146">
        <v>0</v>
      </c>
      <c r="H146" t="s">
        <v>26</v>
      </c>
      <c r="I146" s="12">
        <f>DATA!M294</f>
        <v>0</v>
      </c>
    </row>
    <row r="147" spans="1:9" x14ac:dyDescent="0.3">
      <c r="A147">
        <v>1</v>
      </c>
      <c r="B147">
        <f>DATA!M147</f>
        <v>0</v>
      </c>
      <c r="D147">
        <v>1</v>
      </c>
      <c r="E147">
        <v>1</v>
      </c>
      <c r="H147" t="s">
        <v>26</v>
      </c>
      <c r="I147" s="12">
        <f>DATA!M295</f>
        <v>1</v>
      </c>
    </row>
    <row r="148" spans="1:9" x14ac:dyDescent="0.3">
      <c r="A148">
        <v>1</v>
      </c>
      <c r="B148">
        <f>DATA!M148</f>
        <v>1</v>
      </c>
      <c r="D148">
        <v>0</v>
      </c>
      <c r="E148">
        <v>0</v>
      </c>
      <c r="H148" t="s">
        <v>26</v>
      </c>
      <c r="I148" s="12">
        <f>DATA!M296</f>
        <v>0</v>
      </c>
    </row>
    <row r="149" spans="1:9" x14ac:dyDescent="0.3">
      <c r="A149">
        <v>2</v>
      </c>
      <c r="B149">
        <f>DATA!M149</f>
        <v>1</v>
      </c>
      <c r="D149">
        <v>0</v>
      </c>
      <c r="E149">
        <v>0</v>
      </c>
      <c r="H149" t="s">
        <v>26</v>
      </c>
      <c r="I149" s="12">
        <f>DATA!M298</f>
        <v>1</v>
      </c>
    </row>
    <row r="150" spans="1:9" x14ac:dyDescent="0.3">
      <c r="A150">
        <v>2</v>
      </c>
      <c r="B150">
        <f>DATA!M150</f>
        <v>1</v>
      </c>
      <c r="D150">
        <v>0</v>
      </c>
      <c r="E150">
        <v>0</v>
      </c>
      <c r="H150" t="s">
        <v>26</v>
      </c>
      <c r="I150" s="12">
        <f>DATA!M299</f>
        <v>1</v>
      </c>
    </row>
    <row r="151" spans="1:9" x14ac:dyDescent="0.3">
      <c r="A151">
        <v>2</v>
      </c>
      <c r="B151">
        <f>DATA!M151</f>
        <v>0</v>
      </c>
      <c r="D151">
        <v>1</v>
      </c>
      <c r="E151">
        <v>1</v>
      </c>
      <c r="H151" t="s">
        <v>26</v>
      </c>
      <c r="I151" s="12">
        <f>DATA!M300</f>
        <v>1</v>
      </c>
    </row>
    <row r="152" spans="1:9" x14ac:dyDescent="0.3">
      <c r="A152">
        <v>1</v>
      </c>
      <c r="B152">
        <f>DATA!M152</f>
        <v>0</v>
      </c>
      <c r="D152">
        <v>1</v>
      </c>
      <c r="E152">
        <v>0</v>
      </c>
      <c r="H152" t="s">
        <v>26</v>
      </c>
      <c r="I152" s="12">
        <f>DATA!M301</f>
        <v>0</v>
      </c>
    </row>
    <row r="153" spans="1:9" x14ac:dyDescent="0.3">
      <c r="A153">
        <v>1</v>
      </c>
      <c r="B153">
        <f>DATA!M153</f>
        <v>1</v>
      </c>
      <c r="D153">
        <v>0</v>
      </c>
      <c r="E153">
        <v>1</v>
      </c>
      <c r="H153" t="s">
        <v>26</v>
      </c>
      <c r="I153" s="12">
        <f>DATA!M306</f>
        <v>0</v>
      </c>
    </row>
    <row r="154" spans="1:9" x14ac:dyDescent="0.3">
      <c r="A154">
        <v>2</v>
      </c>
      <c r="B154">
        <f>DATA!M154</f>
        <v>1</v>
      </c>
      <c r="D154">
        <v>1</v>
      </c>
      <c r="E154">
        <v>0</v>
      </c>
      <c r="H154" t="s">
        <v>26</v>
      </c>
      <c r="I154" s="12">
        <f>DATA!M307</f>
        <v>0</v>
      </c>
    </row>
    <row r="155" spans="1:9" x14ac:dyDescent="0.3">
      <c r="A155">
        <v>1</v>
      </c>
      <c r="B155">
        <f>DATA!M155</f>
        <v>1</v>
      </c>
      <c r="D155">
        <v>1</v>
      </c>
      <c r="E155">
        <v>1</v>
      </c>
      <c r="H155" t="s">
        <v>26</v>
      </c>
      <c r="I155" s="12">
        <f>DATA!M308</f>
        <v>1</v>
      </c>
    </row>
    <row r="156" spans="1:9" x14ac:dyDescent="0.3">
      <c r="A156">
        <v>2</v>
      </c>
      <c r="B156">
        <f>DATA!M156</f>
        <v>0</v>
      </c>
      <c r="D156">
        <v>0</v>
      </c>
      <c r="E156">
        <v>1</v>
      </c>
      <c r="H156" t="s">
        <v>26</v>
      </c>
      <c r="I156" s="12">
        <f>DATA!M310</f>
        <v>1</v>
      </c>
    </row>
    <row r="157" spans="1:9" x14ac:dyDescent="0.3">
      <c r="A157">
        <v>1</v>
      </c>
      <c r="B157">
        <f>DATA!M157</f>
        <v>1</v>
      </c>
      <c r="D157">
        <v>1</v>
      </c>
      <c r="E157">
        <v>1</v>
      </c>
      <c r="H157" t="s">
        <v>26</v>
      </c>
      <c r="I157" s="12">
        <f>DATA!M313</f>
        <v>1</v>
      </c>
    </row>
    <row r="158" spans="1:9" x14ac:dyDescent="0.3">
      <c r="A158">
        <v>1</v>
      </c>
      <c r="B158">
        <f>DATA!M158</f>
        <v>0</v>
      </c>
      <c r="D158">
        <v>1</v>
      </c>
      <c r="E158">
        <v>0</v>
      </c>
      <c r="H158" t="s">
        <v>26</v>
      </c>
      <c r="I158" s="12">
        <f>DATA!M316</f>
        <v>0</v>
      </c>
    </row>
    <row r="159" spans="1:9" x14ac:dyDescent="0.3">
      <c r="A159">
        <v>1</v>
      </c>
      <c r="B159">
        <f>DATA!M159</f>
        <v>1</v>
      </c>
      <c r="D159">
        <v>0</v>
      </c>
      <c r="E159">
        <v>0</v>
      </c>
      <c r="H159" t="s">
        <v>26</v>
      </c>
      <c r="I159" s="12">
        <f>DATA!M317</f>
        <v>0</v>
      </c>
    </row>
    <row r="160" spans="1:9" x14ac:dyDescent="0.3">
      <c r="A160">
        <v>2</v>
      </c>
      <c r="B160">
        <f>DATA!M160</f>
        <v>1</v>
      </c>
      <c r="D160">
        <v>1</v>
      </c>
      <c r="E160">
        <v>0</v>
      </c>
      <c r="H160" t="s">
        <v>26</v>
      </c>
      <c r="I160" s="12">
        <f>DATA!M320</f>
        <v>1</v>
      </c>
    </row>
    <row r="161" spans="1:9" x14ac:dyDescent="0.3">
      <c r="A161">
        <v>1</v>
      </c>
      <c r="B161">
        <f>DATA!M161</f>
        <v>1</v>
      </c>
      <c r="D161">
        <v>0</v>
      </c>
      <c r="E161">
        <v>1</v>
      </c>
      <c r="H161" t="s">
        <v>26</v>
      </c>
      <c r="I161" s="12">
        <f>DATA!M324</f>
        <v>1</v>
      </c>
    </row>
    <row r="162" spans="1:9" x14ac:dyDescent="0.3">
      <c r="A162">
        <v>2</v>
      </c>
      <c r="B162">
        <f>DATA!M162</f>
        <v>0</v>
      </c>
      <c r="D162">
        <v>1</v>
      </c>
      <c r="E162">
        <v>1</v>
      </c>
      <c r="H162" t="s">
        <v>26</v>
      </c>
      <c r="I162" s="12">
        <f>DATA!M328</f>
        <v>1</v>
      </c>
    </row>
    <row r="163" spans="1:9" x14ac:dyDescent="0.3">
      <c r="A163">
        <v>1</v>
      </c>
      <c r="B163">
        <f>DATA!M163</f>
        <v>0</v>
      </c>
      <c r="D163">
        <v>0</v>
      </c>
      <c r="E163">
        <v>1</v>
      </c>
      <c r="H163" t="s">
        <v>26</v>
      </c>
      <c r="I163" s="12">
        <f>DATA!M330</f>
        <v>0</v>
      </c>
    </row>
    <row r="164" spans="1:9" x14ac:dyDescent="0.3">
      <c r="A164">
        <v>2</v>
      </c>
      <c r="B164">
        <f>DATA!M164</f>
        <v>1</v>
      </c>
      <c r="D164">
        <v>1</v>
      </c>
      <c r="E164">
        <v>0</v>
      </c>
      <c r="H164" t="s">
        <v>26</v>
      </c>
      <c r="I164" s="12">
        <f>DATA!M332</f>
        <v>1</v>
      </c>
    </row>
    <row r="165" spans="1:9" x14ac:dyDescent="0.3">
      <c r="A165">
        <v>2</v>
      </c>
      <c r="B165">
        <f>DATA!M165</f>
        <v>1</v>
      </c>
      <c r="D165">
        <v>1</v>
      </c>
      <c r="E165">
        <v>0</v>
      </c>
      <c r="H165" t="s">
        <v>26</v>
      </c>
      <c r="I165" s="12">
        <f>DATA!M333</f>
        <v>0</v>
      </c>
    </row>
    <row r="166" spans="1:9" x14ac:dyDescent="0.3">
      <c r="A166">
        <v>2</v>
      </c>
      <c r="B166">
        <f>DATA!M166</f>
        <v>0</v>
      </c>
      <c r="D166">
        <v>1</v>
      </c>
      <c r="E166">
        <v>1</v>
      </c>
      <c r="H166" t="s">
        <v>26</v>
      </c>
      <c r="I166" s="12">
        <f>DATA!M334</f>
        <v>1</v>
      </c>
    </row>
    <row r="167" spans="1:9" x14ac:dyDescent="0.3">
      <c r="A167">
        <v>2</v>
      </c>
      <c r="B167">
        <f>DATA!M167</f>
        <v>1</v>
      </c>
      <c r="D167">
        <v>1</v>
      </c>
      <c r="E167">
        <v>1</v>
      </c>
      <c r="H167" t="s">
        <v>26</v>
      </c>
      <c r="I167" s="12">
        <f>DATA!M335</f>
        <v>1</v>
      </c>
    </row>
    <row r="168" spans="1:9" x14ac:dyDescent="0.3">
      <c r="A168">
        <v>2</v>
      </c>
      <c r="B168">
        <f>DATA!M168</f>
        <v>1</v>
      </c>
      <c r="D168">
        <v>1</v>
      </c>
      <c r="E168">
        <v>1</v>
      </c>
      <c r="H168" t="s">
        <v>26</v>
      </c>
      <c r="I168" s="12">
        <f>DATA!M337</f>
        <v>1</v>
      </c>
    </row>
    <row r="169" spans="1:9" x14ac:dyDescent="0.3">
      <c r="A169">
        <v>1</v>
      </c>
      <c r="B169">
        <f>DATA!M169</f>
        <v>0</v>
      </c>
      <c r="D169">
        <v>0</v>
      </c>
      <c r="E169">
        <v>0</v>
      </c>
      <c r="H169" t="s">
        <v>26</v>
      </c>
      <c r="I169" s="12">
        <f>DATA!M339</f>
        <v>1</v>
      </c>
    </row>
    <row r="170" spans="1:9" x14ac:dyDescent="0.3">
      <c r="A170">
        <v>1</v>
      </c>
      <c r="B170">
        <f>DATA!M170</f>
        <v>0</v>
      </c>
      <c r="D170">
        <v>1</v>
      </c>
      <c r="E170">
        <v>1</v>
      </c>
      <c r="H170" t="s">
        <v>26</v>
      </c>
      <c r="I170" s="12">
        <f>DATA!M340</f>
        <v>1</v>
      </c>
    </row>
    <row r="171" spans="1:9" x14ac:dyDescent="0.3">
      <c r="A171">
        <v>2</v>
      </c>
      <c r="B171">
        <f>DATA!M171</f>
        <v>0</v>
      </c>
      <c r="D171">
        <v>0</v>
      </c>
      <c r="E171">
        <v>0</v>
      </c>
      <c r="H171" t="s">
        <v>26</v>
      </c>
      <c r="I171" s="12">
        <f>DATA!M344</f>
        <v>1</v>
      </c>
    </row>
    <row r="172" spans="1:9" x14ac:dyDescent="0.3">
      <c r="A172">
        <v>2</v>
      </c>
      <c r="B172">
        <f>DATA!M172</f>
        <v>1</v>
      </c>
      <c r="D172">
        <v>1</v>
      </c>
      <c r="E172">
        <v>1</v>
      </c>
      <c r="H172" t="s">
        <v>26</v>
      </c>
      <c r="I172" s="12">
        <f>DATA!M345</f>
        <v>1</v>
      </c>
    </row>
    <row r="173" spans="1:9" x14ac:dyDescent="0.3">
      <c r="A173">
        <v>2</v>
      </c>
      <c r="B173">
        <f>DATA!M173</f>
        <v>0</v>
      </c>
      <c r="D173">
        <v>1</v>
      </c>
      <c r="E173">
        <v>1</v>
      </c>
      <c r="H173" t="s">
        <v>26</v>
      </c>
      <c r="I173" s="12">
        <f>DATA!M347</f>
        <v>0</v>
      </c>
    </row>
    <row r="174" spans="1:9" x14ac:dyDescent="0.3">
      <c r="A174">
        <v>1</v>
      </c>
      <c r="B174">
        <f>DATA!M174</f>
        <v>1</v>
      </c>
      <c r="D174">
        <v>0</v>
      </c>
      <c r="E174">
        <v>1</v>
      </c>
      <c r="H174" t="s">
        <v>26</v>
      </c>
      <c r="I174" s="12">
        <f>DATA!M348</f>
        <v>0</v>
      </c>
    </row>
    <row r="175" spans="1:9" x14ac:dyDescent="0.3">
      <c r="A175">
        <v>2</v>
      </c>
      <c r="B175">
        <f>DATA!M175</f>
        <v>1</v>
      </c>
      <c r="D175">
        <v>0</v>
      </c>
      <c r="E175">
        <v>1</v>
      </c>
      <c r="H175" t="s">
        <v>26</v>
      </c>
      <c r="I175" s="12">
        <f>DATA!M353</f>
        <v>1</v>
      </c>
    </row>
    <row r="176" spans="1:9" x14ac:dyDescent="0.3">
      <c r="A176">
        <v>1</v>
      </c>
      <c r="B176">
        <f>DATA!M176</f>
        <v>1</v>
      </c>
      <c r="D176">
        <v>0</v>
      </c>
      <c r="E176">
        <v>1</v>
      </c>
      <c r="H176" t="s">
        <v>26</v>
      </c>
      <c r="I176" s="12">
        <f>DATA!M354</f>
        <v>0</v>
      </c>
    </row>
    <row r="177" spans="1:9" x14ac:dyDescent="0.3">
      <c r="A177">
        <v>2</v>
      </c>
      <c r="B177">
        <f>DATA!M177</f>
        <v>1</v>
      </c>
      <c r="D177">
        <v>1</v>
      </c>
      <c r="E177">
        <v>1</v>
      </c>
      <c r="H177" t="s">
        <v>26</v>
      </c>
      <c r="I177" s="12">
        <f>DATA!M356</f>
        <v>1</v>
      </c>
    </row>
    <row r="178" spans="1:9" x14ac:dyDescent="0.3">
      <c r="A178">
        <v>1</v>
      </c>
      <c r="B178">
        <f>DATA!M178</f>
        <v>0</v>
      </c>
      <c r="D178">
        <v>1</v>
      </c>
      <c r="E178">
        <v>1</v>
      </c>
      <c r="H178" t="s">
        <v>26</v>
      </c>
      <c r="I178" s="12">
        <f>DATA!M357</f>
        <v>1</v>
      </c>
    </row>
    <row r="179" spans="1:9" x14ac:dyDescent="0.3">
      <c r="A179">
        <v>2</v>
      </c>
      <c r="B179">
        <f>DATA!M179</f>
        <v>1</v>
      </c>
      <c r="D179">
        <v>0</v>
      </c>
      <c r="E179">
        <v>0</v>
      </c>
      <c r="H179" t="s">
        <v>26</v>
      </c>
      <c r="I179" s="12">
        <f>DATA!M358</f>
        <v>1</v>
      </c>
    </row>
    <row r="180" spans="1:9" x14ac:dyDescent="0.3">
      <c r="A180">
        <v>1</v>
      </c>
      <c r="B180">
        <f>DATA!M180</f>
        <v>1</v>
      </c>
      <c r="D180">
        <v>1</v>
      </c>
      <c r="E180">
        <v>0</v>
      </c>
      <c r="H180" t="s">
        <v>26</v>
      </c>
      <c r="I180" s="12">
        <f>DATA!M359</f>
        <v>0</v>
      </c>
    </row>
    <row r="181" spans="1:9" x14ac:dyDescent="0.3">
      <c r="A181">
        <v>1</v>
      </c>
      <c r="B181">
        <f>DATA!M181</f>
        <v>0</v>
      </c>
      <c r="D181">
        <v>0</v>
      </c>
      <c r="E181">
        <v>1</v>
      </c>
      <c r="H181" t="s">
        <v>26</v>
      </c>
      <c r="I181" s="12">
        <f>DATA!M360</f>
        <v>1</v>
      </c>
    </row>
    <row r="182" spans="1:9" x14ac:dyDescent="0.3">
      <c r="A182">
        <v>2</v>
      </c>
      <c r="B182">
        <f>DATA!M182</f>
        <v>1</v>
      </c>
      <c r="D182">
        <v>0</v>
      </c>
      <c r="E182">
        <v>0</v>
      </c>
      <c r="H182" t="s">
        <v>26</v>
      </c>
      <c r="I182" s="12">
        <f>DATA!M361</f>
        <v>0</v>
      </c>
    </row>
    <row r="183" spans="1:9" x14ac:dyDescent="0.3">
      <c r="A183">
        <v>2</v>
      </c>
      <c r="B183">
        <f>DATA!M183</f>
        <v>0</v>
      </c>
      <c r="D183">
        <v>0</v>
      </c>
      <c r="E183">
        <v>1</v>
      </c>
      <c r="H183" t="s">
        <v>26</v>
      </c>
      <c r="I183" s="12">
        <f>DATA!M363</f>
        <v>1</v>
      </c>
    </row>
    <row r="184" spans="1:9" x14ac:dyDescent="0.3">
      <c r="A184">
        <v>2</v>
      </c>
      <c r="B184">
        <f>DATA!M184</f>
        <v>0</v>
      </c>
      <c r="D184">
        <v>0</v>
      </c>
      <c r="E184">
        <v>1</v>
      </c>
      <c r="H184" t="s">
        <v>26</v>
      </c>
      <c r="I184" s="12">
        <f>DATA!M364</f>
        <v>0</v>
      </c>
    </row>
    <row r="185" spans="1:9" x14ac:dyDescent="0.3">
      <c r="A185">
        <v>2</v>
      </c>
      <c r="B185">
        <f>DATA!M185</f>
        <v>0</v>
      </c>
      <c r="D185">
        <v>1</v>
      </c>
      <c r="E185">
        <v>1</v>
      </c>
      <c r="H185" t="s">
        <v>26</v>
      </c>
      <c r="I185" s="12">
        <f>DATA!M365</f>
        <v>1</v>
      </c>
    </row>
    <row r="186" spans="1:9" x14ac:dyDescent="0.3">
      <c r="A186">
        <v>1</v>
      </c>
      <c r="B186">
        <f>DATA!M186</f>
        <v>0</v>
      </c>
      <c r="D186">
        <v>1</v>
      </c>
      <c r="E186">
        <v>0</v>
      </c>
      <c r="H186" t="s">
        <v>26</v>
      </c>
      <c r="I186" s="12">
        <f>DATA!M367</f>
        <v>1</v>
      </c>
    </row>
    <row r="187" spans="1:9" x14ac:dyDescent="0.3">
      <c r="A187">
        <v>1</v>
      </c>
      <c r="B187">
        <f>DATA!M187</f>
        <v>1</v>
      </c>
      <c r="D187">
        <v>0</v>
      </c>
      <c r="E187">
        <v>1</v>
      </c>
      <c r="H187" t="s">
        <v>26</v>
      </c>
      <c r="I187" s="12">
        <f>DATA!M368</f>
        <v>1</v>
      </c>
    </row>
    <row r="188" spans="1:9" x14ac:dyDescent="0.3">
      <c r="A188">
        <v>1</v>
      </c>
      <c r="B188">
        <f>DATA!M188</f>
        <v>1</v>
      </c>
      <c r="D188">
        <v>0</v>
      </c>
      <c r="E188">
        <v>0</v>
      </c>
      <c r="H188" t="s">
        <v>26</v>
      </c>
      <c r="I188" s="12">
        <f>DATA!M369</f>
        <v>0</v>
      </c>
    </row>
    <row r="189" spans="1:9" x14ac:dyDescent="0.3">
      <c r="A189">
        <v>1</v>
      </c>
      <c r="B189">
        <f>DATA!M189</f>
        <v>0</v>
      </c>
      <c r="D189">
        <v>1</v>
      </c>
      <c r="E189">
        <v>1</v>
      </c>
      <c r="H189" t="s">
        <v>26</v>
      </c>
      <c r="I189" s="12">
        <f>DATA!M370</f>
        <v>1</v>
      </c>
    </row>
    <row r="190" spans="1:9" x14ac:dyDescent="0.3">
      <c r="A190">
        <v>1</v>
      </c>
      <c r="B190">
        <f>DATA!M190</f>
        <v>1</v>
      </c>
      <c r="D190">
        <v>0</v>
      </c>
      <c r="E190">
        <v>0</v>
      </c>
      <c r="H190" t="s">
        <v>26</v>
      </c>
      <c r="I190" s="12">
        <f>DATA!M371</f>
        <v>0</v>
      </c>
    </row>
    <row r="191" spans="1:9" x14ac:dyDescent="0.3">
      <c r="A191">
        <v>1</v>
      </c>
      <c r="B191">
        <f>DATA!M191</f>
        <v>1</v>
      </c>
      <c r="D191">
        <v>0</v>
      </c>
      <c r="E191">
        <v>1</v>
      </c>
      <c r="H191" t="s">
        <v>26</v>
      </c>
      <c r="I191" s="12">
        <f>DATA!M373</f>
        <v>0</v>
      </c>
    </row>
    <row r="192" spans="1:9" x14ac:dyDescent="0.3">
      <c r="A192">
        <v>2</v>
      </c>
      <c r="B192">
        <f>DATA!M192</f>
        <v>0</v>
      </c>
      <c r="D192">
        <v>1</v>
      </c>
      <c r="E192">
        <v>1</v>
      </c>
      <c r="H192" t="s">
        <v>26</v>
      </c>
      <c r="I192" s="12">
        <f>DATA!M374</f>
        <v>0</v>
      </c>
    </row>
    <row r="193" spans="1:9" x14ac:dyDescent="0.3">
      <c r="A193">
        <v>1</v>
      </c>
      <c r="B193">
        <f>DATA!M193</f>
        <v>0</v>
      </c>
      <c r="D193">
        <v>1</v>
      </c>
      <c r="E193">
        <v>1</v>
      </c>
      <c r="H193" t="s">
        <v>26</v>
      </c>
      <c r="I193" s="12">
        <f>DATA!M377</f>
        <v>1</v>
      </c>
    </row>
    <row r="194" spans="1:9" x14ac:dyDescent="0.3">
      <c r="A194">
        <v>1</v>
      </c>
      <c r="B194">
        <f>DATA!M194</f>
        <v>1</v>
      </c>
      <c r="D194">
        <v>1</v>
      </c>
      <c r="E194">
        <v>0</v>
      </c>
      <c r="H194" t="s">
        <v>26</v>
      </c>
      <c r="I194" s="12">
        <f>DATA!M378</f>
        <v>0</v>
      </c>
    </row>
    <row r="195" spans="1:9" x14ac:dyDescent="0.3">
      <c r="A195">
        <v>1</v>
      </c>
      <c r="B195">
        <f>DATA!M195</f>
        <v>1</v>
      </c>
      <c r="D195">
        <v>0</v>
      </c>
      <c r="E195">
        <v>1</v>
      </c>
      <c r="H195" t="s">
        <v>26</v>
      </c>
      <c r="I195" s="12">
        <f>DATA!M379</f>
        <v>0</v>
      </c>
    </row>
    <row r="196" spans="1:9" x14ac:dyDescent="0.3">
      <c r="A196">
        <v>2</v>
      </c>
      <c r="B196">
        <f>DATA!M196</f>
        <v>1</v>
      </c>
      <c r="D196">
        <v>0</v>
      </c>
      <c r="E196">
        <v>0</v>
      </c>
      <c r="H196" t="s">
        <v>26</v>
      </c>
      <c r="I196" s="12">
        <f>DATA!M381</f>
        <v>1</v>
      </c>
    </row>
    <row r="197" spans="1:9" x14ac:dyDescent="0.3">
      <c r="A197">
        <v>1</v>
      </c>
      <c r="B197">
        <f>DATA!M197</f>
        <v>0</v>
      </c>
      <c r="D197">
        <v>1</v>
      </c>
      <c r="E197">
        <v>0</v>
      </c>
      <c r="H197" t="s">
        <v>26</v>
      </c>
      <c r="I197" s="12">
        <f>DATA!M383</f>
        <v>1</v>
      </c>
    </row>
    <row r="198" spans="1:9" x14ac:dyDescent="0.3">
      <c r="A198">
        <v>2</v>
      </c>
      <c r="B198">
        <f>DATA!M198</f>
        <v>0</v>
      </c>
      <c r="D198">
        <v>1</v>
      </c>
      <c r="E198">
        <v>0</v>
      </c>
      <c r="H198" t="s">
        <v>26</v>
      </c>
      <c r="I198" s="12">
        <f>DATA!M387</f>
        <v>0</v>
      </c>
    </row>
    <row r="199" spans="1:9" x14ac:dyDescent="0.3">
      <c r="A199">
        <v>1</v>
      </c>
      <c r="B199">
        <f>DATA!M199</f>
        <v>1</v>
      </c>
      <c r="D199">
        <v>1</v>
      </c>
      <c r="E199">
        <v>1</v>
      </c>
      <c r="H199" t="s">
        <v>26</v>
      </c>
      <c r="I199" s="12">
        <f>DATA!M388</f>
        <v>0</v>
      </c>
    </row>
    <row r="200" spans="1:9" x14ac:dyDescent="0.3">
      <c r="A200">
        <v>1</v>
      </c>
      <c r="B200">
        <f>DATA!M200</f>
        <v>1</v>
      </c>
      <c r="D200">
        <v>1</v>
      </c>
      <c r="E200">
        <v>0</v>
      </c>
      <c r="H200" t="s">
        <v>26</v>
      </c>
      <c r="I200" s="12">
        <f>DATA!M389</f>
        <v>0</v>
      </c>
    </row>
    <row r="201" spans="1:9" x14ac:dyDescent="0.3">
      <c r="A201">
        <v>2</v>
      </c>
      <c r="B201">
        <f>DATA!M201</f>
        <v>1</v>
      </c>
      <c r="D201">
        <v>1</v>
      </c>
      <c r="E201">
        <v>0</v>
      </c>
      <c r="H201" t="s">
        <v>26</v>
      </c>
      <c r="I201" s="12">
        <f>DATA!M390</f>
        <v>1</v>
      </c>
    </row>
    <row r="202" spans="1:9" x14ac:dyDescent="0.3">
      <c r="A202">
        <v>1</v>
      </c>
      <c r="B202">
        <f>DATA!M202</f>
        <v>0</v>
      </c>
      <c r="D202">
        <v>0</v>
      </c>
      <c r="E202">
        <v>1</v>
      </c>
      <c r="H202" t="s">
        <v>26</v>
      </c>
      <c r="I202" s="12">
        <f>DATA!M391</f>
        <v>1</v>
      </c>
    </row>
    <row r="203" spans="1:9" x14ac:dyDescent="0.3">
      <c r="A203">
        <v>1</v>
      </c>
      <c r="B203">
        <f>DATA!M203</f>
        <v>1</v>
      </c>
      <c r="D203">
        <v>0</v>
      </c>
      <c r="E203">
        <v>1</v>
      </c>
      <c r="H203" t="s">
        <v>26</v>
      </c>
      <c r="I203" s="12">
        <f>DATA!M393</f>
        <v>1</v>
      </c>
    </row>
    <row r="204" spans="1:9" x14ac:dyDescent="0.3">
      <c r="A204">
        <v>2</v>
      </c>
      <c r="B204">
        <f>DATA!M204</f>
        <v>1</v>
      </c>
      <c r="D204">
        <v>1</v>
      </c>
      <c r="E204">
        <v>0</v>
      </c>
      <c r="H204" t="s">
        <v>26</v>
      </c>
      <c r="I204" s="12">
        <f>DATA!M394</f>
        <v>0</v>
      </c>
    </row>
    <row r="205" spans="1:9" x14ac:dyDescent="0.3">
      <c r="A205">
        <v>2</v>
      </c>
      <c r="B205">
        <f>DATA!M205</f>
        <v>0</v>
      </c>
      <c r="D205">
        <v>1</v>
      </c>
      <c r="E205">
        <v>0</v>
      </c>
      <c r="H205" t="s">
        <v>26</v>
      </c>
      <c r="I205" s="12">
        <f>DATA!M395</f>
        <v>1</v>
      </c>
    </row>
    <row r="206" spans="1:9" x14ac:dyDescent="0.3">
      <c r="A206">
        <v>1</v>
      </c>
      <c r="B206">
        <f>DATA!M206</f>
        <v>1</v>
      </c>
      <c r="D206">
        <v>0</v>
      </c>
      <c r="E206">
        <v>0</v>
      </c>
      <c r="H206" t="s">
        <v>26</v>
      </c>
      <c r="I206" s="12">
        <f>DATA!M397</f>
        <v>0</v>
      </c>
    </row>
    <row r="207" spans="1:9" x14ac:dyDescent="0.3">
      <c r="A207">
        <v>1</v>
      </c>
      <c r="B207">
        <f>DATA!M207</f>
        <v>1</v>
      </c>
      <c r="D207">
        <v>1</v>
      </c>
      <c r="E207">
        <v>1</v>
      </c>
      <c r="H207" t="s">
        <v>26</v>
      </c>
      <c r="I207" s="12">
        <f>DATA!M398</f>
        <v>1</v>
      </c>
    </row>
    <row r="208" spans="1:9" x14ac:dyDescent="0.3">
      <c r="A208">
        <v>2</v>
      </c>
      <c r="B208">
        <f>DATA!M208</f>
        <v>1</v>
      </c>
      <c r="D208">
        <v>1</v>
      </c>
      <c r="E208">
        <v>1</v>
      </c>
      <c r="H208" t="s">
        <v>26</v>
      </c>
      <c r="I208" s="12">
        <f>DATA!M399</f>
        <v>0</v>
      </c>
    </row>
    <row r="209" spans="1:9" x14ac:dyDescent="0.3">
      <c r="A209">
        <v>2</v>
      </c>
      <c r="B209">
        <f>DATA!M209</f>
        <v>0</v>
      </c>
      <c r="D209">
        <v>1</v>
      </c>
      <c r="E209">
        <v>1</v>
      </c>
      <c r="H209" t="s">
        <v>26</v>
      </c>
      <c r="I209" s="12">
        <f>DATA!M401</f>
        <v>0</v>
      </c>
    </row>
    <row r="210" spans="1:9" x14ac:dyDescent="0.3">
      <c r="A210">
        <v>2</v>
      </c>
      <c r="B210">
        <f>DATA!M210</f>
        <v>0</v>
      </c>
      <c r="D210">
        <v>0</v>
      </c>
      <c r="E210">
        <v>0</v>
      </c>
      <c r="H210" t="s">
        <v>26</v>
      </c>
      <c r="I210" s="12">
        <f>DATA!M402</f>
        <v>0</v>
      </c>
    </row>
    <row r="211" spans="1:9" x14ac:dyDescent="0.3">
      <c r="A211">
        <v>2</v>
      </c>
      <c r="B211">
        <f>DATA!M211</f>
        <v>0</v>
      </c>
      <c r="D211">
        <v>1</v>
      </c>
      <c r="E211">
        <v>1</v>
      </c>
      <c r="H211" t="s">
        <v>26</v>
      </c>
      <c r="I211" s="12">
        <f>DATA!M404</f>
        <v>1</v>
      </c>
    </row>
    <row r="212" spans="1:9" x14ac:dyDescent="0.3">
      <c r="A212">
        <v>1</v>
      </c>
      <c r="B212">
        <f>DATA!M212</f>
        <v>1</v>
      </c>
      <c r="D212">
        <v>1</v>
      </c>
      <c r="E212">
        <v>0</v>
      </c>
      <c r="H212" t="s">
        <v>26</v>
      </c>
      <c r="I212" s="12">
        <f>DATA!M406</f>
        <v>1</v>
      </c>
    </row>
    <row r="213" spans="1:9" x14ac:dyDescent="0.3">
      <c r="A213">
        <v>1</v>
      </c>
      <c r="B213">
        <f>DATA!M213</f>
        <v>0</v>
      </c>
      <c r="D213">
        <v>1</v>
      </c>
      <c r="E213">
        <v>1</v>
      </c>
      <c r="H213" t="s">
        <v>26</v>
      </c>
      <c r="I213" s="12">
        <f>DATA!M407</f>
        <v>1</v>
      </c>
    </row>
    <row r="214" spans="1:9" x14ac:dyDescent="0.3">
      <c r="A214">
        <v>2</v>
      </c>
      <c r="B214">
        <f>DATA!M214</f>
        <v>0</v>
      </c>
      <c r="D214">
        <v>1</v>
      </c>
      <c r="E214">
        <v>0</v>
      </c>
      <c r="H214" t="s">
        <v>26</v>
      </c>
      <c r="I214" s="12">
        <f>DATA!M410</f>
        <v>1</v>
      </c>
    </row>
    <row r="215" spans="1:9" x14ac:dyDescent="0.3">
      <c r="A215">
        <v>1</v>
      </c>
      <c r="B215">
        <f>DATA!M215</f>
        <v>0</v>
      </c>
      <c r="D215">
        <v>1</v>
      </c>
      <c r="E215">
        <v>0</v>
      </c>
      <c r="H215" t="s">
        <v>26</v>
      </c>
      <c r="I215" s="12">
        <f>DATA!M411</f>
        <v>1</v>
      </c>
    </row>
    <row r="216" spans="1:9" x14ac:dyDescent="0.3">
      <c r="A216">
        <v>2</v>
      </c>
      <c r="B216">
        <f>DATA!M216</f>
        <v>1</v>
      </c>
      <c r="D216">
        <v>0</v>
      </c>
      <c r="E216">
        <v>0</v>
      </c>
      <c r="H216" t="s">
        <v>26</v>
      </c>
      <c r="I216" s="12">
        <f>DATA!M412</f>
        <v>1</v>
      </c>
    </row>
    <row r="217" spans="1:9" x14ac:dyDescent="0.3">
      <c r="A217">
        <v>2</v>
      </c>
      <c r="B217">
        <f>DATA!M217</f>
        <v>0</v>
      </c>
      <c r="D217">
        <v>1</v>
      </c>
      <c r="E217">
        <v>1</v>
      </c>
      <c r="H217" t="s">
        <v>26</v>
      </c>
      <c r="I217" s="12">
        <f>DATA!M413</f>
        <v>1</v>
      </c>
    </row>
    <row r="218" spans="1:9" x14ac:dyDescent="0.3">
      <c r="A218">
        <v>1</v>
      </c>
      <c r="B218">
        <f>DATA!M218</f>
        <v>1</v>
      </c>
      <c r="D218">
        <v>1</v>
      </c>
      <c r="E218">
        <v>1</v>
      </c>
      <c r="H218" t="s">
        <v>26</v>
      </c>
      <c r="I218" s="12">
        <f>DATA!M414</f>
        <v>0</v>
      </c>
    </row>
    <row r="219" spans="1:9" x14ac:dyDescent="0.3">
      <c r="A219">
        <v>2</v>
      </c>
      <c r="B219">
        <f>DATA!M219</f>
        <v>1</v>
      </c>
      <c r="D219">
        <v>1</v>
      </c>
      <c r="E219">
        <v>1</v>
      </c>
      <c r="H219" t="s">
        <v>26</v>
      </c>
      <c r="I219" s="12">
        <f>DATA!M416</f>
        <v>1</v>
      </c>
    </row>
    <row r="220" spans="1:9" x14ac:dyDescent="0.3">
      <c r="A220">
        <v>2</v>
      </c>
      <c r="B220">
        <f>DATA!M220</f>
        <v>0</v>
      </c>
      <c r="D220">
        <v>0</v>
      </c>
      <c r="E220">
        <v>1</v>
      </c>
      <c r="H220" t="s">
        <v>26</v>
      </c>
      <c r="I220" s="12">
        <f>DATA!M418</f>
        <v>1</v>
      </c>
    </row>
    <row r="221" spans="1:9" x14ac:dyDescent="0.3">
      <c r="A221">
        <v>1</v>
      </c>
      <c r="B221">
        <f>DATA!M221</f>
        <v>0</v>
      </c>
      <c r="D221">
        <v>1</v>
      </c>
      <c r="E221">
        <v>1</v>
      </c>
      <c r="H221" t="s">
        <v>26</v>
      </c>
      <c r="I221" s="12">
        <f>DATA!M419</f>
        <v>1</v>
      </c>
    </row>
    <row r="222" spans="1:9" x14ac:dyDescent="0.3">
      <c r="A222">
        <v>1</v>
      </c>
      <c r="B222">
        <f>DATA!M222</f>
        <v>0</v>
      </c>
      <c r="D222">
        <v>1</v>
      </c>
      <c r="E222">
        <v>1</v>
      </c>
      <c r="H222" t="s">
        <v>26</v>
      </c>
      <c r="I222" s="12">
        <f>DATA!M420</f>
        <v>0</v>
      </c>
    </row>
    <row r="223" spans="1:9" x14ac:dyDescent="0.3">
      <c r="A223">
        <v>2</v>
      </c>
      <c r="B223">
        <f>DATA!M223</f>
        <v>1</v>
      </c>
      <c r="D223">
        <v>0</v>
      </c>
      <c r="E223">
        <v>1</v>
      </c>
      <c r="H223" t="s">
        <v>26</v>
      </c>
      <c r="I223" s="12">
        <f>DATA!M422</f>
        <v>0</v>
      </c>
    </row>
    <row r="224" spans="1:9" x14ac:dyDescent="0.3">
      <c r="A224">
        <v>1</v>
      </c>
      <c r="B224">
        <f>DATA!M224</f>
        <v>0</v>
      </c>
      <c r="D224">
        <v>1</v>
      </c>
      <c r="E224">
        <v>0</v>
      </c>
      <c r="H224" t="s">
        <v>26</v>
      </c>
      <c r="I224" s="12">
        <f>DATA!M423</f>
        <v>1</v>
      </c>
    </row>
    <row r="225" spans="1:9" x14ac:dyDescent="0.3">
      <c r="A225">
        <v>1</v>
      </c>
      <c r="B225">
        <f>DATA!M225</f>
        <v>0</v>
      </c>
      <c r="D225">
        <v>1</v>
      </c>
      <c r="E225">
        <v>1</v>
      </c>
      <c r="H225" t="s">
        <v>26</v>
      </c>
      <c r="I225" s="12">
        <f>DATA!M426</f>
        <v>1</v>
      </c>
    </row>
    <row r="226" spans="1:9" x14ac:dyDescent="0.3">
      <c r="A226">
        <v>1</v>
      </c>
      <c r="B226">
        <f>DATA!M226</f>
        <v>0</v>
      </c>
      <c r="D226">
        <v>1</v>
      </c>
      <c r="E226">
        <v>1</v>
      </c>
      <c r="H226" t="s">
        <v>26</v>
      </c>
      <c r="I226" s="12">
        <f>DATA!M427</f>
        <v>1</v>
      </c>
    </row>
    <row r="227" spans="1:9" x14ac:dyDescent="0.3">
      <c r="A227">
        <v>1</v>
      </c>
      <c r="B227">
        <f>DATA!M227</f>
        <v>0</v>
      </c>
      <c r="D227">
        <v>0</v>
      </c>
      <c r="E227">
        <v>1</v>
      </c>
      <c r="H227" t="s">
        <v>26</v>
      </c>
      <c r="I227" s="12">
        <f>DATA!M428</f>
        <v>0</v>
      </c>
    </row>
    <row r="228" spans="1:9" x14ac:dyDescent="0.3">
      <c r="A228">
        <v>1</v>
      </c>
      <c r="B228">
        <f>DATA!M228</f>
        <v>1</v>
      </c>
      <c r="D228">
        <v>1</v>
      </c>
      <c r="E228">
        <v>0</v>
      </c>
      <c r="H228" t="s">
        <v>26</v>
      </c>
      <c r="I228" s="12">
        <f>DATA!M429</f>
        <v>1</v>
      </c>
    </row>
    <row r="229" spans="1:9" x14ac:dyDescent="0.3">
      <c r="A229">
        <v>1</v>
      </c>
      <c r="B229">
        <f>DATA!M229</f>
        <v>1</v>
      </c>
      <c r="D229">
        <v>1</v>
      </c>
      <c r="E229">
        <v>0</v>
      </c>
      <c r="H229" t="s">
        <v>26</v>
      </c>
      <c r="I229" s="12">
        <f>DATA!M432</f>
        <v>0</v>
      </c>
    </row>
    <row r="230" spans="1:9" x14ac:dyDescent="0.3">
      <c r="A230">
        <v>2</v>
      </c>
      <c r="B230">
        <f>DATA!M230</f>
        <v>1</v>
      </c>
      <c r="D230">
        <v>1</v>
      </c>
      <c r="E230">
        <v>1</v>
      </c>
      <c r="H230" t="s">
        <v>26</v>
      </c>
      <c r="I230" s="12">
        <f>DATA!M438</f>
        <v>0</v>
      </c>
    </row>
    <row r="231" spans="1:9" x14ac:dyDescent="0.3">
      <c r="A231">
        <v>1</v>
      </c>
      <c r="B231">
        <f>DATA!M231</f>
        <v>1</v>
      </c>
      <c r="D231">
        <v>0</v>
      </c>
      <c r="E231">
        <v>1</v>
      </c>
      <c r="H231" t="s">
        <v>26</v>
      </c>
      <c r="I231" s="12">
        <f>DATA!M439</f>
        <v>0</v>
      </c>
    </row>
    <row r="232" spans="1:9" x14ac:dyDescent="0.3">
      <c r="A232">
        <v>2</v>
      </c>
      <c r="B232">
        <f>DATA!M232</f>
        <v>0</v>
      </c>
      <c r="D232">
        <v>1</v>
      </c>
      <c r="E232">
        <v>1</v>
      </c>
      <c r="H232" t="s">
        <v>26</v>
      </c>
      <c r="I232" s="12">
        <f>DATA!M441</f>
        <v>1</v>
      </c>
    </row>
    <row r="233" spans="1:9" x14ac:dyDescent="0.3">
      <c r="A233">
        <v>2</v>
      </c>
      <c r="B233">
        <f>DATA!M233</f>
        <v>1</v>
      </c>
      <c r="D233">
        <v>0</v>
      </c>
      <c r="E233">
        <v>0</v>
      </c>
      <c r="H233" t="s">
        <v>26</v>
      </c>
      <c r="I233" s="12">
        <f>DATA!M447</f>
        <v>1</v>
      </c>
    </row>
    <row r="234" spans="1:9" x14ac:dyDescent="0.3">
      <c r="A234">
        <v>2</v>
      </c>
      <c r="B234">
        <f>DATA!M234</f>
        <v>1</v>
      </c>
      <c r="D234">
        <v>0</v>
      </c>
      <c r="E234">
        <v>1</v>
      </c>
      <c r="H234" t="s">
        <v>26</v>
      </c>
      <c r="I234" s="12">
        <f>DATA!M448</f>
        <v>1</v>
      </c>
    </row>
    <row r="235" spans="1:9" x14ac:dyDescent="0.3">
      <c r="A235">
        <v>1</v>
      </c>
      <c r="B235">
        <f>DATA!M235</f>
        <v>1</v>
      </c>
      <c r="D235">
        <v>1</v>
      </c>
      <c r="E235">
        <v>0</v>
      </c>
      <c r="H235" t="s">
        <v>26</v>
      </c>
      <c r="I235" s="12">
        <f>DATA!M449</f>
        <v>0</v>
      </c>
    </row>
    <row r="236" spans="1:9" x14ac:dyDescent="0.3">
      <c r="A236">
        <v>1</v>
      </c>
      <c r="B236">
        <f>DATA!M236</f>
        <v>1</v>
      </c>
      <c r="D236">
        <v>0</v>
      </c>
      <c r="E236">
        <v>0</v>
      </c>
      <c r="H236" t="s">
        <v>26</v>
      </c>
      <c r="I236" s="12">
        <f>DATA!M450</f>
        <v>1</v>
      </c>
    </row>
    <row r="237" spans="1:9" x14ac:dyDescent="0.3">
      <c r="A237">
        <v>2</v>
      </c>
      <c r="B237">
        <f>DATA!M237</f>
        <v>0</v>
      </c>
      <c r="D237">
        <v>0</v>
      </c>
      <c r="E237">
        <v>0</v>
      </c>
      <c r="H237" t="s">
        <v>26</v>
      </c>
      <c r="I237" s="12">
        <f>DATA!M451</f>
        <v>0</v>
      </c>
    </row>
    <row r="238" spans="1:9" x14ac:dyDescent="0.3">
      <c r="A238">
        <v>2</v>
      </c>
      <c r="B238">
        <f>DATA!M238</f>
        <v>0</v>
      </c>
      <c r="D238">
        <v>0</v>
      </c>
      <c r="E238">
        <v>1</v>
      </c>
      <c r="H238" t="s">
        <v>26</v>
      </c>
      <c r="I238" s="12">
        <f>DATA!M452</f>
        <v>0</v>
      </c>
    </row>
    <row r="239" spans="1:9" x14ac:dyDescent="0.3">
      <c r="A239">
        <v>2</v>
      </c>
      <c r="B239">
        <f>DATA!M239</f>
        <v>0</v>
      </c>
      <c r="D239">
        <v>0</v>
      </c>
      <c r="E239">
        <v>1</v>
      </c>
      <c r="H239" t="s">
        <v>26</v>
      </c>
      <c r="I239" s="12">
        <f>DATA!M453</f>
        <v>1</v>
      </c>
    </row>
    <row r="240" spans="1:9" x14ac:dyDescent="0.3">
      <c r="A240">
        <v>2</v>
      </c>
      <c r="B240">
        <f>DATA!M240</f>
        <v>1</v>
      </c>
      <c r="D240">
        <v>1</v>
      </c>
      <c r="E240">
        <v>1</v>
      </c>
      <c r="H240" t="s">
        <v>26</v>
      </c>
      <c r="I240" s="12">
        <f>DATA!M455</f>
        <v>0</v>
      </c>
    </row>
    <row r="241" spans="1:9" x14ac:dyDescent="0.3">
      <c r="A241">
        <v>1</v>
      </c>
      <c r="B241">
        <f>DATA!M241</f>
        <v>1</v>
      </c>
      <c r="D241">
        <v>0</v>
      </c>
      <c r="E241">
        <v>0</v>
      </c>
      <c r="H241" t="s">
        <v>26</v>
      </c>
      <c r="I241" s="12">
        <f>DATA!M456</f>
        <v>0</v>
      </c>
    </row>
    <row r="242" spans="1:9" x14ac:dyDescent="0.3">
      <c r="A242">
        <v>2</v>
      </c>
      <c r="B242">
        <f>DATA!M242</f>
        <v>1</v>
      </c>
      <c r="D242">
        <v>0</v>
      </c>
      <c r="E242">
        <v>1</v>
      </c>
      <c r="H242" t="s">
        <v>26</v>
      </c>
      <c r="I242" s="12">
        <f>DATA!M458</f>
        <v>0</v>
      </c>
    </row>
    <row r="243" spans="1:9" x14ac:dyDescent="0.3">
      <c r="A243">
        <v>1</v>
      </c>
      <c r="B243">
        <f>DATA!M243</f>
        <v>0</v>
      </c>
      <c r="D243">
        <v>0</v>
      </c>
      <c r="E243">
        <v>0</v>
      </c>
      <c r="H243" t="s">
        <v>26</v>
      </c>
      <c r="I243" s="12">
        <f>DATA!M460</f>
        <v>1</v>
      </c>
    </row>
    <row r="244" spans="1:9" x14ac:dyDescent="0.3">
      <c r="A244">
        <v>2</v>
      </c>
      <c r="B244">
        <f>DATA!M244</f>
        <v>0</v>
      </c>
      <c r="D244">
        <v>0</v>
      </c>
      <c r="E244">
        <v>0</v>
      </c>
      <c r="H244" t="s">
        <v>26</v>
      </c>
      <c r="I244" s="12">
        <f>DATA!M462</f>
        <v>1</v>
      </c>
    </row>
    <row r="245" spans="1:9" x14ac:dyDescent="0.3">
      <c r="A245">
        <v>1</v>
      </c>
      <c r="B245">
        <f>DATA!M245</f>
        <v>1</v>
      </c>
      <c r="D245">
        <v>0</v>
      </c>
      <c r="E245">
        <v>1</v>
      </c>
      <c r="H245" t="s">
        <v>26</v>
      </c>
      <c r="I245" s="12">
        <f>DATA!M464</f>
        <v>1</v>
      </c>
    </row>
    <row r="246" spans="1:9" x14ac:dyDescent="0.3">
      <c r="A246">
        <v>1</v>
      </c>
      <c r="B246">
        <f>DATA!M246</f>
        <v>1</v>
      </c>
      <c r="D246">
        <v>1</v>
      </c>
      <c r="E246">
        <v>0</v>
      </c>
      <c r="H246" t="s">
        <v>26</v>
      </c>
      <c r="I246" s="12">
        <f>DATA!M466</f>
        <v>1</v>
      </c>
    </row>
    <row r="247" spans="1:9" x14ac:dyDescent="0.3">
      <c r="A247">
        <v>2</v>
      </c>
      <c r="B247">
        <f>DATA!M247</f>
        <v>0</v>
      </c>
      <c r="D247">
        <v>1</v>
      </c>
      <c r="E247">
        <v>0</v>
      </c>
      <c r="H247" t="s">
        <v>26</v>
      </c>
      <c r="I247" s="12">
        <f>DATA!M467</f>
        <v>0</v>
      </c>
    </row>
    <row r="248" spans="1:9" x14ac:dyDescent="0.3">
      <c r="A248">
        <v>2</v>
      </c>
      <c r="B248">
        <f>DATA!M248</f>
        <v>0</v>
      </c>
      <c r="D248">
        <v>1</v>
      </c>
      <c r="E248">
        <v>0</v>
      </c>
      <c r="H248" t="s">
        <v>26</v>
      </c>
      <c r="I248" s="12">
        <f>DATA!M470</f>
        <v>0</v>
      </c>
    </row>
    <row r="249" spans="1:9" x14ac:dyDescent="0.3">
      <c r="A249">
        <v>2</v>
      </c>
      <c r="B249">
        <f>DATA!M249</f>
        <v>0</v>
      </c>
      <c r="E249">
        <v>1</v>
      </c>
      <c r="H249" t="s">
        <v>26</v>
      </c>
      <c r="I249" s="12">
        <f>DATA!M471</f>
        <v>0</v>
      </c>
    </row>
    <row r="250" spans="1:9" x14ac:dyDescent="0.3">
      <c r="A250">
        <v>2</v>
      </c>
      <c r="B250">
        <f>DATA!M250</f>
        <v>0</v>
      </c>
      <c r="E250">
        <v>1</v>
      </c>
      <c r="H250" t="s">
        <v>26</v>
      </c>
      <c r="I250" s="12">
        <f>DATA!M472</f>
        <v>1</v>
      </c>
    </row>
    <row r="251" spans="1:9" x14ac:dyDescent="0.3">
      <c r="A251">
        <v>1</v>
      </c>
      <c r="B251">
        <f>DATA!M251</f>
        <v>0</v>
      </c>
      <c r="E251">
        <v>1</v>
      </c>
      <c r="H251" t="s">
        <v>26</v>
      </c>
      <c r="I251" s="12">
        <f>DATA!M479</f>
        <v>1</v>
      </c>
    </row>
    <row r="252" spans="1:9" x14ac:dyDescent="0.3">
      <c r="A252">
        <v>1</v>
      </c>
      <c r="B252">
        <f>DATA!M252</f>
        <v>0</v>
      </c>
      <c r="E252">
        <v>1</v>
      </c>
      <c r="H252" t="s">
        <v>26</v>
      </c>
      <c r="I252" s="12">
        <f>DATA!M481</f>
        <v>0</v>
      </c>
    </row>
    <row r="253" spans="1:9" x14ac:dyDescent="0.3">
      <c r="A253">
        <v>1</v>
      </c>
      <c r="B253">
        <f>DATA!M253</f>
        <v>1</v>
      </c>
      <c r="E253">
        <v>0</v>
      </c>
      <c r="H253" t="s">
        <v>26</v>
      </c>
      <c r="I253" s="12">
        <f>DATA!M485</f>
        <v>0</v>
      </c>
    </row>
    <row r="254" spans="1:9" x14ac:dyDescent="0.3">
      <c r="A254">
        <v>1</v>
      </c>
      <c r="B254">
        <f>DATA!M254</f>
        <v>0</v>
      </c>
      <c r="E254">
        <v>0</v>
      </c>
      <c r="H254" t="s">
        <v>26</v>
      </c>
      <c r="I254" s="12">
        <f>DATA!M487</f>
        <v>1</v>
      </c>
    </row>
    <row r="255" spans="1:9" x14ac:dyDescent="0.3">
      <c r="A255">
        <v>1</v>
      </c>
      <c r="B255">
        <f>DATA!M255</f>
        <v>1</v>
      </c>
      <c r="E255">
        <v>0</v>
      </c>
      <c r="H255" t="s">
        <v>26</v>
      </c>
      <c r="I255" s="12">
        <f>DATA!M488</f>
        <v>1</v>
      </c>
    </row>
    <row r="256" spans="1:9" x14ac:dyDescent="0.3">
      <c r="A256">
        <v>2</v>
      </c>
      <c r="B256">
        <f>DATA!M256</f>
        <v>0</v>
      </c>
      <c r="E256">
        <v>1</v>
      </c>
      <c r="H256" t="s">
        <v>26</v>
      </c>
      <c r="I256" s="12">
        <f>DATA!M492</f>
        <v>1</v>
      </c>
    </row>
    <row r="257" spans="1:9" x14ac:dyDescent="0.3">
      <c r="A257">
        <v>1</v>
      </c>
      <c r="B257">
        <f>DATA!M257</f>
        <v>1</v>
      </c>
      <c r="E257">
        <v>1</v>
      </c>
      <c r="H257" t="s">
        <v>26</v>
      </c>
      <c r="I257" s="12">
        <f>DATA!M493</f>
        <v>0</v>
      </c>
    </row>
    <row r="258" spans="1:9" x14ac:dyDescent="0.3">
      <c r="A258">
        <v>2</v>
      </c>
      <c r="B258">
        <f>DATA!M258</f>
        <v>1</v>
      </c>
      <c r="E258">
        <v>0</v>
      </c>
      <c r="H258" t="s">
        <v>26</v>
      </c>
      <c r="I258" s="12">
        <f>DATA!M497</f>
        <v>1</v>
      </c>
    </row>
    <row r="259" spans="1:9" x14ac:dyDescent="0.3">
      <c r="A259">
        <v>1</v>
      </c>
      <c r="B259">
        <f>DATA!M259</f>
        <v>1</v>
      </c>
      <c r="E259">
        <v>0</v>
      </c>
      <c r="H259" t="s">
        <v>26</v>
      </c>
      <c r="I259" s="12">
        <f>DATA!M498</f>
        <v>0</v>
      </c>
    </row>
    <row r="260" spans="1:9" x14ac:dyDescent="0.3">
      <c r="A260">
        <v>1</v>
      </c>
      <c r="B260">
        <f>DATA!M260</f>
        <v>1</v>
      </c>
      <c r="E260">
        <v>1</v>
      </c>
      <c r="H260" s="7" t="s">
        <v>25</v>
      </c>
      <c r="I260" s="12">
        <f>DATA!M2</f>
        <v>0</v>
      </c>
    </row>
    <row r="261" spans="1:9" x14ac:dyDescent="0.3">
      <c r="A261">
        <v>2</v>
      </c>
      <c r="B261">
        <f>DATA!M261</f>
        <v>0</v>
      </c>
      <c r="E261">
        <v>1</v>
      </c>
      <c r="H261" t="s">
        <v>25</v>
      </c>
      <c r="I261" s="12">
        <f>DATA!M4</f>
        <v>0</v>
      </c>
    </row>
    <row r="262" spans="1:9" x14ac:dyDescent="0.3">
      <c r="A262">
        <v>1</v>
      </c>
      <c r="B262">
        <f>DATA!M262</f>
        <v>1</v>
      </c>
      <c r="E262">
        <v>1</v>
      </c>
      <c r="H262" t="s">
        <v>25</v>
      </c>
      <c r="I262" s="12">
        <f>DATA!M9</f>
        <v>1</v>
      </c>
    </row>
    <row r="263" spans="1:9" x14ac:dyDescent="0.3">
      <c r="A263">
        <v>1</v>
      </c>
      <c r="B263">
        <f>DATA!M263</f>
        <v>1</v>
      </c>
      <c r="E263">
        <v>0</v>
      </c>
      <c r="H263" t="s">
        <v>25</v>
      </c>
      <c r="I263" s="12">
        <f>DATA!M13</f>
        <v>1</v>
      </c>
    </row>
    <row r="264" spans="1:9" x14ac:dyDescent="0.3">
      <c r="A264">
        <v>2</v>
      </c>
      <c r="B264">
        <f>DATA!M264</f>
        <v>0</v>
      </c>
      <c r="E264">
        <v>1</v>
      </c>
      <c r="H264" t="s">
        <v>25</v>
      </c>
      <c r="I264" s="12">
        <f>DATA!M15</f>
        <v>1</v>
      </c>
    </row>
    <row r="265" spans="1:9" x14ac:dyDescent="0.3">
      <c r="A265">
        <v>1</v>
      </c>
      <c r="B265">
        <f>DATA!M265</f>
        <v>1</v>
      </c>
      <c r="E265">
        <v>0</v>
      </c>
      <c r="H265" t="s">
        <v>25</v>
      </c>
      <c r="I265" s="12">
        <f>DATA!M16</f>
        <v>0</v>
      </c>
    </row>
    <row r="266" spans="1:9" x14ac:dyDescent="0.3">
      <c r="A266">
        <v>2</v>
      </c>
      <c r="B266">
        <f>DATA!M266</f>
        <v>0</v>
      </c>
      <c r="H266" t="s">
        <v>25</v>
      </c>
      <c r="I266" s="12">
        <f>DATA!M18</f>
        <v>1</v>
      </c>
    </row>
    <row r="267" spans="1:9" x14ac:dyDescent="0.3">
      <c r="A267">
        <v>1</v>
      </c>
      <c r="B267">
        <f>DATA!M267</f>
        <v>1</v>
      </c>
      <c r="H267" t="s">
        <v>25</v>
      </c>
      <c r="I267" s="12">
        <f>DATA!M19</f>
        <v>0</v>
      </c>
    </row>
    <row r="268" spans="1:9" x14ac:dyDescent="0.3">
      <c r="A268">
        <v>2</v>
      </c>
      <c r="B268">
        <f>DATA!M268</f>
        <v>0</v>
      </c>
      <c r="H268" t="s">
        <v>25</v>
      </c>
      <c r="I268" s="12">
        <f>DATA!M22</f>
        <v>1</v>
      </c>
    </row>
    <row r="269" spans="1:9" x14ac:dyDescent="0.3">
      <c r="A269">
        <v>1</v>
      </c>
      <c r="B269">
        <f>DATA!M269</f>
        <v>1</v>
      </c>
      <c r="H269" t="s">
        <v>25</v>
      </c>
      <c r="I269" s="12">
        <f>DATA!M24</f>
        <v>1</v>
      </c>
    </row>
    <row r="270" spans="1:9" x14ac:dyDescent="0.3">
      <c r="A270">
        <v>1</v>
      </c>
      <c r="B270">
        <f>DATA!M270</f>
        <v>1</v>
      </c>
      <c r="H270" t="s">
        <v>25</v>
      </c>
      <c r="I270" s="12">
        <f>DATA!M28</f>
        <v>1</v>
      </c>
    </row>
    <row r="271" spans="1:9" x14ac:dyDescent="0.3">
      <c r="A271">
        <v>2</v>
      </c>
      <c r="B271">
        <f>DATA!M271</f>
        <v>1</v>
      </c>
      <c r="H271" t="s">
        <v>25</v>
      </c>
      <c r="I271" s="12">
        <f>DATA!M29</f>
        <v>0</v>
      </c>
    </row>
    <row r="272" spans="1:9" x14ac:dyDescent="0.3">
      <c r="A272">
        <v>2</v>
      </c>
      <c r="B272">
        <f>DATA!M272</f>
        <v>1</v>
      </c>
      <c r="H272" t="s">
        <v>25</v>
      </c>
      <c r="I272" s="12">
        <f>DATA!M30</f>
        <v>1</v>
      </c>
    </row>
    <row r="273" spans="1:9" x14ac:dyDescent="0.3">
      <c r="A273">
        <v>1</v>
      </c>
      <c r="B273">
        <f>DATA!M273</f>
        <v>1</v>
      </c>
      <c r="H273" t="s">
        <v>25</v>
      </c>
      <c r="I273" s="12">
        <f>DATA!M32</f>
        <v>1</v>
      </c>
    </row>
    <row r="274" spans="1:9" x14ac:dyDescent="0.3">
      <c r="A274">
        <v>1</v>
      </c>
      <c r="B274">
        <f>DATA!M274</f>
        <v>1</v>
      </c>
      <c r="H274" t="s">
        <v>25</v>
      </c>
      <c r="I274" s="12">
        <f>DATA!M35</f>
        <v>0</v>
      </c>
    </row>
    <row r="275" spans="1:9" x14ac:dyDescent="0.3">
      <c r="A275">
        <v>1</v>
      </c>
      <c r="B275">
        <f>DATA!M275</f>
        <v>0</v>
      </c>
      <c r="H275" t="s">
        <v>25</v>
      </c>
      <c r="I275" s="12">
        <f>DATA!M37</f>
        <v>1</v>
      </c>
    </row>
    <row r="276" spans="1:9" x14ac:dyDescent="0.3">
      <c r="A276">
        <v>1</v>
      </c>
      <c r="B276">
        <f>DATA!M276</f>
        <v>0</v>
      </c>
      <c r="H276" t="s">
        <v>25</v>
      </c>
      <c r="I276" s="12">
        <f>DATA!M39</f>
        <v>0</v>
      </c>
    </row>
    <row r="277" spans="1:9" x14ac:dyDescent="0.3">
      <c r="A277">
        <v>1</v>
      </c>
      <c r="B277">
        <f>DATA!M277</f>
        <v>0</v>
      </c>
      <c r="H277" t="s">
        <v>25</v>
      </c>
      <c r="I277" s="12">
        <f>DATA!M42</f>
        <v>1</v>
      </c>
    </row>
    <row r="278" spans="1:9" x14ac:dyDescent="0.3">
      <c r="A278">
        <v>2</v>
      </c>
      <c r="B278">
        <f>DATA!M278</f>
        <v>1</v>
      </c>
      <c r="H278" t="s">
        <v>25</v>
      </c>
      <c r="I278" s="12">
        <f>DATA!M43</f>
        <v>0</v>
      </c>
    </row>
    <row r="279" spans="1:9" x14ac:dyDescent="0.3">
      <c r="A279">
        <v>2</v>
      </c>
      <c r="B279">
        <f>DATA!M279</f>
        <v>1</v>
      </c>
      <c r="H279" t="s">
        <v>25</v>
      </c>
      <c r="I279" s="12">
        <f>DATA!M45</f>
        <v>0</v>
      </c>
    </row>
    <row r="280" spans="1:9" x14ac:dyDescent="0.3">
      <c r="A280">
        <v>1</v>
      </c>
      <c r="B280">
        <f>DATA!M280</f>
        <v>1</v>
      </c>
      <c r="H280" t="s">
        <v>25</v>
      </c>
      <c r="I280" s="12">
        <f>DATA!M51</f>
        <v>0</v>
      </c>
    </row>
    <row r="281" spans="1:9" x14ac:dyDescent="0.3">
      <c r="A281">
        <v>2</v>
      </c>
      <c r="B281">
        <f>DATA!M281</f>
        <v>1</v>
      </c>
      <c r="H281" t="s">
        <v>25</v>
      </c>
      <c r="I281" s="12">
        <f>DATA!M52</f>
        <v>1</v>
      </c>
    </row>
    <row r="282" spans="1:9" x14ac:dyDescent="0.3">
      <c r="A282">
        <v>2</v>
      </c>
      <c r="B282">
        <f>DATA!M282</f>
        <v>1</v>
      </c>
      <c r="H282" t="s">
        <v>25</v>
      </c>
      <c r="I282" s="12">
        <f>DATA!M53</f>
        <v>0</v>
      </c>
    </row>
    <row r="283" spans="1:9" x14ac:dyDescent="0.3">
      <c r="A283">
        <v>1</v>
      </c>
      <c r="B283">
        <f>DATA!M283</f>
        <v>1</v>
      </c>
      <c r="H283" t="s">
        <v>25</v>
      </c>
      <c r="I283" s="12">
        <f>DATA!M55</f>
        <v>1</v>
      </c>
    </row>
    <row r="284" spans="1:9" x14ac:dyDescent="0.3">
      <c r="A284">
        <v>1</v>
      </c>
      <c r="B284">
        <f>DATA!M284</f>
        <v>0</v>
      </c>
      <c r="H284" t="s">
        <v>25</v>
      </c>
      <c r="I284" s="12">
        <f>DATA!M56</f>
        <v>0</v>
      </c>
    </row>
    <row r="285" spans="1:9" x14ac:dyDescent="0.3">
      <c r="A285">
        <v>1</v>
      </c>
      <c r="B285">
        <f>DATA!M285</f>
        <v>1</v>
      </c>
      <c r="H285" t="s">
        <v>25</v>
      </c>
      <c r="I285" s="12">
        <f>DATA!M57</f>
        <v>1</v>
      </c>
    </row>
    <row r="286" spans="1:9" x14ac:dyDescent="0.3">
      <c r="A286">
        <v>2</v>
      </c>
      <c r="B286">
        <f>DATA!M286</f>
        <v>1</v>
      </c>
      <c r="H286" t="s">
        <v>25</v>
      </c>
      <c r="I286" s="12">
        <f>DATA!M59</f>
        <v>1</v>
      </c>
    </row>
    <row r="287" spans="1:9" x14ac:dyDescent="0.3">
      <c r="A287">
        <v>1</v>
      </c>
      <c r="B287">
        <f>DATA!M287</f>
        <v>1</v>
      </c>
      <c r="H287" t="s">
        <v>25</v>
      </c>
      <c r="I287" s="12">
        <f>DATA!M60</f>
        <v>0</v>
      </c>
    </row>
    <row r="288" spans="1:9" x14ac:dyDescent="0.3">
      <c r="A288">
        <v>2</v>
      </c>
      <c r="B288">
        <f>DATA!M288</f>
        <v>0</v>
      </c>
      <c r="H288" t="s">
        <v>25</v>
      </c>
      <c r="I288" s="12">
        <f>DATA!M61</f>
        <v>1</v>
      </c>
    </row>
    <row r="289" spans="1:9" x14ac:dyDescent="0.3">
      <c r="A289">
        <v>2</v>
      </c>
      <c r="B289">
        <f>DATA!M289</f>
        <v>1</v>
      </c>
      <c r="H289" t="s">
        <v>25</v>
      </c>
      <c r="I289" s="12">
        <f>DATA!M63</f>
        <v>1</v>
      </c>
    </row>
    <row r="290" spans="1:9" x14ac:dyDescent="0.3">
      <c r="A290">
        <v>2</v>
      </c>
      <c r="B290">
        <f>DATA!M290</f>
        <v>0</v>
      </c>
      <c r="H290" t="s">
        <v>25</v>
      </c>
      <c r="I290" s="12">
        <f>DATA!M66</f>
        <v>1</v>
      </c>
    </row>
    <row r="291" spans="1:9" x14ac:dyDescent="0.3">
      <c r="A291">
        <v>2</v>
      </c>
      <c r="B291">
        <f>DATA!M291</f>
        <v>0</v>
      </c>
      <c r="H291" t="s">
        <v>25</v>
      </c>
      <c r="I291" s="12">
        <f>DATA!M68</f>
        <v>1</v>
      </c>
    </row>
    <row r="292" spans="1:9" x14ac:dyDescent="0.3">
      <c r="A292">
        <v>2</v>
      </c>
      <c r="B292">
        <f>DATA!M292</f>
        <v>0</v>
      </c>
      <c r="H292" t="s">
        <v>25</v>
      </c>
      <c r="I292" s="12">
        <f>DATA!M70</f>
        <v>1</v>
      </c>
    </row>
    <row r="293" spans="1:9" x14ac:dyDescent="0.3">
      <c r="A293">
        <v>2</v>
      </c>
      <c r="B293">
        <f>DATA!M293</f>
        <v>1</v>
      </c>
      <c r="H293" t="s">
        <v>25</v>
      </c>
      <c r="I293" s="12">
        <f>DATA!M72</f>
        <v>1</v>
      </c>
    </row>
    <row r="294" spans="1:9" x14ac:dyDescent="0.3">
      <c r="A294">
        <v>2</v>
      </c>
      <c r="B294">
        <f>DATA!M294</f>
        <v>0</v>
      </c>
      <c r="H294" t="s">
        <v>25</v>
      </c>
      <c r="I294" s="12">
        <f>DATA!M74</f>
        <v>0</v>
      </c>
    </row>
    <row r="295" spans="1:9" x14ac:dyDescent="0.3">
      <c r="A295">
        <v>2</v>
      </c>
      <c r="B295">
        <f>DATA!M295</f>
        <v>1</v>
      </c>
      <c r="H295" t="s">
        <v>25</v>
      </c>
      <c r="I295" s="12">
        <f>DATA!M80</f>
        <v>1</v>
      </c>
    </row>
    <row r="296" spans="1:9" x14ac:dyDescent="0.3">
      <c r="A296">
        <v>2</v>
      </c>
      <c r="B296">
        <f>DATA!M296</f>
        <v>0</v>
      </c>
      <c r="H296" t="s">
        <v>25</v>
      </c>
      <c r="I296" s="12">
        <f>DATA!M81</f>
        <v>0</v>
      </c>
    </row>
    <row r="297" spans="1:9" x14ac:dyDescent="0.3">
      <c r="A297">
        <v>1</v>
      </c>
      <c r="B297">
        <f>DATA!M297</f>
        <v>0</v>
      </c>
      <c r="H297" t="s">
        <v>25</v>
      </c>
      <c r="I297" s="12">
        <f>DATA!M83</f>
        <v>1</v>
      </c>
    </row>
    <row r="298" spans="1:9" x14ac:dyDescent="0.3">
      <c r="A298">
        <v>2</v>
      </c>
      <c r="B298">
        <f>DATA!M298</f>
        <v>1</v>
      </c>
      <c r="H298" t="s">
        <v>25</v>
      </c>
      <c r="I298" s="12">
        <f>DATA!M84</f>
        <v>1</v>
      </c>
    </row>
    <row r="299" spans="1:9" x14ac:dyDescent="0.3">
      <c r="A299">
        <v>2</v>
      </c>
      <c r="B299">
        <f>DATA!M299</f>
        <v>1</v>
      </c>
      <c r="H299" t="s">
        <v>25</v>
      </c>
      <c r="I299" s="12">
        <f>DATA!M89</f>
        <v>1</v>
      </c>
    </row>
    <row r="300" spans="1:9" x14ac:dyDescent="0.3">
      <c r="A300">
        <v>2</v>
      </c>
      <c r="B300">
        <f>DATA!M300</f>
        <v>1</v>
      </c>
      <c r="H300" t="s">
        <v>25</v>
      </c>
      <c r="I300" s="12">
        <f>DATA!M90</f>
        <v>1</v>
      </c>
    </row>
    <row r="301" spans="1:9" x14ac:dyDescent="0.3">
      <c r="A301">
        <v>2</v>
      </c>
      <c r="B301">
        <f>DATA!M301</f>
        <v>0</v>
      </c>
      <c r="H301" t="s">
        <v>25</v>
      </c>
      <c r="I301" s="12">
        <f>DATA!M92</f>
        <v>0</v>
      </c>
    </row>
    <row r="302" spans="1:9" x14ac:dyDescent="0.3">
      <c r="A302">
        <v>1</v>
      </c>
      <c r="B302">
        <f>DATA!M302</f>
        <v>1</v>
      </c>
      <c r="H302" t="s">
        <v>25</v>
      </c>
      <c r="I302" s="12">
        <f>DATA!M93</f>
        <v>1</v>
      </c>
    </row>
    <row r="303" spans="1:9" x14ac:dyDescent="0.3">
      <c r="A303">
        <v>1</v>
      </c>
      <c r="B303">
        <f>DATA!M303</f>
        <v>1</v>
      </c>
      <c r="H303" t="s">
        <v>25</v>
      </c>
      <c r="I303" s="12">
        <f>DATA!M95</f>
        <v>0</v>
      </c>
    </row>
    <row r="304" spans="1:9" x14ac:dyDescent="0.3">
      <c r="A304">
        <v>1</v>
      </c>
      <c r="B304">
        <f>DATA!M304</f>
        <v>0</v>
      </c>
      <c r="H304" t="s">
        <v>25</v>
      </c>
      <c r="I304" s="12">
        <f>DATA!M96</f>
        <v>1</v>
      </c>
    </row>
    <row r="305" spans="1:9" x14ac:dyDescent="0.3">
      <c r="A305">
        <v>1</v>
      </c>
      <c r="B305">
        <f>DATA!M305</f>
        <v>1</v>
      </c>
      <c r="H305" t="s">
        <v>25</v>
      </c>
      <c r="I305" s="12">
        <f>DATA!M98</f>
        <v>0</v>
      </c>
    </row>
    <row r="306" spans="1:9" x14ac:dyDescent="0.3">
      <c r="A306">
        <v>2</v>
      </c>
      <c r="B306">
        <f>DATA!M306</f>
        <v>0</v>
      </c>
      <c r="H306" t="s">
        <v>25</v>
      </c>
      <c r="I306" s="12">
        <f>DATA!M99</f>
        <v>0</v>
      </c>
    </row>
    <row r="307" spans="1:9" x14ac:dyDescent="0.3">
      <c r="A307">
        <v>2</v>
      </c>
      <c r="B307">
        <f>DATA!M307</f>
        <v>0</v>
      </c>
      <c r="H307" t="s">
        <v>25</v>
      </c>
      <c r="I307" s="12">
        <f>DATA!M100</f>
        <v>1</v>
      </c>
    </row>
    <row r="308" spans="1:9" x14ac:dyDescent="0.3">
      <c r="A308">
        <v>2</v>
      </c>
      <c r="B308">
        <f>DATA!M308</f>
        <v>1</v>
      </c>
      <c r="H308" t="s">
        <v>25</v>
      </c>
      <c r="I308" s="12">
        <f>DATA!M103</f>
        <v>0</v>
      </c>
    </row>
    <row r="309" spans="1:9" x14ac:dyDescent="0.3">
      <c r="A309">
        <v>1</v>
      </c>
      <c r="B309">
        <f>DATA!M309</f>
        <v>0</v>
      </c>
      <c r="H309" t="s">
        <v>25</v>
      </c>
      <c r="I309" s="12">
        <f>DATA!M105</f>
        <v>1</v>
      </c>
    </row>
    <row r="310" spans="1:9" x14ac:dyDescent="0.3">
      <c r="A310">
        <v>2</v>
      </c>
      <c r="B310">
        <f>DATA!M310</f>
        <v>1</v>
      </c>
      <c r="H310" t="s">
        <v>25</v>
      </c>
      <c r="I310" s="12">
        <f>DATA!M107</f>
        <v>1</v>
      </c>
    </row>
    <row r="311" spans="1:9" x14ac:dyDescent="0.3">
      <c r="A311">
        <v>1</v>
      </c>
      <c r="B311">
        <f>DATA!M311</f>
        <v>1</v>
      </c>
      <c r="H311" t="s">
        <v>25</v>
      </c>
      <c r="I311" s="12">
        <f>DATA!M109</f>
        <v>1</v>
      </c>
    </row>
    <row r="312" spans="1:9" x14ac:dyDescent="0.3">
      <c r="A312">
        <v>1</v>
      </c>
      <c r="B312">
        <f>DATA!M312</f>
        <v>0</v>
      </c>
      <c r="H312" t="s">
        <v>25</v>
      </c>
      <c r="I312" s="12">
        <f>DATA!M110</f>
        <v>0</v>
      </c>
    </row>
    <row r="313" spans="1:9" x14ac:dyDescent="0.3">
      <c r="A313">
        <v>2</v>
      </c>
      <c r="B313">
        <f>DATA!M313</f>
        <v>1</v>
      </c>
      <c r="H313" t="s">
        <v>25</v>
      </c>
      <c r="I313" s="12">
        <f>DATA!M112</f>
        <v>0</v>
      </c>
    </row>
    <row r="314" spans="1:9" x14ac:dyDescent="0.3">
      <c r="A314">
        <v>1</v>
      </c>
      <c r="B314">
        <f>DATA!M314</f>
        <v>1</v>
      </c>
      <c r="H314" t="s">
        <v>25</v>
      </c>
      <c r="I314" s="12">
        <f>DATA!M113</f>
        <v>0</v>
      </c>
    </row>
    <row r="315" spans="1:9" x14ac:dyDescent="0.3">
      <c r="A315">
        <v>1</v>
      </c>
      <c r="B315">
        <f>DATA!M315</f>
        <v>1</v>
      </c>
      <c r="H315" t="s">
        <v>25</v>
      </c>
      <c r="I315" s="12">
        <f>DATA!M116</f>
        <v>1</v>
      </c>
    </row>
    <row r="316" spans="1:9" x14ac:dyDescent="0.3">
      <c r="A316">
        <v>2</v>
      </c>
      <c r="B316">
        <f>DATA!M316</f>
        <v>0</v>
      </c>
      <c r="H316" t="s">
        <v>25</v>
      </c>
      <c r="I316" s="12">
        <f>DATA!M117</f>
        <v>1</v>
      </c>
    </row>
    <row r="317" spans="1:9" x14ac:dyDescent="0.3">
      <c r="A317">
        <v>2</v>
      </c>
      <c r="B317">
        <f>DATA!M317</f>
        <v>0</v>
      </c>
      <c r="H317" t="s">
        <v>25</v>
      </c>
      <c r="I317" s="12">
        <f>DATA!M118</f>
        <v>1</v>
      </c>
    </row>
    <row r="318" spans="1:9" x14ac:dyDescent="0.3">
      <c r="A318">
        <v>1</v>
      </c>
      <c r="B318">
        <f>DATA!M318</f>
        <v>1</v>
      </c>
      <c r="H318" t="s">
        <v>25</v>
      </c>
      <c r="I318" s="12">
        <f>DATA!M121</f>
        <v>1</v>
      </c>
    </row>
    <row r="319" spans="1:9" x14ac:dyDescent="0.3">
      <c r="A319">
        <v>1</v>
      </c>
      <c r="B319">
        <f>DATA!M319</f>
        <v>1</v>
      </c>
      <c r="H319" t="s">
        <v>25</v>
      </c>
      <c r="I319" s="12">
        <f>DATA!M122</f>
        <v>1</v>
      </c>
    </row>
    <row r="320" spans="1:9" x14ac:dyDescent="0.3">
      <c r="A320">
        <v>2</v>
      </c>
      <c r="B320">
        <f>DATA!M320</f>
        <v>1</v>
      </c>
      <c r="H320" t="s">
        <v>25</v>
      </c>
      <c r="I320" s="12">
        <f>DATA!M123</f>
        <v>0</v>
      </c>
    </row>
    <row r="321" spans="1:9" x14ac:dyDescent="0.3">
      <c r="A321">
        <v>1</v>
      </c>
      <c r="B321">
        <f>DATA!M321</f>
        <v>1</v>
      </c>
      <c r="H321" t="s">
        <v>25</v>
      </c>
      <c r="I321" s="12">
        <f>DATA!M124</f>
        <v>1</v>
      </c>
    </row>
    <row r="322" spans="1:9" x14ac:dyDescent="0.3">
      <c r="A322">
        <v>1</v>
      </c>
      <c r="B322">
        <f>DATA!M322</f>
        <v>0</v>
      </c>
      <c r="H322" t="s">
        <v>25</v>
      </c>
      <c r="I322" s="12">
        <f>DATA!M126</f>
        <v>0</v>
      </c>
    </row>
    <row r="323" spans="1:9" x14ac:dyDescent="0.3">
      <c r="A323">
        <v>1</v>
      </c>
      <c r="B323">
        <f>DATA!M323</f>
        <v>1</v>
      </c>
      <c r="H323" t="s">
        <v>25</v>
      </c>
      <c r="I323" s="12">
        <f>DATA!M127</f>
        <v>0</v>
      </c>
    </row>
    <row r="324" spans="1:9" x14ac:dyDescent="0.3">
      <c r="A324">
        <v>2</v>
      </c>
      <c r="B324">
        <f>DATA!M324</f>
        <v>1</v>
      </c>
      <c r="H324" t="s">
        <v>25</v>
      </c>
      <c r="I324" s="12">
        <f>DATA!M132</f>
        <v>1</v>
      </c>
    </row>
    <row r="325" spans="1:9" x14ac:dyDescent="0.3">
      <c r="A325">
        <v>1</v>
      </c>
      <c r="B325">
        <f>DATA!M325</f>
        <v>0</v>
      </c>
      <c r="H325" t="s">
        <v>25</v>
      </c>
      <c r="I325" s="12">
        <f>DATA!M133</f>
        <v>0</v>
      </c>
    </row>
    <row r="326" spans="1:9" x14ac:dyDescent="0.3">
      <c r="A326">
        <v>1</v>
      </c>
      <c r="B326">
        <f>DATA!M326</f>
        <v>1</v>
      </c>
      <c r="H326" t="s">
        <v>25</v>
      </c>
      <c r="I326" s="12">
        <f>DATA!M136</f>
        <v>1</v>
      </c>
    </row>
    <row r="327" spans="1:9" x14ac:dyDescent="0.3">
      <c r="A327">
        <v>1</v>
      </c>
      <c r="B327">
        <f>DATA!M327</f>
        <v>1</v>
      </c>
      <c r="H327" t="s">
        <v>25</v>
      </c>
      <c r="I327" s="12">
        <f>DATA!M137</f>
        <v>1</v>
      </c>
    </row>
    <row r="328" spans="1:9" x14ac:dyDescent="0.3">
      <c r="A328">
        <v>2</v>
      </c>
      <c r="B328">
        <f>DATA!M328</f>
        <v>1</v>
      </c>
      <c r="H328" t="s">
        <v>25</v>
      </c>
      <c r="I328" s="12">
        <f>DATA!M138</f>
        <v>0</v>
      </c>
    </row>
    <row r="329" spans="1:9" x14ac:dyDescent="0.3">
      <c r="A329">
        <v>1</v>
      </c>
      <c r="B329">
        <f>DATA!M329</f>
        <v>0</v>
      </c>
      <c r="H329" t="s">
        <v>25</v>
      </c>
      <c r="I329" s="12">
        <f>DATA!M142</f>
        <v>1</v>
      </c>
    </row>
    <row r="330" spans="1:9" x14ac:dyDescent="0.3">
      <c r="A330">
        <v>2</v>
      </c>
      <c r="B330">
        <f>DATA!M330</f>
        <v>0</v>
      </c>
      <c r="H330" t="s">
        <v>25</v>
      </c>
      <c r="I330" s="12">
        <f>DATA!M143</f>
        <v>0</v>
      </c>
    </row>
    <row r="331" spans="1:9" x14ac:dyDescent="0.3">
      <c r="A331">
        <v>1</v>
      </c>
      <c r="B331">
        <f>DATA!M331</f>
        <v>0</v>
      </c>
      <c r="H331" t="s">
        <v>25</v>
      </c>
      <c r="I331" s="12">
        <f>DATA!M144</f>
        <v>1</v>
      </c>
    </row>
    <row r="332" spans="1:9" x14ac:dyDescent="0.3">
      <c r="A332">
        <v>2</v>
      </c>
      <c r="B332">
        <f>DATA!M332</f>
        <v>1</v>
      </c>
      <c r="H332" t="s">
        <v>25</v>
      </c>
      <c r="I332" s="12">
        <f>DATA!M147</f>
        <v>0</v>
      </c>
    </row>
    <row r="333" spans="1:9" x14ac:dyDescent="0.3">
      <c r="A333">
        <v>2</v>
      </c>
      <c r="B333">
        <f>DATA!M333</f>
        <v>0</v>
      </c>
      <c r="H333" t="s">
        <v>25</v>
      </c>
      <c r="I333" s="12">
        <f>DATA!M148</f>
        <v>1</v>
      </c>
    </row>
    <row r="334" spans="1:9" x14ac:dyDescent="0.3">
      <c r="A334">
        <v>2</v>
      </c>
      <c r="B334">
        <f>DATA!M334</f>
        <v>1</v>
      </c>
      <c r="H334" t="s">
        <v>25</v>
      </c>
      <c r="I334" s="12">
        <f>DATA!M152</f>
        <v>0</v>
      </c>
    </row>
    <row r="335" spans="1:9" x14ac:dyDescent="0.3">
      <c r="A335">
        <v>2</v>
      </c>
      <c r="B335">
        <f>DATA!M335</f>
        <v>1</v>
      </c>
      <c r="H335" t="s">
        <v>25</v>
      </c>
      <c r="I335" s="12">
        <f>DATA!M153</f>
        <v>1</v>
      </c>
    </row>
    <row r="336" spans="1:9" x14ac:dyDescent="0.3">
      <c r="A336">
        <v>1</v>
      </c>
      <c r="B336">
        <f>DATA!M336</f>
        <v>0</v>
      </c>
      <c r="H336" t="s">
        <v>25</v>
      </c>
      <c r="I336" s="12">
        <f>DATA!M155</f>
        <v>1</v>
      </c>
    </row>
    <row r="337" spans="1:9" x14ac:dyDescent="0.3">
      <c r="A337">
        <v>2</v>
      </c>
      <c r="B337">
        <f>DATA!M337</f>
        <v>1</v>
      </c>
      <c r="H337" t="s">
        <v>25</v>
      </c>
      <c r="I337" s="12">
        <f>DATA!M157</f>
        <v>1</v>
      </c>
    </row>
    <row r="338" spans="1:9" x14ac:dyDescent="0.3">
      <c r="A338">
        <v>1</v>
      </c>
      <c r="B338">
        <f>DATA!M338</f>
        <v>1</v>
      </c>
      <c r="H338" t="s">
        <v>25</v>
      </c>
      <c r="I338" s="12">
        <f>DATA!M158</f>
        <v>0</v>
      </c>
    </row>
    <row r="339" spans="1:9" x14ac:dyDescent="0.3">
      <c r="A339">
        <v>2</v>
      </c>
      <c r="B339">
        <f>DATA!M339</f>
        <v>1</v>
      </c>
      <c r="H339" t="s">
        <v>25</v>
      </c>
      <c r="I339" s="12">
        <f>DATA!M159</f>
        <v>1</v>
      </c>
    </row>
    <row r="340" spans="1:9" x14ac:dyDescent="0.3">
      <c r="A340">
        <v>2</v>
      </c>
      <c r="B340">
        <f>DATA!M340</f>
        <v>1</v>
      </c>
      <c r="H340" t="s">
        <v>25</v>
      </c>
      <c r="I340" s="12">
        <f>DATA!M161</f>
        <v>1</v>
      </c>
    </row>
    <row r="341" spans="1:9" x14ac:dyDescent="0.3">
      <c r="A341">
        <v>1</v>
      </c>
      <c r="B341">
        <f>DATA!M341</f>
        <v>1</v>
      </c>
      <c r="H341" t="s">
        <v>25</v>
      </c>
      <c r="I341" s="12">
        <f>DATA!M163</f>
        <v>0</v>
      </c>
    </row>
    <row r="342" spans="1:9" x14ac:dyDescent="0.3">
      <c r="A342">
        <v>1</v>
      </c>
      <c r="B342">
        <f>DATA!M342</f>
        <v>0</v>
      </c>
      <c r="H342" t="s">
        <v>25</v>
      </c>
      <c r="I342" s="12">
        <f>DATA!M169</f>
        <v>0</v>
      </c>
    </row>
    <row r="343" spans="1:9" x14ac:dyDescent="0.3">
      <c r="A343">
        <v>1</v>
      </c>
      <c r="B343">
        <f>DATA!M343</f>
        <v>1</v>
      </c>
      <c r="H343" t="s">
        <v>25</v>
      </c>
      <c r="I343" s="12">
        <f>DATA!M170</f>
        <v>0</v>
      </c>
    </row>
    <row r="344" spans="1:9" x14ac:dyDescent="0.3">
      <c r="A344">
        <v>2</v>
      </c>
      <c r="B344">
        <f>DATA!M344</f>
        <v>1</v>
      </c>
      <c r="H344" t="s">
        <v>25</v>
      </c>
      <c r="I344" s="12">
        <f>DATA!M174</f>
        <v>1</v>
      </c>
    </row>
    <row r="345" spans="1:9" x14ac:dyDescent="0.3">
      <c r="A345">
        <v>2</v>
      </c>
      <c r="B345">
        <f>DATA!M345</f>
        <v>1</v>
      </c>
      <c r="H345" t="s">
        <v>25</v>
      </c>
      <c r="I345" s="12">
        <f>DATA!M176</f>
        <v>1</v>
      </c>
    </row>
    <row r="346" spans="1:9" x14ac:dyDescent="0.3">
      <c r="A346">
        <v>1</v>
      </c>
      <c r="B346">
        <f>DATA!M346</f>
        <v>0</v>
      </c>
      <c r="H346" t="s">
        <v>25</v>
      </c>
      <c r="I346" s="12">
        <f>DATA!M178</f>
        <v>0</v>
      </c>
    </row>
    <row r="347" spans="1:9" x14ac:dyDescent="0.3">
      <c r="A347">
        <v>2</v>
      </c>
      <c r="B347">
        <f>DATA!M347</f>
        <v>0</v>
      </c>
      <c r="H347" t="s">
        <v>25</v>
      </c>
      <c r="I347" s="12">
        <f>DATA!M180</f>
        <v>1</v>
      </c>
    </row>
    <row r="348" spans="1:9" x14ac:dyDescent="0.3">
      <c r="A348">
        <v>2</v>
      </c>
      <c r="B348">
        <f>DATA!M348</f>
        <v>0</v>
      </c>
      <c r="H348" t="s">
        <v>25</v>
      </c>
      <c r="I348" s="12">
        <f>DATA!M181</f>
        <v>0</v>
      </c>
    </row>
    <row r="349" spans="1:9" x14ac:dyDescent="0.3">
      <c r="A349">
        <v>1</v>
      </c>
      <c r="B349">
        <f>DATA!M349</f>
        <v>0</v>
      </c>
      <c r="H349" t="s">
        <v>25</v>
      </c>
      <c r="I349" s="12">
        <f>DATA!M186</f>
        <v>0</v>
      </c>
    </row>
    <row r="350" spans="1:9" x14ac:dyDescent="0.3">
      <c r="A350">
        <v>1</v>
      </c>
      <c r="B350">
        <f>DATA!M350</f>
        <v>0</v>
      </c>
      <c r="H350" t="s">
        <v>25</v>
      </c>
      <c r="I350" s="12">
        <f>DATA!M187</f>
        <v>1</v>
      </c>
    </row>
    <row r="351" spans="1:9" x14ac:dyDescent="0.3">
      <c r="A351">
        <v>1</v>
      </c>
      <c r="B351">
        <f>DATA!M351</f>
        <v>0</v>
      </c>
      <c r="H351" t="s">
        <v>25</v>
      </c>
      <c r="I351" s="12">
        <f>DATA!M188</f>
        <v>1</v>
      </c>
    </row>
    <row r="352" spans="1:9" x14ac:dyDescent="0.3">
      <c r="A352">
        <v>1</v>
      </c>
      <c r="B352">
        <f>DATA!M352</f>
        <v>1</v>
      </c>
      <c r="H352" t="s">
        <v>25</v>
      </c>
      <c r="I352" s="12">
        <f>DATA!M189</f>
        <v>0</v>
      </c>
    </row>
    <row r="353" spans="1:9" x14ac:dyDescent="0.3">
      <c r="A353">
        <v>2</v>
      </c>
      <c r="B353">
        <f>DATA!M353</f>
        <v>1</v>
      </c>
      <c r="H353" t="s">
        <v>25</v>
      </c>
      <c r="I353" s="12">
        <f>DATA!M190</f>
        <v>1</v>
      </c>
    </row>
    <row r="354" spans="1:9" x14ac:dyDescent="0.3">
      <c r="A354">
        <v>2</v>
      </c>
      <c r="B354">
        <f>DATA!M354</f>
        <v>0</v>
      </c>
      <c r="H354" t="s">
        <v>25</v>
      </c>
      <c r="I354" s="12">
        <f>DATA!M191</f>
        <v>1</v>
      </c>
    </row>
    <row r="355" spans="1:9" x14ac:dyDescent="0.3">
      <c r="A355">
        <v>1</v>
      </c>
      <c r="B355">
        <f>DATA!M355</f>
        <v>1</v>
      </c>
      <c r="H355" t="s">
        <v>25</v>
      </c>
      <c r="I355" s="12">
        <f>DATA!M193</f>
        <v>0</v>
      </c>
    </row>
    <row r="356" spans="1:9" x14ac:dyDescent="0.3">
      <c r="A356">
        <v>2</v>
      </c>
      <c r="B356">
        <f>DATA!M356</f>
        <v>1</v>
      </c>
      <c r="H356" t="s">
        <v>25</v>
      </c>
      <c r="I356" s="12">
        <f>DATA!M194</f>
        <v>1</v>
      </c>
    </row>
    <row r="357" spans="1:9" x14ac:dyDescent="0.3">
      <c r="A357">
        <v>2</v>
      </c>
      <c r="B357">
        <f>DATA!M357</f>
        <v>1</v>
      </c>
      <c r="H357" t="s">
        <v>25</v>
      </c>
      <c r="I357" s="12">
        <f>DATA!M195</f>
        <v>1</v>
      </c>
    </row>
    <row r="358" spans="1:9" x14ac:dyDescent="0.3">
      <c r="A358">
        <v>2</v>
      </c>
      <c r="B358">
        <f>DATA!M358</f>
        <v>1</v>
      </c>
      <c r="H358" t="s">
        <v>25</v>
      </c>
      <c r="I358" s="12">
        <f>DATA!M197</f>
        <v>0</v>
      </c>
    </row>
    <row r="359" spans="1:9" x14ac:dyDescent="0.3">
      <c r="A359">
        <v>2</v>
      </c>
      <c r="B359">
        <f>DATA!M359</f>
        <v>0</v>
      </c>
      <c r="H359" t="s">
        <v>25</v>
      </c>
      <c r="I359" s="12">
        <f>DATA!M199</f>
        <v>1</v>
      </c>
    </row>
    <row r="360" spans="1:9" x14ac:dyDescent="0.3">
      <c r="A360">
        <v>2</v>
      </c>
      <c r="B360">
        <f>DATA!M360</f>
        <v>1</v>
      </c>
      <c r="H360" t="s">
        <v>25</v>
      </c>
      <c r="I360" s="12">
        <f>DATA!M200</f>
        <v>1</v>
      </c>
    </row>
    <row r="361" spans="1:9" x14ac:dyDescent="0.3">
      <c r="A361">
        <v>2</v>
      </c>
      <c r="B361">
        <f>DATA!M361</f>
        <v>0</v>
      </c>
      <c r="H361" t="s">
        <v>25</v>
      </c>
      <c r="I361" s="12">
        <f>DATA!M202</f>
        <v>0</v>
      </c>
    </row>
    <row r="362" spans="1:9" x14ac:dyDescent="0.3">
      <c r="A362">
        <v>1</v>
      </c>
      <c r="B362">
        <f>DATA!M362</f>
        <v>0</v>
      </c>
      <c r="H362" t="s">
        <v>25</v>
      </c>
      <c r="I362" s="12">
        <f>DATA!M203</f>
        <v>1</v>
      </c>
    </row>
    <row r="363" spans="1:9" x14ac:dyDescent="0.3">
      <c r="A363">
        <v>2</v>
      </c>
      <c r="B363">
        <f>DATA!M363</f>
        <v>1</v>
      </c>
      <c r="H363" t="s">
        <v>25</v>
      </c>
      <c r="I363" s="12">
        <f>DATA!M206</f>
        <v>1</v>
      </c>
    </row>
    <row r="364" spans="1:9" x14ac:dyDescent="0.3">
      <c r="A364">
        <v>2</v>
      </c>
      <c r="B364">
        <f>DATA!M364</f>
        <v>0</v>
      </c>
      <c r="H364" t="s">
        <v>25</v>
      </c>
      <c r="I364" s="12">
        <f>DATA!M207</f>
        <v>1</v>
      </c>
    </row>
    <row r="365" spans="1:9" x14ac:dyDescent="0.3">
      <c r="A365">
        <v>2</v>
      </c>
      <c r="B365">
        <f>DATA!M365</f>
        <v>1</v>
      </c>
      <c r="H365" t="s">
        <v>25</v>
      </c>
      <c r="I365" s="12">
        <f>DATA!M212</f>
        <v>1</v>
      </c>
    </row>
    <row r="366" spans="1:9" x14ac:dyDescent="0.3">
      <c r="A366">
        <v>1</v>
      </c>
      <c r="B366">
        <f>DATA!M366</f>
        <v>0</v>
      </c>
      <c r="H366" t="s">
        <v>25</v>
      </c>
      <c r="I366" s="12">
        <f>DATA!M213</f>
        <v>0</v>
      </c>
    </row>
    <row r="367" spans="1:9" x14ac:dyDescent="0.3">
      <c r="A367">
        <v>2</v>
      </c>
      <c r="B367">
        <f>DATA!M367</f>
        <v>1</v>
      </c>
      <c r="H367" t="s">
        <v>25</v>
      </c>
      <c r="I367" s="12">
        <f>DATA!M215</f>
        <v>0</v>
      </c>
    </row>
    <row r="368" spans="1:9" x14ac:dyDescent="0.3">
      <c r="A368">
        <v>2</v>
      </c>
      <c r="B368">
        <f>DATA!M368</f>
        <v>1</v>
      </c>
      <c r="H368" t="s">
        <v>25</v>
      </c>
      <c r="I368" s="12">
        <f>DATA!M218</f>
        <v>1</v>
      </c>
    </row>
    <row r="369" spans="1:9" x14ac:dyDescent="0.3">
      <c r="A369">
        <v>2</v>
      </c>
      <c r="B369">
        <f>DATA!M369</f>
        <v>0</v>
      </c>
      <c r="H369" t="s">
        <v>25</v>
      </c>
      <c r="I369" s="12">
        <f>DATA!M221</f>
        <v>0</v>
      </c>
    </row>
    <row r="370" spans="1:9" x14ac:dyDescent="0.3">
      <c r="A370">
        <v>2</v>
      </c>
      <c r="B370">
        <f>DATA!M370</f>
        <v>1</v>
      </c>
      <c r="H370" t="s">
        <v>25</v>
      </c>
      <c r="I370" s="12">
        <f>DATA!M222</f>
        <v>0</v>
      </c>
    </row>
    <row r="371" spans="1:9" x14ac:dyDescent="0.3">
      <c r="A371">
        <v>2</v>
      </c>
      <c r="B371">
        <f>DATA!M371</f>
        <v>0</v>
      </c>
      <c r="H371" t="s">
        <v>25</v>
      </c>
      <c r="I371" s="12">
        <f>DATA!M224</f>
        <v>0</v>
      </c>
    </row>
    <row r="372" spans="1:9" x14ac:dyDescent="0.3">
      <c r="A372">
        <v>1</v>
      </c>
      <c r="B372">
        <f>DATA!M372</f>
        <v>1</v>
      </c>
      <c r="H372" t="s">
        <v>25</v>
      </c>
      <c r="I372" s="12">
        <f>DATA!M225</f>
        <v>0</v>
      </c>
    </row>
    <row r="373" spans="1:9" x14ac:dyDescent="0.3">
      <c r="A373">
        <v>2</v>
      </c>
      <c r="B373">
        <f>DATA!M373</f>
        <v>0</v>
      </c>
      <c r="H373" t="s">
        <v>25</v>
      </c>
      <c r="I373" s="12">
        <f>DATA!M226</f>
        <v>0</v>
      </c>
    </row>
    <row r="374" spans="1:9" x14ac:dyDescent="0.3">
      <c r="A374">
        <v>2</v>
      </c>
      <c r="B374">
        <f>DATA!M374</f>
        <v>0</v>
      </c>
      <c r="H374" t="s">
        <v>25</v>
      </c>
      <c r="I374" s="12">
        <f>DATA!M227</f>
        <v>0</v>
      </c>
    </row>
    <row r="375" spans="1:9" x14ac:dyDescent="0.3">
      <c r="A375">
        <v>1</v>
      </c>
      <c r="B375">
        <f>DATA!M375</f>
        <v>0</v>
      </c>
      <c r="H375" t="s">
        <v>25</v>
      </c>
      <c r="I375" s="12">
        <f>DATA!M228</f>
        <v>1</v>
      </c>
    </row>
    <row r="376" spans="1:9" x14ac:dyDescent="0.3">
      <c r="A376">
        <v>1</v>
      </c>
      <c r="B376">
        <f>DATA!M376</f>
        <v>0</v>
      </c>
      <c r="H376" t="s">
        <v>25</v>
      </c>
      <c r="I376" s="12">
        <f>DATA!M229</f>
        <v>1</v>
      </c>
    </row>
    <row r="377" spans="1:9" x14ac:dyDescent="0.3">
      <c r="A377">
        <v>2</v>
      </c>
      <c r="B377">
        <f>DATA!M377</f>
        <v>1</v>
      </c>
      <c r="H377" t="s">
        <v>25</v>
      </c>
      <c r="I377" s="12">
        <f>DATA!M231</f>
        <v>1</v>
      </c>
    </row>
    <row r="378" spans="1:9" x14ac:dyDescent="0.3">
      <c r="A378">
        <v>2</v>
      </c>
      <c r="B378">
        <f>DATA!M378</f>
        <v>0</v>
      </c>
      <c r="H378" t="s">
        <v>25</v>
      </c>
      <c r="I378" s="12">
        <f>DATA!M235</f>
        <v>1</v>
      </c>
    </row>
    <row r="379" spans="1:9" x14ac:dyDescent="0.3">
      <c r="A379">
        <v>2</v>
      </c>
      <c r="B379">
        <f>DATA!M379</f>
        <v>0</v>
      </c>
      <c r="H379" t="s">
        <v>25</v>
      </c>
      <c r="I379" s="12">
        <f>DATA!M236</f>
        <v>1</v>
      </c>
    </row>
    <row r="380" spans="1:9" x14ac:dyDescent="0.3">
      <c r="A380">
        <v>1</v>
      </c>
      <c r="B380">
        <f>DATA!M380</f>
        <v>1</v>
      </c>
      <c r="H380" t="s">
        <v>25</v>
      </c>
      <c r="I380" s="12">
        <f>DATA!M241</f>
        <v>1</v>
      </c>
    </row>
    <row r="381" spans="1:9" x14ac:dyDescent="0.3">
      <c r="A381">
        <v>2</v>
      </c>
      <c r="B381">
        <f>DATA!M381</f>
        <v>1</v>
      </c>
      <c r="H381" t="s">
        <v>25</v>
      </c>
      <c r="I381" s="12">
        <f>DATA!M243</f>
        <v>0</v>
      </c>
    </row>
    <row r="382" spans="1:9" x14ac:dyDescent="0.3">
      <c r="A382">
        <v>1</v>
      </c>
      <c r="B382">
        <f>DATA!M382</f>
        <v>1</v>
      </c>
      <c r="H382" t="s">
        <v>25</v>
      </c>
      <c r="I382" s="12">
        <f>DATA!M245</f>
        <v>1</v>
      </c>
    </row>
    <row r="383" spans="1:9" x14ac:dyDescent="0.3">
      <c r="A383">
        <v>2</v>
      </c>
      <c r="B383">
        <f>DATA!M383</f>
        <v>1</v>
      </c>
      <c r="H383" t="s">
        <v>25</v>
      </c>
      <c r="I383" s="12">
        <f>DATA!M246</f>
        <v>1</v>
      </c>
    </row>
    <row r="384" spans="1:9" x14ac:dyDescent="0.3">
      <c r="A384">
        <v>1</v>
      </c>
      <c r="B384">
        <f>DATA!M384</f>
        <v>1</v>
      </c>
      <c r="H384" t="s">
        <v>25</v>
      </c>
      <c r="I384" s="12">
        <f>DATA!M251</f>
        <v>0</v>
      </c>
    </row>
    <row r="385" spans="1:9" x14ac:dyDescent="0.3">
      <c r="A385">
        <v>1</v>
      </c>
      <c r="B385">
        <f>DATA!M385</f>
        <v>0</v>
      </c>
      <c r="H385" t="s">
        <v>25</v>
      </c>
      <c r="I385" s="12">
        <f>DATA!M252</f>
        <v>0</v>
      </c>
    </row>
    <row r="386" spans="1:9" x14ac:dyDescent="0.3">
      <c r="A386">
        <v>1</v>
      </c>
      <c r="B386">
        <f>DATA!M386</f>
        <v>0</v>
      </c>
      <c r="H386" t="s">
        <v>25</v>
      </c>
      <c r="I386" s="12">
        <f>DATA!M253</f>
        <v>1</v>
      </c>
    </row>
    <row r="387" spans="1:9" x14ac:dyDescent="0.3">
      <c r="A387">
        <v>2</v>
      </c>
      <c r="B387">
        <f>DATA!M387</f>
        <v>0</v>
      </c>
      <c r="H387" t="s">
        <v>25</v>
      </c>
      <c r="I387" s="12">
        <f>DATA!M254</f>
        <v>0</v>
      </c>
    </row>
    <row r="388" spans="1:9" x14ac:dyDescent="0.3">
      <c r="A388">
        <v>2</v>
      </c>
      <c r="B388">
        <f>DATA!M388</f>
        <v>0</v>
      </c>
      <c r="H388" t="s">
        <v>25</v>
      </c>
      <c r="I388" s="12">
        <f>DATA!M255</f>
        <v>1</v>
      </c>
    </row>
    <row r="389" spans="1:9" x14ac:dyDescent="0.3">
      <c r="A389">
        <v>2</v>
      </c>
      <c r="B389">
        <f>DATA!M389</f>
        <v>0</v>
      </c>
      <c r="H389" t="s">
        <v>25</v>
      </c>
      <c r="I389" s="12">
        <f>DATA!M257</f>
        <v>1</v>
      </c>
    </row>
    <row r="390" spans="1:9" x14ac:dyDescent="0.3">
      <c r="A390">
        <v>2</v>
      </c>
      <c r="B390">
        <f>DATA!M390</f>
        <v>1</v>
      </c>
      <c r="H390" t="s">
        <v>25</v>
      </c>
      <c r="I390" s="12">
        <f>DATA!M259</f>
        <v>1</v>
      </c>
    </row>
    <row r="391" spans="1:9" x14ac:dyDescent="0.3">
      <c r="A391">
        <v>2</v>
      </c>
      <c r="B391">
        <f>DATA!M391</f>
        <v>1</v>
      </c>
      <c r="H391" s="7" t="s">
        <v>25</v>
      </c>
      <c r="I391" s="12">
        <f>DATA!M260</f>
        <v>1</v>
      </c>
    </row>
    <row r="392" spans="1:9" x14ac:dyDescent="0.3">
      <c r="A392">
        <v>1</v>
      </c>
      <c r="B392">
        <f>DATA!M392</f>
        <v>1</v>
      </c>
      <c r="H392" t="s">
        <v>25</v>
      </c>
      <c r="I392" s="12">
        <f>DATA!M262</f>
        <v>1</v>
      </c>
    </row>
    <row r="393" spans="1:9" x14ac:dyDescent="0.3">
      <c r="A393">
        <v>2</v>
      </c>
      <c r="B393">
        <f>DATA!M393</f>
        <v>1</v>
      </c>
      <c r="H393" t="s">
        <v>25</v>
      </c>
      <c r="I393" s="12">
        <f>DATA!M263</f>
        <v>1</v>
      </c>
    </row>
    <row r="394" spans="1:9" x14ac:dyDescent="0.3">
      <c r="A394">
        <v>2</v>
      </c>
      <c r="B394">
        <f>DATA!M394</f>
        <v>0</v>
      </c>
      <c r="H394" t="s">
        <v>25</v>
      </c>
      <c r="I394" s="12">
        <f>DATA!M265</f>
        <v>1</v>
      </c>
    </row>
    <row r="395" spans="1:9" x14ac:dyDescent="0.3">
      <c r="A395">
        <v>2</v>
      </c>
      <c r="B395">
        <f>DATA!M395</f>
        <v>1</v>
      </c>
      <c r="H395" t="s">
        <v>25</v>
      </c>
      <c r="I395" s="12">
        <f>DATA!M267</f>
        <v>1</v>
      </c>
    </row>
    <row r="396" spans="1:9" x14ac:dyDescent="0.3">
      <c r="A396">
        <v>1</v>
      </c>
      <c r="B396">
        <f>DATA!M396</f>
        <v>1</v>
      </c>
      <c r="H396" t="s">
        <v>25</v>
      </c>
      <c r="I396" s="12">
        <f>DATA!M269</f>
        <v>1</v>
      </c>
    </row>
    <row r="397" spans="1:9" x14ac:dyDescent="0.3">
      <c r="A397">
        <v>2</v>
      </c>
      <c r="B397">
        <f>DATA!M397</f>
        <v>0</v>
      </c>
      <c r="H397" t="s">
        <v>25</v>
      </c>
      <c r="I397" s="12">
        <f>DATA!M270</f>
        <v>1</v>
      </c>
    </row>
    <row r="398" spans="1:9" x14ac:dyDescent="0.3">
      <c r="A398">
        <v>2</v>
      </c>
      <c r="B398">
        <f>DATA!M398</f>
        <v>1</v>
      </c>
      <c r="H398" t="s">
        <v>25</v>
      </c>
      <c r="I398" s="12">
        <f>DATA!M273</f>
        <v>1</v>
      </c>
    </row>
    <row r="399" spans="1:9" x14ac:dyDescent="0.3">
      <c r="A399">
        <v>2</v>
      </c>
      <c r="B399">
        <f>DATA!M399</f>
        <v>0</v>
      </c>
      <c r="H399" t="s">
        <v>25</v>
      </c>
      <c r="I399" s="12">
        <f>DATA!M274</f>
        <v>1</v>
      </c>
    </row>
    <row r="400" spans="1:9" x14ac:dyDescent="0.3">
      <c r="A400">
        <v>1</v>
      </c>
      <c r="B400">
        <f>DATA!M400</f>
        <v>1</v>
      </c>
      <c r="H400" t="s">
        <v>25</v>
      </c>
      <c r="I400" s="12">
        <f>DATA!M275</f>
        <v>0</v>
      </c>
    </row>
    <row r="401" spans="1:9" x14ac:dyDescent="0.3">
      <c r="A401">
        <v>2</v>
      </c>
      <c r="B401">
        <f>DATA!M401</f>
        <v>0</v>
      </c>
      <c r="H401" t="s">
        <v>25</v>
      </c>
      <c r="I401" s="12">
        <f>DATA!M276</f>
        <v>0</v>
      </c>
    </row>
    <row r="402" spans="1:9" x14ac:dyDescent="0.3">
      <c r="A402">
        <v>2</v>
      </c>
      <c r="B402">
        <f>DATA!M402</f>
        <v>0</v>
      </c>
      <c r="H402" t="s">
        <v>25</v>
      </c>
      <c r="I402" s="12">
        <f>DATA!M277</f>
        <v>0</v>
      </c>
    </row>
    <row r="403" spans="1:9" x14ac:dyDescent="0.3">
      <c r="A403">
        <v>1</v>
      </c>
      <c r="B403">
        <f>DATA!M403</f>
        <v>1</v>
      </c>
      <c r="H403" t="s">
        <v>25</v>
      </c>
      <c r="I403" s="12">
        <f>DATA!M280</f>
        <v>1</v>
      </c>
    </row>
    <row r="404" spans="1:9" x14ac:dyDescent="0.3">
      <c r="A404">
        <v>2</v>
      </c>
      <c r="B404">
        <f>DATA!M404</f>
        <v>1</v>
      </c>
      <c r="H404" t="s">
        <v>25</v>
      </c>
      <c r="I404" s="12">
        <f>DATA!M283</f>
        <v>1</v>
      </c>
    </row>
    <row r="405" spans="1:9" x14ac:dyDescent="0.3">
      <c r="A405">
        <v>1</v>
      </c>
      <c r="B405">
        <f>DATA!M405</f>
        <v>1</v>
      </c>
      <c r="H405" t="s">
        <v>25</v>
      </c>
      <c r="I405" s="12">
        <f>DATA!M284</f>
        <v>0</v>
      </c>
    </row>
    <row r="406" spans="1:9" x14ac:dyDescent="0.3">
      <c r="A406">
        <v>2</v>
      </c>
      <c r="B406">
        <f>DATA!M406</f>
        <v>1</v>
      </c>
      <c r="H406" t="s">
        <v>25</v>
      </c>
      <c r="I406" s="12">
        <f>DATA!M285</f>
        <v>1</v>
      </c>
    </row>
    <row r="407" spans="1:9" x14ac:dyDescent="0.3">
      <c r="A407">
        <v>2</v>
      </c>
      <c r="B407">
        <f>DATA!M407</f>
        <v>1</v>
      </c>
      <c r="H407" t="s">
        <v>25</v>
      </c>
      <c r="I407" s="12">
        <f>DATA!M287</f>
        <v>1</v>
      </c>
    </row>
    <row r="408" spans="1:9" x14ac:dyDescent="0.3">
      <c r="A408">
        <v>1</v>
      </c>
      <c r="B408">
        <f>DATA!M408</f>
        <v>0</v>
      </c>
      <c r="H408" t="s">
        <v>25</v>
      </c>
      <c r="I408" s="12">
        <f>DATA!M297</f>
        <v>0</v>
      </c>
    </row>
    <row r="409" spans="1:9" x14ac:dyDescent="0.3">
      <c r="A409">
        <v>1</v>
      </c>
      <c r="B409">
        <f>DATA!M409</f>
        <v>0</v>
      </c>
      <c r="H409" t="s">
        <v>25</v>
      </c>
      <c r="I409" s="12">
        <f>DATA!M302</f>
        <v>1</v>
      </c>
    </row>
    <row r="410" spans="1:9" x14ac:dyDescent="0.3">
      <c r="A410">
        <v>2</v>
      </c>
      <c r="B410">
        <f>DATA!M410</f>
        <v>1</v>
      </c>
      <c r="H410" t="s">
        <v>25</v>
      </c>
      <c r="I410" s="12">
        <f>DATA!M303</f>
        <v>1</v>
      </c>
    </row>
    <row r="411" spans="1:9" x14ac:dyDescent="0.3">
      <c r="A411">
        <v>2</v>
      </c>
      <c r="B411">
        <f>DATA!M411</f>
        <v>1</v>
      </c>
      <c r="H411" t="s">
        <v>25</v>
      </c>
      <c r="I411" s="12">
        <f>DATA!M304</f>
        <v>0</v>
      </c>
    </row>
    <row r="412" spans="1:9" x14ac:dyDescent="0.3">
      <c r="A412">
        <v>2</v>
      </c>
      <c r="B412">
        <f>DATA!M412</f>
        <v>1</v>
      </c>
      <c r="H412" t="s">
        <v>25</v>
      </c>
      <c r="I412" s="12">
        <f>DATA!M305</f>
        <v>1</v>
      </c>
    </row>
    <row r="413" spans="1:9" x14ac:dyDescent="0.3">
      <c r="A413">
        <v>2</v>
      </c>
      <c r="B413">
        <f>DATA!M413</f>
        <v>1</v>
      </c>
      <c r="H413" t="s">
        <v>25</v>
      </c>
      <c r="I413" s="12">
        <f>DATA!M309</f>
        <v>0</v>
      </c>
    </row>
    <row r="414" spans="1:9" x14ac:dyDescent="0.3">
      <c r="A414">
        <v>2</v>
      </c>
      <c r="B414">
        <f>DATA!M414</f>
        <v>0</v>
      </c>
      <c r="H414" t="s">
        <v>25</v>
      </c>
      <c r="I414" s="12">
        <f>DATA!M311</f>
        <v>1</v>
      </c>
    </row>
    <row r="415" spans="1:9" x14ac:dyDescent="0.3">
      <c r="A415">
        <v>1</v>
      </c>
      <c r="B415">
        <f>DATA!M415</f>
        <v>1</v>
      </c>
      <c r="H415" t="s">
        <v>25</v>
      </c>
      <c r="I415" s="12">
        <f>DATA!M312</f>
        <v>0</v>
      </c>
    </row>
    <row r="416" spans="1:9" x14ac:dyDescent="0.3">
      <c r="A416">
        <v>2</v>
      </c>
      <c r="B416">
        <f>DATA!M416</f>
        <v>1</v>
      </c>
      <c r="H416" t="s">
        <v>25</v>
      </c>
      <c r="I416" s="12">
        <f>DATA!M314</f>
        <v>1</v>
      </c>
    </row>
    <row r="417" spans="1:9" x14ac:dyDescent="0.3">
      <c r="A417">
        <v>1</v>
      </c>
      <c r="B417">
        <f>DATA!M417</f>
        <v>1</v>
      </c>
      <c r="H417" t="s">
        <v>25</v>
      </c>
      <c r="I417" s="12">
        <f>DATA!M315</f>
        <v>1</v>
      </c>
    </row>
    <row r="418" spans="1:9" x14ac:dyDescent="0.3">
      <c r="A418">
        <v>2</v>
      </c>
      <c r="B418">
        <f>DATA!M418</f>
        <v>1</v>
      </c>
      <c r="H418" t="s">
        <v>25</v>
      </c>
      <c r="I418" s="12">
        <f>DATA!M318</f>
        <v>1</v>
      </c>
    </row>
    <row r="419" spans="1:9" x14ac:dyDescent="0.3">
      <c r="A419">
        <v>2</v>
      </c>
      <c r="B419">
        <f>DATA!M419</f>
        <v>1</v>
      </c>
      <c r="H419" t="s">
        <v>25</v>
      </c>
      <c r="I419" s="12">
        <f>DATA!M319</f>
        <v>1</v>
      </c>
    </row>
    <row r="420" spans="1:9" x14ac:dyDescent="0.3">
      <c r="A420">
        <v>2</v>
      </c>
      <c r="B420">
        <f>DATA!M420</f>
        <v>0</v>
      </c>
      <c r="H420" t="s">
        <v>25</v>
      </c>
      <c r="I420" s="12">
        <f>DATA!M321</f>
        <v>1</v>
      </c>
    </row>
    <row r="421" spans="1:9" x14ac:dyDescent="0.3">
      <c r="A421">
        <v>1</v>
      </c>
      <c r="B421">
        <f>DATA!M421</f>
        <v>0</v>
      </c>
      <c r="H421" t="s">
        <v>25</v>
      </c>
      <c r="I421" s="12">
        <f>DATA!M322</f>
        <v>0</v>
      </c>
    </row>
    <row r="422" spans="1:9" x14ac:dyDescent="0.3">
      <c r="A422">
        <v>2</v>
      </c>
      <c r="B422">
        <f>DATA!M422</f>
        <v>0</v>
      </c>
      <c r="H422" t="s">
        <v>25</v>
      </c>
      <c r="I422" s="12">
        <f>DATA!M323</f>
        <v>1</v>
      </c>
    </row>
    <row r="423" spans="1:9" x14ac:dyDescent="0.3">
      <c r="A423">
        <v>2</v>
      </c>
      <c r="B423">
        <f>DATA!M423</f>
        <v>1</v>
      </c>
      <c r="H423" t="s">
        <v>25</v>
      </c>
      <c r="I423" s="12">
        <f>DATA!M325</f>
        <v>0</v>
      </c>
    </row>
    <row r="424" spans="1:9" x14ac:dyDescent="0.3">
      <c r="A424">
        <v>1</v>
      </c>
      <c r="B424">
        <f>DATA!M424</f>
        <v>1</v>
      </c>
      <c r="H424" t="s">
        <v>25</v>
      </c>
      <c r="I424" s="12">
        <f>DATA!M326</f>
        <v>1</v>
      </c>
    </row>
    <row r="425" spans="1:9" x14ac:dyDescent="0.3">
      <c r="A425">
        <v>1</v>
      </c>
      <c r="B425">
        <f>DATA!M425</f>
        <v>1</v>
      </c>
      <c r="H425" t="s">
        <v>25</v>
      </c>
      <c r="I425" s="12">
        <f>DATA!M327</f>
        <v>1</v>
      </c>
    </row>
    <row r="426" spans="1:9" x14ac:dyDescent="0.3">
      <c r="A426">
        <v>2</v>
      </c>
      <c r="B426">
        <f>DATA!M426</f>
        <v>1</v>
      </c>
      <c r="H426" t="s">
        <v>25</v>
      </c>
      <c r="I426" s="12">
        <f>DATA!M329</f>
        <v>0</v>
      </c>
    </row>
    <row r="427" spans="1:9" x14ac:dyDescent="0.3">
      <c r="A427">
        <v>2</v>
      </c>
      <c r="B427">
        <f>DATA!M427</f>
        <v>1</v>
      </c>
      <c r="H427" t="s">
        <v>25</v>
      </c>
      <c r="I427" s="12">
        <f>DATA!M331</f>
        <v>0</v>
      </c>
    </row>
    <row r="428" spans="1:9" x14ac:dyDescent="0.3">
      <c r="A428">
        <v>2</v>
      </c>
      <c r="B428">
        <f>DATA!M428</f>
        <v>0</v>
      </c>
      <c r="H428" t="s">
        <v>25</v>
      </c>
      <c r="I428" s="12">
        <f>DATA!M336</f>
        <v>0</v>
      </c>
    </row>
    <row r="429" spans="1:9" x14ac:dyDescent="0.3">
      <c r="A429">
        <v>2</v>
      </c>
      <c r="B429">
        <f>DATA!M429</f>
        <v>1</v>
      </c>
      <c r="H429" t="s">
        <v>25</v>
      </c>
      <c r="I429" s="12">
        <f>DATA!M338</f>
        <v>1</v>
      </c>
    </row>
    <row r="430" spans="1:9" x14ac:dyDescent="0.3">
      <c r="A430">
        <v>1</v>
      </c>
      <c r="B430">
        <f>DATA!M430</f>
        <v>1</v>
      </c>
      <c r="H430" t="s">
        <v>25</v>
      </c>
      <c r="I430" s="12">
        <f>DATA!M341</f>
        <v>1</v>
      </c>
    </row>
    <row r="431" spans="1:9" x14ac:dyDescent="0.3">
      <c r="A431">
        <v>1</v>
      </c>
      <c r="B431">
        <f>DATA!M431</f>
        <v>0</v>
      </c>
      <c r="H431" t="s">
        <v>25</v>
      </c>
      <c r="I431" s="12">
        <f>DATA!M342</f>
        <v>0</v>
      </c>
    </row>
    <row r="432" spans="1:9" x14ac:dyDescent="0.3">
      <c r="A432">
        <v>2</v>
      </c>
      <c r="B432">
        <f>DATA!M432</f>
        <v>0</v>
      </c>
      <c r="H432" t="s">
        <v>25</v>
      </c>
      <c r="I432" s="12">
        <f>DATA!M343</f>
        <v>1</v>
      </c>
    </row>
    <row r="433" spans="1:9" x14ac:dyDescent="0.3">
      <c r="A433">
        <v>1</v>
      </c>
      <c r="B433">
        <f>DATA!M433</f>
        <v>1</v>
      </c>
      <c r="H433" t="s">
        <v>25</v>
      </c>
      <c r="I433" s="12">
        <f>DATA!M346</f>
        <v>0</v>
      </c>
    </row>
    <row r="434" spans="1:9" x14ac:dyDescent="0.3">
      <c r="A434">
        <v>1</v>
      </c>
      <c r="B434">
        <f>DATA!M434</f>
        <v>1</v>
      </c>
      <c r="H434" t="s">
        <v>25</v>
      </c>
      <c r="I434" s="12">
        <f>DATA!M349</f>
        <v>0</v>
      </c>
    </row>
    <row r="435" spans="1:9" x14ac:dyDescent="0.3">
      <c r="A435">
        <v>1</v>
      </c>
      <c r="B435">
        <f>DATA!M435</f>
        <v>1</v>
      </c>
      <c r="H435" t="s">
        <v>25</v>
      </c>
      <c r="I435" s="12">
        <f>DATA!M350</f>
        <v>0</v>
      </c>
    </row>
    <row r="436" spans="1:9" x14ac:dyDescent="0.3">
      <c r="A436">
        <v>1</v>
      </c>
      <c r="B436">
        <f>DATA!M436</f>
        <v>1</v>
      </c>
      <c r="H436" t="s">
        <v>25</v>
      </c>
      <c r="I436" s="12">
        <f>DATA!M351</f>
        <v>0</v>
      </c>
    </row>
    <row r="437" spans="1:9" x14ac:dyDescent="0.3">
      <c r="A437">
        <v>1</v>
      </c>
      <c r="B437">
        <f>DATA!M437</f>
        <v>1</v>
      </c>
      <c r="H437" t="s">
        <v>25</v>
      </c>
      <c r="I437" s="12">
        <f>DATA!M352</f>
        <v>1</v>
      </c>
    </row>
    <row r="438" spans="1:9" x14ac:dyDescent="0.3">
      <c r="A438">
        <v>2</v>
      </c>
      <c r="B438">
        <f>DATA!M438</f>
        <v>0</v>
      </c>
      <c r="H438" t="s">
        <v>25</v>
      </c>
      <c r="I438" s="12">
        <f>DATA!M355</f>
        <v>1</v>
      </c>
    </row>
    <row r="439" spans="1:9" x14ac:dyDescent="0.3">
      <c r="A439">
        <v>2</v>
      </c>
      <c r="B439">
        <f>DATA!M439</f>
        <v>0</v>
      </c>
      <c r="H439" t="s">
        <v>25</v>
      </c>
      <c r="I439" s="12">
        <f>DATA!M362</f>
        <v>0</v>
      </c>
    </row>
    <row r="440" spans="1:9" x14ac:dyDescent="0.3">
      <c r="A440">
        <v>1</v>
      </c>
      <c r="B440">
        <f>DATA!M440</f>
        <v>0</v>
      </c>
      <c r="H440" t="s">
        <v>25</v>
      </c>
      <c r="I440" s="12">
        <f>DATA!M366</f>
        <v>0</v>
      </c>
    </row>
    <row r="441" spans="1:9" x14ac:dyDescent="0.3">
      <c r="A441">
        <v>2</v>
      </c>
      <c r="B441">
        <f>DATA!M441</f>
        <v>1</v>
      </c>
      <c r="H441" t="s">
        <v>25</v>
      </c>
      <c r="I441" s="12">
        <f>DATA!M372</f>
        <v>1</v>
      </c>
    </row>
    <row r="442" spans="1:9" x14ac:dyDescent="0.3">
      <c r="A442">
        <v>1</v>
      </c>
      <c r="B442">
        <f>DATA!M442</f>
        <v>1</v>
      </c>
      <c r="H442" t="s">
        <v>25</v>
      </c>
      <c r="I442" s="12">
        <f>DATA!M375</f>
        <v>0</v>
      </c>
    </row>
    <row r="443" spans="1:9" x14ac:dyDescent="0.3">
      <c r="A443">
        <v>1</v>
      </c>
      <c r="B443">
        <f>DATA!M443</f>
        <v>1</v>
      </c>
      <c r="H443" t="s">
        <v>25</v>
      </c>
      <c r="I443" s="12">
        <f>DATA!M376</f>
        <v>0</v>
      </c>
    </row>
    <row r="444" spans="1:9" x14ac:dyDescent="0.3">
      <c r="A444">
        <v>1</v>
      </c>
      <c r="B444">
        <f>DATA!M444</f>
        <v>1</v>
      </c>
      <c r="H444" t="s">
        <v>25</v>
      </c>
      <c r="I444" s="12">
        <f>DATA!M380</f>
        <v>1</v>
      </c>
    </row>
    <row r="445" spans="1:9" x14ac:dyDescent="0.3">
      <c r="A445">
        <v>1</v>
      </c>
      <c r="B445">
        <f>DATA!M445</f>
        <v>0</v>
      </c>
      <c r="H445" t="s">
        <v>25</v>
      </c>
      <c r="I445" s="12">
        <f>DATA!M382</f>
        <v>1</v>
      </c>
    </row>
    <row r="446" spans="1:9" x14ac:dyDescent="0.3">
      <c r="A446">
        <v>1</v>
      </c>
      <c r="B446">
        <f>DATA!M446</f>
        <v>1</v>
      </c>
      <c r="H446" t="s">
        <v>25</v>
      </c>
      <c r="I446" s="12">
        <f>DATA!M384</f>
        <v>1</v>
      </c>
    </row>
    <row r="447" spans="1:9" x14ac:dyDescent="0.3">
      <c r="A447">
        <v>2</v>
      </c>
      <c r="B447">
        <f>DATA!M447</f>
        <v>1</v>
      </c>
      <c r="H447" t="s">
        <v>25</v>
      </c>
      <c r="I447" s="12">
        <f>DATA!M385</f>
        <v>0</v>
      </c>
    </row>
    <row r="448" spans="1:9" x14ac:dyDescent="0.3">
      <c r="A448">
        <v>2</v>
      </c>
      <c r="B448">
        <f>DATA!M448</f>
        <v>1</v>
      </c>
      <c r="H448" t="s">
        <v>25</v>
      </c>
      <c r="I448" s="12">
        <f>DATA!M386</f>
        <v>0</v>
      </c>
    </row>
    <row r="449" spans="1:9" x14ac:dyDescent="0.3">
      <c r="A449">
        <v>2</v>
      </c>
      <c r="B449">
        <f>DATA!M449</f>
        <v>0</v>
      </c>
      <c r="H449" t="s">
        <v>25</v>
      </c>
      <c r="I449" s="12">
        <f>DATA!M392</f>
        <v>1</v>
      </c>
    </row>
    <row r="450" spans="1:9" x14ac:dyDescent="0.3">
      <c r="A450">
        <v>2</v>
      </c>
      <c r="B450">
        <f>DATA!M450</f>
        <v>1</v>
      </c>
      <c r="H450" t="s">
        <v>25</v>
      </c>
      <c r="I450" s="12">
        <f>DATA!M396</f>
        <v>1</v>
      </c>
    </row>
    <row r="451" spans="1:9" x14ac:dyDescent="0.3">
      <c r="A451">
        <v>2</v>
      </c>
      <c r="B451">
        <f>DATA!M451</f>
        <v>0</v>
      </c>
      <c r="H451" t="s">
        <v>25</v>
      </c>
      <c r="I451" s="12">
        <f>DATA!M400</f>
        <v>1</v>
      </c>
    </row>
    <row r="452" spans="1:9" x14ac:dyDescent="0.3">
      <c r="A452">
        <v>2</v>
      </c>
      <c r="B452">
        <f>DATA!M452</f>
        <v>0</v>
      </c>
      <c r="H452" t="s">
        <v>25</v>
      </c>
      <c r="I452" s="12">
        <f>DATA!M403</f>
        <v>1</v>
      </c>
    </row>
    <row r="453" spans="1:9" x14ac:dyDescent="0.3">
      <c r="A453">
        <v>2</v>
      </c>
      <c r="B453">
        <f>DATA!M453</f>
        <v>1</v>
      </c>
      <c r="H453" t="s">
        <v>25</v>
      </c>
      <c r="I453" s="12">
        <f>DATA!M405</f>
        <v>1</v>
      </c>
    </row>
    <row r="454" spans="1:9" x14ac:dyDescent="0.3">
      <c r="A454">
        <v>1</v>
      </c>
      <c r="B454">
        <f>DATA!M454</f>
        <v>1</v>
      </c>
      <c r="H454" t="s">
        <v>25</v>
      </c>
      <c r="I454" s="12">
        <f>DATA!M408</f>
        <v>0</v>
      </c>
    </row>
    <row r="455" spans="1:9" x14ac:dyDescent="0.3">
      <c r="A455">
        <v>2</v>
      </c>
      <c r="B455">
        <f>DATA!M455</f>
        <v>0</v>
      </c>
      <c r="H455" t="s">
        <v>25</v>
      </c>
      <c r="I455" s="12">
        <f>DATA!M409</f>
        <v>0</v>
      </c>
    </row>
    <row r="456" spans="1:9" x14ac:dyDescent="0.3">
      <c r="A456">
        <v>2</v>
      </c>
      <c r="B456">
        <f>DATA!M456</f>
        <v>0</v>
      </c>
      <c r="H456" t="s">
        <v>25</v>
      </c>
      <c r="I456" s="12">
        <f>DATA!M415</f>
        <v>1</v>
      </c>
    </row>
    <row r="457" spans="1:9" x14ac:dyDescent="0.3">
      <c r="A457">
        <v>1</v>
      </c>
      <c r="B457">
        <f>DATA!M457</f>
        <v>0</v>
      </c>
      <c r="H457" t="s">
        <v>25</v>
      </c>
      <c r="I457" s="12">
        <f>DATA!M417</f>
        <v>1</v>
      </c>
    </row>
    <row r="458" spans="1:9" x14ac:dyDescent="0.3">
      <c r="A458">
        <v>2</v>
      </c>
      <c r="B458">
        <f>DATA!M458</f>
        <v>0</v>
      </c>
      <c r="H458" t="s">
        <v>25</v>
      </c>
      <c r="I458" s="12">
        <f>DATA!M421</f>
        <v>0</v>
      </c>
    </row>
    <row r="459" spans="1:9" x14ac:dyDescent="0.3">
      <c r="A459">
        <v>1</v>
      </c>
      <c r="B459">
        <f>DATA!M459</f>
        <v>1</v>
      </c>
      <c r="H459" t="s">
        <v>25</v>
      </c>
      <c r="I459" s="12">
        <f>DATA!M424</f>
        <v>1</v>
      </c>
    </row>
    <row r="460" spans="1:9" x14ac:dyDescent="0.3">
      <c r="A460">
        <v>2</v>
      </c>
      <c r="B460">
        <f>DATA!M460</f>
        <v>1</v>
      </c>
      <c r="H460" t="s">
        <v>25</v>
      </c>
      <c r="I460" s="12">
        <f>DATA!M425</f>
        <v>1</v>
      </c>
    </row>
    <row r="461" spans="1:9" x14ac:dyDescent="0.3">
      <c r="A461">
        <v>1</v>
      </c>
      <c r="B461">
        <f>DATA!M461</f>
        <v>1</v>
      </c>
      <c r="H461" t="s">
        <v>25</v>
      </c>
      <c r="I461" s="12">
        <f>DATA!M430</f>
        <v>1</v>
      </c>
    </row>
    <row r="462" spans="1:9" x14ac:dyDescent="0.3">
      <c r="A462">
        <v>2</v>
      </c>
      <c r="B462">
        <f>DATA!M462</f>
        <v>1</v>
      </c>
      <c r="H462" t="s">
        <v>25</v>
      </c>
      <c r="I462" s="12">
        <f>DATA!M431</f>
        <v>0</v>
      </c>
    </row>
    <row r="463" spans="1:9" x14ac:dyDescent="0.3">
      <c r="A463">
        <v>1</v>
      </c>
      <c r="B463">
        <f>DATA!M463</f>
        <v>1</v>
      </c>
      <c r="H463" t="s">
        <v>25</v>
      </c>
      <c r="I463" s="12">
        <f>DATA!M433</f>
        <v>1</v>
      </c>
    </row>
    <row r="464" spans="1:9" x14ac:dyDescent="0.3">
      <c r="A464">
        <v>2</v>
      </c>
      <c r="B464">
        <f>DATA!M464</f>
        <v>1</v>
      </c>
      <c r="H464" t="s">
        <v>25</v>
      </c>
      <c r="I464" s="12">
        <f>DATA!M434</f>
        <v>1</v>
      </c>
    </row>
    <row r="465" spans="1:9" x14ac:dyDescent="0.3">
      <c r="A465">
        <v>1</v>
      </c>
      <c r="B465">
        <f>DATA!M465</f>
        <v>0</v>
      </c>
      <c r="H465" t="s">
        <v>25</v>
      </c>
      <c r="I465" s="12">
        <f>DATA!M435</f>
        <v>1</v>
      </c>
    </row>
    <row r="466" spans="1:9" x14ac:dyDescent="0.3">
      <c r="A466">
        <v>2</v>
      </c>
      <c r="B466">
        <f>DATA!M466</f>
        <v>1</v>
      </c>
      <c r="H466" t="s">
        <v>25</v>
      </c>
      <c r="I466" s="12">
        <f>DATA!M436</f>
        <v>1</v>
      </c>
    </row>
    <row r="467" spans="1:9" x14ac:dyDescent="0.3">
      <c r="A467">
        <v>2</v>
      </c>
      <c r="B467">
        <f>DATA!M467</f>
        <v>0</v>
      </c>
      <c r="H467" t="s">
        <v>25</v>
      </c>
      <c r="I467" s="12">
        <f>DATA!M437</f>
        <v>1</v>
      </c>
    </row>
    <row r="468" spans="1:9" x14ac:dyDescent="0.3">
      <c r="A468">
        <v>1</v>
      </c>
      <c r="B468">
        <f>DATA!M468</f>
        <v>1</v>
      </c>
      <c r="H468" t="s">
        <v>25</v>
      </c>
      <c r="I468" s="12">
        <f>DATA!M440</f>
        <v>0</v>
      </c>
    </row>
    <row r="469" spans="1:9" x14ac:dyDescent="0.3">
      <c r="A469">
        <v>1</v>
      </c>
      <c r="B469">
        <f>DATA!M469</f>
        <v>1</v>
      </c>
      <c r="H469" t="s">
        <v>25</v>
      </c>
      <c r="I469" s="12">
        <f>DATA!M442</f>
        <v>1</v>
      </c>
    </row>
    <row r="470" spans="1:9" x14ac:dyDescent="0.3">
      <c r="A470">
        <v>2</v>
      </c>
      <c r="B470">
        <f>DATA!M470</f>
        <v>0</v>
      </c>
      <c r="H470" t="s">
        <v>25</v>
      </c>
      <c r="I470" s="12">
        <f>DATA!M443</f>
        <v>1</v>
      </c>
    </row>
    <row r="471" spans="1:9" x14ac:dyDescent="0.3">
      <c r="A471">
        <v>2</v>
      </c>
      <c r="B471">
        <f>DATA!M471</f>
        <v>0</v>
      </c>
      <c r="H471" t="s">
        <v>25</v>
      </c>
      <c r="I471" s="12">
        <f>DATA!M444</f>
        <v>1</v>
      </c>
    </row>
    <row r="472" spans="1:9" x14ac:dyDescent="0.3">
      <c r="A472">
        <v>2</v>
      </c>
      <c r="B472">
        <f>DATA!M472</f>
        <v>1</v>
      </c>
      <c r="H472" t="s">
        <v>25</v>
      </c>
      <c r="I472" s="12">
        <f>DATA!M445</f>
        <v>0</v>
      </c>
    </row>
    <row r="473" spans="1:9" x14ac:dyDescent="0.3">
      <c r="A473">
        <v>1</v>
      </c>
      <c r="B473">
        <f>DATA!M473</f>
        <v>1</v>
      </c>
      <c r="H473" t="s">
        <v>25</v>
      </c>
      <c r="I473" s="12">
        <f>DATA!M446</f>
        <v>1</v>
      </c>
    </row>
    <row r="474" spans="1:9" x14ac:dyDescent="0.3">
      <c r="A474">
        <v>1</v>
      </c>
      <c r="B474">
        <f>DATA!M474</f>
        <v>0</v>
      </c>
      <c r="H474" t="s">
        <v>25</v>
      </c>
      <c r="I474" s="12">
        <f>DATA!M454</f>
        <v>1</v>
      </c>
    </row>
    <row r="475" spans="1:9" x14ac:dyDescent="0.3">
      <c r="A475">
        <v>1</v>
      </c>
      <c r="B475">
        <f>DATA!M475</f>
        <v>1</v>
      </c>
      <c r="H475" t="s">
        <v>25</v>
      </c>
      <c r="I475" s="12">
        <f>DATA!M457</f>
        <v>0</v>
      </c>
    </row>
    <row r="476" spans="1:9" x14ac:dyDescent="0.3">
      <c r="A476">
        <v>1</v>
      </c>
      <c r="B476">
        <f>DATA!M476</f>
        <v>0</v>
      </c>
      <c r="H476" t="s">
        <v>25</v>
      </c>
      <c r="I476" s="12">
        <f>DATA!M459</f>
        <v>1</v>
      </c>
    </row>
    <row r="477" spans="1:9" x14ac:dyDescent="0.3">
      <c r="A477">
        <v>1</v>
      </c>
      <c r="B477">
        <f>DATA!M477</f>
        <v>0</v>
      </c>
      <c r="H477" t="s">
        <v>25</v>
      </c>
      <c r="I477" s="12">
        <f>DATA!M461</f>
        <v>1</v>
      </c>
    </row>
    <row r="478" spans="1:9" x14ac:dyDescent="0.3">
      <c r="A478">
        <v>1</v>
      </c>
      <c r="B478">
        <f>DATA!M478</f>
        <v>1</v>
      </c>
      <c r="H478" t="s">
        <v>25</v>
      </c>
      <c r="I478" s="12">
        <f>DATA!M463</f>
        <v>1</v>
      </c>
    </row>
    <row r="479" spans="1:9" x14ac:dyDescent="0.3">
      <c r="A479">
        <v>2</v>
      </c>
      <c r="B479">
        <f>DATA!M479</f>
        <v>1</v>
      </c>
      <c r="H479" t="s">
        <v>25</v>
      </c>
      <c r="I479" s="12">
        <f>DATA!M465</f>
        <v>0</v>
      </c>
    </row>
    <row r="480" spans="1:9" x14ac:dyDescent="0.3">
      <c r="A480">
        <v>1</v>
      </c>
      <c r="B480">
        <f>DATA!M480</f>
        <v>0</v>
      </c>
      <c r="H480" t="s">
        <v>25</v>
      </c>
      <c r="I480" s="12">
        <f>DATA!M468</f>
        <v>1</v>
      </c>
    </row>
    <row r="481" spans="1:9" x14ac:dyDescent="0.3">
      <c r="A481">
        <v>2</v>
      </c>
      <c r="B481">
        <f>DATA!M481</f>
        <v>0</v>
      </c>
      <c r="H481" t="s">
        <v>25</v>
      </c>
      <c r="I481" s="12">
        <f>DATA!M469</f>
        <v>1</v>
      </c>
    </row>
    <row r="482" spans="1:9" x14ac:dyDescent="0.3">
      <c r="A482">
        <v>1</v>
      </c>
      <c r="B482">
        <f>DATA!M482</f>
        <v>0</v>
      </c>
      <c r="H482" t="s">
        <v>25</v>
      </c>
      <c r="I482" s="12">
        <f>DATA!M473</f>
        <v>1</v>
      </c>
    </row>
    <row r="483" spans="1:9" x14ac:dyDescent="0.3">
      <c r="A483">
        <v>1</v>
      </c>
      <c r="B483">
        <f>DATA!M483</f>
        <v>0</v>
      </c>
      <c r="H483" t="s">
        <v>25</v>
      </c>
      <c r="I483" s="12">
        <f>DATA!M474</f>
        <v>0</v>
      </c>
    </row>
    <row r="484" spans="1:9" x14ac:dyDescent="0.3">
      <c r="A484">
        <v>1</v>
      </c>
      <c r="B484">
        <f>DATA!M484</f>
        <v>0</v>
      </c>
      <c r="H484" t="s">
        <v>25</v>
      </c>
      <c r="I484" s="12">
        <f>DATA!M475</f>
        <v>1</v>
      </c>
    </row>
    <row r="485" spans="1:9" x14ac:dyDescent="0.3">
      <c r="A485">
        <v>2</v>
      </c>
      <c r="B485">
        <f>DATA!M485</f>
        <v>0</v>
      </c>
      <c r="H485" t="s">
        <v>25</v>
      </c>
      <c r="I485" s="12">
        <f>DATA!M476</f>
        <v>0</v>
      </c>
    </row>
    <row r="486" spans="1:9" x14ac:dyDescent="0.3">
      <c r="A486">
        <v>1</v>
      </c>
      <c r="B486">
        <f>DATA!M486</f>
        <v>1</v>
      </c>
      <c r="H486" t="s">
        <v>25</v>
      </c>
      <c r="I486" s="12">
        <f>DATA!M477</f>
        <v>0</v>
      </c>
    </row>
    <row r="487" spans="1:9" x14ac:dyDescent="0.3">
      <c r="A487">
        <v>2</v>
      </c>
      <c r="B487">
        <f>DATA!M487</f>
        <v>1</v>
      </c>
      <c r="H487" t="s">
        <v>25</v>
      </c>
      <c r="I487" s="12">
        <f>DATA!M478</f>
        <v>1</v>
      </c>
    </row>
    <row r="488" spans="1:9" x14ac:dyDescent="0.3">
      <c r="A488">
        <v>2</v>
      </c>
      <c r="B488">
        <f>DATA!M488</f>
        <v>1</v>
      </c>
      <c r="H488" t="s">
        <v>25</v>
      </c>
      <c r="I488" s="12">
        <f>DATA!M480</f>
        <v>0</v>
      </c>
    </row>
    <row r="489" spans="1:9" x14ac:dyDescent="0.3">
      <c r="A489">
        <v>1</v>
      </c>
      <c r="B489">
        <f>DATA!M489</f>
        <v>0</v>
      </c>
      <c r="H489" t="s">
        <v>25</v>
      </c>
      <c r="I489" s="12">
        <f>DATA!M482</f>
        <v>0</v>
      </c>
    </row>
    <row r="490" spans="1:9" x14ac:dyDescent="0.3">
      <c r="A490">
        <v>1</v>
      </c>
      <c r="B490">
        <f>DATA!M490</f>
        <v>0</v>
      </c>
      <c r="H490" t="s">
        <v>25</v>
      </c>
      <c r="I490" s="12">
        <f>DATA!M483</f>
        <v>0</v>
      </c>
    </row>
    <row r="491" spans="1:9" x14ac:dyDescent="0.3">
      <c r="A491">
        <v>1</v>
      </c>
      <c r="B491">
        <f>DATA!M491</f>
        <v>0</v>
      </c>
      <c r="H491" t="s">
        <v>25</v>
      </c>
      <c r="I491" s="12">
        <f>DATA!M484</f>
        <v>0</v>
      </c>
    </row>
    <row r="492" spans="1:9" x14ac:dyDescent="0.3">
      <c r="A492">
        <v>2</v>
      </c>
      <c r="B492">
        <f>DATA!M492</f>
        <v>1</v>
      </c>
      <c r="H492" t="s">
        <v>25</v>
      </c>
      <c r="I492" s="12">
        <f>DATA!M486</f>
        <v>1</v>
      </c>
    </row>
    <row r="493" spans="1:9" x14ac:dyDescent="0.3">
      <c r="A493">
        <v>2</v>
      </c>
      <c r="B493">
        <f>DATA!M493</f>
        <v>0</v>
      </c>
      <c r="H493" t="s">
        <v>25</v>
      </c>
      <c r="I493" s="12">
        <f>DATA!M489</f>
        <v>0</v>
      </c>
    </row>
    <row r="494" spans="1:9" x14ac:dyDescent="0.3">
      <c r="A494">
        <v>1</v>
      </c>
      <c r="B494">
        <f>DATA!M494</f>
        <v>0</v>
      </c>
      <c r="H494" t="s">
        <v>25</v>
      </c>
      <c r="I494" s="12">
        <f>DATA!M490</f>
        <v>0</v>
      </c>
    </row>
    <row r="495" spans="1:9" x14ac:dyDescent="0.3">
      <c r="A495">
        <v>1</v>
      </c>
      <c r="B495">
        <f>DATA!M495</f>
        <v>0</v>
      </c>
      <c r="H495" t="s">
        <v>25</v>
      </c>
      <c r="I495" s="12">
        <f>DATA!M491</f>
        <v>0</v>
      </c>
    </row>
    <row r="496" spans="1:9" x14ac:dyDescent="0.3">
      <c r="A496">
        <v>1</v>
      </c>
      <c r="B496">
        <f>DATA!M496</f>
        <v>1</v>
      </c>
      <c r="H496" t="s">
        <v>25</v>
      </c>
      <c r="I496" s="12">
        <f>DATA!M494</f>
        <v>0</v>
      </c>
    </row>
    <row r="497" spans="1:9" x14ac:dyDescent="0.3">
      <c r="A497">
        <v>2</v>
      </c>
      <c r="B497">
        <f>DATA!M497</f>
        <v>1</v>
      </c>
      <c r="H497" t="s">
        <v>25</v>
      </c>
      <c r="I497" s="12">
        <f>DATA!M495</f>
        <v>0</v>
      </c>
    </row>
    <row r="498" spans="1:9" x14ac:dyDescent="0.3">
      <c r="A498">
        <v>2</v>
      </c>
      <c r="B498">
        <f>DATA!M498</f>
        <v>0</v>
      </c>
      <c r="H498" t="s">
        <v>25</v>
      </c>
      <c r="I498" s="12">
        <f>DATA!M496</f>
        <v>1</v>
      </c>
    </row>
    <row r="499" spans="1:9" x14ac:dyDescent="0.3">
      <c r="A499">
        <v>1</v>
      </c>
      <c r="B499">
        <f>DATA!M499</f>
        <v>1</v>
      </c>
      <c r="H499" t="s">
        <v>25</v>
      </c>
      <c r="I499" s="12">
        <f>DATA!M499</f>
        <v>1</v>
      </c>
    </row>
    <row r="500" spans="1:9" x14ac:dyDescent="0.3">
      <c r="A500">
        <v>1</v>
      </c>
      <c r="B500">
        <f>DATA!M500</f>
        <v>1</v>
      </c>
      <c r="H500" t="s">
        <v>25</v>
      </c>
      <c r="I500" s="12">
        <f>DATA!M500</f>
        <v>1</v>
      </c>
    </row>
  </sheetData>
  <sortState xmlns:xlrd2="http://schemas.microsoft.com/office/spreadsheetml/2017/richdata2" ref="H2:I500">
    <sortCondition ref="H1:H500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B4FEF-30BE-48D8-BCB9-2E19F0D78C4D}">
  <dimension ref="A1:Q500"/>
  <sheetViews>
    <sheetView workbookViewId="0">
      <selection activeCell="E4" sqref="E4"/>
    </sheetView>
  </sheetViews>
  <sheetFormatPr defaultRowHeight="14.4" x14ac:dyDescent="0.3"/>
  <cols>
    <col min="1" max="1" width="17.77734375" bestFit="1" customWidth="1"/>
    <col min="4" max="4" width="17.77734375" bestFit="1" customWidth="1"/>
    <col min="5" max="5" width="18.33203125" bestFit="1" customWidth="1"/>
    <col min="6" max="6" width="11.5546875" customWidth="1"/>
    <col min="8" max="8" width="10.21875" bestFit="1" customWidth="1"/>
    <col min="11" max="11" width="17.6640625" bestFit="1" customWidth="1"/>
    <col min="14" max="15" width="12" bestFit="1" customWidth="1"/>
  </cols>
  <sheetData>
    <row r="1" spans="1:17" s="10" customFormat="1" ht="15" thickBot="1" x14ac:dyDescent="0.35">
      <c r="A1" s="10" t="str" cm="1">
        <f t="array" ref="A1:A500">DATA!T1:T500</f>
        <v>Geography Category</v>
      </c>
      <c r="B1" s="10" t="str">
        <f>DATA!M1</f>
        <v>Churn</v>
      </c>
      <c r="H1" s="10" t="s">
        <v>3</v>
      </c>
      <c r="I1" s="10" t="str">
        <f>DATA!M1</f>
        <v>Churn</v>
      </c>
    </row>
    <row r="2" spans="1:17" x14ac:dyDescent="0.3">
      <c r="A2">
        <v>2</v>
      </c>
      <c r="B2">
        <f>DATA!M2</f>
        <v>0</v>
      </c>
      <c r="D2" s="14"/>
      <c r="E2" s="14" t="s">
        <v>62</v>
      </c>
      <c r="F2" s="14" t="s">
        <v>27</v>
      </c>
      <c r="H2" t="s">
        <v>24</v>
      </c>
      <c r="I2" s="12">
        <f>DATA!M9</f>
        <v>1</v>
      </c>
      <c r="K2" t="s">
        <v>107</v>
      </c>
    </row>
    <row r="3" spans="1:17" x14ac:dyDescent="0.3">
      <c r="A3">
        <v>3</v>
      </c>
      <c r="B3">
        <f>DATA!M3</f>
        <v>0</v>
      </c>
      <c r="D3" t="s">
        <v>62</v>
      </c>
      <c r="E3">
        <v>1</v>
      </c>
      <c r="H3" t="s">
        <v>24</v>
      </c>
      <c r="I3" s="12">
        <f>DATA!M11</f>
        <v>1</v>
      </c>
    </row>
    <row r="4" spans="1:17" ht="15" thickBot="1" x14ac:dyDescent="0.35">
      <c r="A4">
        <v>2</v>
      </c>
      <c r="B4">
        <f>DATA!M4</f>
        <v>0</v>
      </c>
      <c r="D4" s="13" t="s">
        <v>27</v>
      </c>
      <c r="E4" s="30">
        <v>-6.8056228013813808E-2</v>
      </c>
      <c r="F4" s="13">
        <v>1</v>
      </c>
      <c r="H4" t="s">
        <v>24</v>
      </c>
      <c r="I4" s="12">
        <f>DATA!M12</f>
        <v>1</v>
      </c>
      <c r="K4" t="s">
        <v>108</v>
      </c>
    </row>
    <row r="5" spans="1:17" x14ac:dyDescent="0.3">
      <c r="A5">
        <v>2</v>
      </c>
      <c r="B5">
        <f>DATA!M5</f>
        <v>0</v>
      </c>
      <c r="H5" t="s">
        <v>24</v>
      </c>
      <c r="I5" s="12">
        <f>DATA!M17</f>
        <v>1</v>
      </c>
      <c r="K5" s="14" t="s">
        <v>109</v>
      </c>
      <c r="L5" s="14" t="s">
        <v>98</v>
      </c>
      <c r="M5" s="14" t="s">
        <v>97</v>
      </c>
      <c r="N5" s="14" t="s">
        <v>110</v>
      </c>
      <c r="O5" s="14" t="s">
        <v>100</v>
      </c>
    </row>
    <row r="6" spans="1:17" x14ac:dyDescent="0.3">
      <c r="A6">
        <v>3</v>
      </c>
      <c r="B6">
        <f>DATA!M6</f>
        <v>0</v>
      </c>
      <c r="D6" s="2" t="s">
        <v>24</v>
      </c>
      <c r="E6" s="2" t="s">
        <v>22</v>
      </c>
      <c r="F6" s="2" t="s">
        <v>23</v>
      </c>
      <c r="H6" t="s">
        <v>24</v>
      </c>
      <c r="I6" s="12">
        <f>DATA!M22</f>
        <v>1</v>
      </c>
      <c r="K6" s="2" t="s">
        <v>24</v>
      </c>
      <c r="L6" s="4">
        <v>171</v>
      </c>
      <c r="M6" s="4">
        <v>102</v>
      </c>
      <c r="N6" s="22">
        <v>0.59649122807017541</v>
      </c>
      <c r="O6" s="4">
        <v>0.24210526315789471</v>
      </c>
      <c r="P6" s="4"/>
    </row>
    <row r="7" spans="1:17" x14ac:dyDescent="0.3">
      <c r="A7">
        <v>3</v>
      </c>
      <c r="B7">
        <f>DATA!M7</f>
        <v>0</v>
      </c>
      <c r="D7">
        <v>1</v>
      </c>
      <c r="E7">
        <v>0</v>
      </c>
      <c r="F7">
        <v>0</v>
      </c>
      <c r="H7" t="s">
        <v>24</v>
      </c>
      <c r="I7" s="12">
        <f>DATA!M25</f>
        <v>0</v>
      </c>
      <c r="K7" s="2" t="s">
        <v>22</v>
      </c>
      <c r="L7" s="4">
        <v>157</v>
      </c>
      <c r="M7" s="4">
        <v>82</v>
      </c>
      <c r="N7" s="22">
        <v>0.52229299363057324</v>
      </c>
      <c r="O7" s="4">
        <v>0.25110240078392942</v>
      </c>
      <c r="P7" s="4"/>
    </row>
    <row r="8" spans="1:17" ht="15" thickBot="1" x14ac:dyDescent="0.35">
      <c r="A8">
        <v>2</v>
      </c>
      <c r="B8">
        <f>DATA!M8</f>
        <v>0</v>
      </c>
      <c r="D8">
        <v>1</v>
      </c>
      <c r="E8">
        <v>0</v>
      </c>
      <c r="F8">
        <v>0</v>
      </c>
      <c r="H8" t="s">
        <v>24</v>
      </c>
      <c r="I8" s="12">
        <f>DATA!M29</f>
        <v>0</v>
      </c>
      <c r="K8" s="26" t="s">
        <v>23</v>
      </c>
      <c r="L8" s="16">
        <v>171</v>
      </c>
      <c r="M8" s="16">
        <v>88</v>
      </c>
      <c r="N8" s="27">
        <v>0.51461988304093564</v>
      </c>
      <c r="O8" s="16">
        <v>0.25125558995528036</v>
      </c>
      <c r="P8" s="4"/>
    </row>
    <row r="9" spans="1:17" x14ac:dyDescent="0.3">
      <c r="A9">
        <v>1</v>
      </c>
      <c r="B9">
        <f>DATA!M9</f>
        <v>1</v>
      </c>
      <c r="D9">
        <v>1</v>
      </c>
      <c r="E9">
        <v>0</v>
      </c>
      <c r="F9">
        <v>0</v>
      </c>
      <c r="H9" t="s">
        <v>24</v>
      </c>
      <c r="I9" s="12">
        <f>DATA!M31</f>
        <v>1</v>
      </c>
    </row>
    <row r="10" spans="1:17" x14ac:dyDescent="0.3">
      <c r="A10">
        <v>2</v>
      </c>
      <c r="B10">
        <f>DATA!M10</f>
        <v>1</v>
      </c>
      <c r="D10">
        <v>1</v>
      </c>
      <c r="E10">
        <v>0</v>
      </c>
      <c r="F10">
        <v>0</v>
      </c>
      <c r="H10" t="s">
        <v>24</v>
      </c>
      <c r="I10" s="12">
        <f>DATA!M34</f>
        <v>1</v>
      </c>
    </row>
    <row r="11" spans="1:17" ht="15" thickBot="1" x14ac:dyDescent="0.35">
      <c r="A11">
        <v>1</v>
      </c>
      <c r="B11">
        <f>DATA!M11</f>
        <v>1</v>
      </c>
      <c r="D11">
        <v>1</v>
      </c>
      <c r="E11">
        <v>1</v>
      </c>
      <c r="F11">
        <v>0</v>
      </c>
      <c r="H11" t="s">
        <v>24</v>
      </c>
      <c r="I11" s="12">
        <f>DATA!M36</f>
        <v>1</v>
      </c>
      <c r="K11" t="s">
        <v>70</v>
      </c>
    </row>
    <row r="12" spans="1:17" x14ac:dyDescent="0.3">
      <c r="A12">
        <v>1</v>
      </c>
      <c r="B12">
        <f>DATA!M12</f>
        <v>1</v>
      </c>
      <c r="D12">
        <v>0</v>
      </c>
      <c r="E12">
        <v>1</v>
      </c>
      <c r="F12">
        <v>0</v>
      </c>
      <c r="H12" t="s">
        <v>24</v>
      </c>
      <c r="I12" s="12">
        <f>DATA!M41</f>
        <v>0</v>
      </c>
      <c r="K12" s="14" t="s">
        <v>111</v>
      </c>
      <c r="L12" s="14" t="s">
        <v>76</v>
      </c>
      <c r="M12" s="14" t="s">
        <v>75</v>
      </c>
      <c r="N12" s="14" t="s">
        <v>77</v>
      </c>
      <c r="O12" s="14" t="s">
        <v>78</v>
      </c>
      <c r="P12" s="24" t="s">
        <v>82</v>
      </c>
      <c r="Q12" s="14" t="s">
        <v>112</v>
      </c>
    </row>
    <row r="13" spans="1:17" x14ac:dyDescent="0.3">
      <c r="A13">
        <v>2</v>
      </c>
      <c r="B13">
        <f>DATA!M13</f>
        <v>1</v>
      </c>
      <c r="D13">
        <v>0</v>
      </c>
      <c r="E13">
        <v>1</v>
      </c>
      <c r="F13">
        <v>1</v>
      </c>
      <c r="H13" t="s">
        <v>24</v>
      </c>
      <c r="I13" s="12">
        <f>DATA!M47</f>
        <v>1</v>
      </c>
      <c r="K13" t="s">
        <v>113</v>
      </c>
      <c r="L13" s="4">
        <v>0.69215139035131301</v>
      </c>
      <c r="M13" s="4">
        <v>2</v>
      </c>
      <c r="N13" s="4">
        <v>0.34607569517565651</v>
      </c>
      <c r="O13" s="4">
        <v>1.3950659445207343</v>
      </c>
      <c r="P13" s="21">
        <v>0.2487873435846556</v>
      </c>
      <c r="Q13" s="4">
        <v>3.0138989205507682</v>
      </c>
    </row>
    <row r="14" spans="1:17" x14ac:dyDescent="0.3">
      <c r="A14">
        <v>3</v>
      </c>
      <c r="B14">
        <f>DATA!M14</f>
        <v>0</v>
      </c>
      <c r="D14">
        <v>1</v>
      </c>
      <c r="E14">
        <v>0</v>
      </c>
      <c r="F14">
        <v>0</v>
      </c>
      <c r="H14" t="s">
        <v>24</v>
      </c>
      <c r="I14" s="12">
        <f>DATA!M54</f>
        <v>0</v>
      </c>
      <c r="K14" t="s">
        <v>114</v>
      </c>
      <c r="L14" s="4">
        <v>123.04331955153279</v>
      </c>
      <c r="M14" s="4">
        <v>496</v>
      </c>
      <c r="N14" s="4">
        <v>0.24807120877325159</v>
      </c>
      <c r="O14" s="4"/>
      <c r="P14" s="4"/>
      <c r="Q14" s="4"/>
    </row>
    <row r="15" spans="1:17" x14ac:dyDescent="0.3">
      <c r="A15">
        <v>2</v>
      </c>
      <c r="B15">
        <f>DATA!M15</f>
        <v>1</v>
      </c>
      <c r="D15">
        <v>1</v>
      </c>
      <c r="E15">
        <v>1</v>
      </c>
      <c r="F15">
        <v>0</v>
      </c>
      <c r="H15" t="s">
        <v>24</v>
      </c>
      <c r="I15" s="12">
        <f>DATA!M56</f>
        <v>0</v>
      </c>
      <c r="L15" s="4"/>
      <c r="M15" s="4"/>
      <c r="N15" s="4"/>
      <c r="O15" s="4"/>
      <c r="P15" s="4"/>
      <c r="Q15" s="4"/>
    </row>
    <row r="16" spans="1:17" ht="15" thickBot="1" x14ac:dyDescent="0.35">
      <c r="A16">
        <v>2</v>
      </c>
      <c r="B16">
        <f>DATA!M16</f>
        <v>0</v>
      </c>
      <c r="D16">
        <v>1</v>
      </c>
      <c r="E16">
        <v>1</v>
      </c>
      <c r="F16">
        <v>1</v>
      </c>
      <c r="H16" t="s">
        <v>24</v>
      </c>
      <c r="I16" s="12">
        <f>DATA!M57</f>
        <v>1</v>
      </c>
      <c r="K16" s="13" t="s">
        <v>73</v>
      </c>
      <c r="L16" s="16">
        <v>123.7354709418841</v>
      </c>
      <c r="M16" s="16">
        <v>498</v>
      </c>
      <c r="N16" s="16"/>
      <c r="O16" s="16"/>
      <c r="P16" s="16"/>
      <c r="Q16" s="16"/>
    </row>
    <row r="17" spans="1:9" x14ac:dyDescent="0.3">
      <c r="A17">
        <v>1</v>
      </c>
      <c r="B17">
        <f>DATA!M17</f>
        <v>1</v>
      </c>
      <c r="D17">
        <v>0</v>
      </c>
      <c r="E17">
        <v>0</v>
      </c>
      <c r="F17">
        <v>1</v>
      </c>
      <c r="H17" t="s">
        <v>24</v>
      </c>
      <c r="I17" s="12">
        <f>DATA!M62</f>
        <v>0</v>
      </c>
    </row>
    <row r="18" spans="1:9" x14ac:dyDescent="0.3">
      <c r="A18">
        <v>2</v>
      </c>
      <c r="B18">
        <f>DATA!M18</f>
        <v>1</v>
      </c>
      <c r="D18">
        <v>1</v>
      </c>
      <c r="E18">
        <v>1</v>
      </c>
      <c r="F18">
        <v>0</v>
      </c>
      <c r="H18" t="s">
        <v>24</v>
      </c>
      <c r="I18" s="12">
        <f>DATA!M69</f>
        <v>0</v>
      </c>
    </row>
    <row r="19" spans="1:9" x14ac:dyDescent="0.3">
      <c r="A19">
        <v>3</v>
      </c>
      <c r="B19">
        <f>DATA!M19</f>
        <v>0</v>
      </c>
      <c r="D19">
        <v>0</v>
      </c>
      <c r="E19">
        <v>1</v>
      </c>
      <c r="F19">
        <v>0</v>
      </c>
      <c r="H19" t="s">
        <v>24</v>
      </c>
      <c r="I19" s="12">
        <f>DATA!M71</f>
        <v>1</v>
      </c>
    </row>
    <row r="20" spans="1:9" x14ac:dyDescent="0.3">
      <c r="A20">
        <v>2</v>
      </c>
      <c r="B20">
        <f>DATA!M20</f>
        <v>1</v>
      </c>
      <c r="D20">
        <v>0</v>
      </c>
      <c r="E20">
        <v>1</v>
      </c>
      <c r="F20">
        <v>1</v>
      </c>
      <c r="H20" t="s">
        <v>24</v>
      </c>
      <c r="I20" s="12">
        <f>DATA!M81</f>
        <v>0</v>
      </c>
    </row>
    <row r="21" spans="1:9" x14ac:dyDescent="0.3">
      <c r="A21">
        <v>2</v>
      </c>
      <c r="B21">
        <f>DATA!M21</f>
        <v>0</v>
      </c>
      <c r="D21">
        <v>1</v>
      </c>
      <c r="E21">
        <v>0</v>
      </c>
      <c r="F21">
        <v>1</v>
      </c>
      <c r="H21" t="s">
        <v>24</v>
      </c>
      <c r="I21" s="12">
        <f>DATA!M89</f>
        <v>1</v>
      </c>
    </row>
    <row r="22" spans="1:9" x14ac:dyDescent="0.3">
      <c r="A22">
        <v>1</v>
      </c>
      <c r="B22">
        <f>DATA!M22</f>
        <v>1</v>
      </c>
      <c r="D22">
        <v>0</v>
      </c>
      <c r="E22">
        <v>0</v>
      </c>
      <c r="F22">
        <v>0</v>
      </c>
      <c r="H22" t="s">
        <v>24</v>
      </c>
      <c r="I22" s="12">
        <f>DATA!M90</f>
        <v>1</v>
      </c>
    </row>
    <row r="23" spans="1:9" x14ac:dyDescent="0.3">
      <c r="A23">
        <v>3</v>
      </c>
      <c r="B23">
        <f>DATA!M23</f>
        <v>0</v>
      </c>
      <c r="D23">
        <v>0</v>
      </c>
      <c r="E23">
        <v>1</v>
      </c>
      <c r="F23">
        <v>1</v>
      </c>
      <c r="H23" t="s">
        <v>24</v>
      </c>
      <c r="I23" s="12">
        <f>DATA!M91</f>
        <v>0</v>
      </c>
    </row>
    <row r="24" spans="1:9" x14ac:dyDescent="0.3">
      <c r="A24">
        <v>3</v>
      </c>
      <c r="B24">
        <f>DATA!M24</f>
        <v>1</v>
      </c>
      <c r="D24">
        <v>1</v>
      </c>
      <c r="E24">
        <v>0</v>
      </c>
      <c r="F24">
        <v>0</v>
      </c>
      <c r="H24" t="s">
        <v>24</v>
      </c>
      <c r="I24" s="12">
        <f>DATA!M92</f>
        <v>0</v>
      </c>
    </row>
    <row r="25" spans="1:9" x14ac:dyDescent="0.3">
      <c r="A25">
        <v>1</v>
      </c>
      <c r="B25">
        <f>DATA!M25</f>
        <v>0</v>
      </c>
      <c r="D25">
        <v>0</v>
      </c>
      <c r="E25">
        <v>0</v>
      </c>
      <c r="F25">
        <v>1</v>
      </c>
      <c r="H25" t="s">
        <v>24</v>
      </c>
      <c r="I25" s="12">
        <f>DATA!M101</f>
        <v>1</v>
      </c>
    </row>
    <row r="26" spans="1:9" x14ac:dyDescent="0.3">
      <c r="A26">
        <v>3</v>
      </c>
      <c r="B26">
        <f>DATA!M26</f>
        <v>0</v>
      </c>
      <c r="D26">
        <v>1</v>
      </c>
      <c r="E26">
        <v>1</v>
      </c>
      <c r="F26">
        <v>0</v>
      </c>
      <c r="H26" t="s">
        <v>24</v>
      </c>
      <c r="I26" s="12">
        <f>DATA!M106</f>
        <v>1</v>
      </c>
    </row>
    <row r="27" spans="1:9" x14ac:dyDescent="0.3">
      <c r="A27">
        <v>3</v>
      </c>
      <c r="B27">
        <f>DATA!M27</f>
        <v>0</v>
      </c>
      <c r="D27">
        <v>1</v>
      </c>
      <c r="E27">
        <v>1</v>
      </c>
      <c r="F27">
        <v>1</v>
      </c>
      <c r="H27" t="s">
        <v>24</v>
      </c>
      <c r="I27" s="12">
        <f>DATA!M107</f>
        <v>1</v>
      </c>
    </row>
    <row r="28" spans="1:9" x14ac:dyDescent="0.3">
      <c r="A28">
        <v>2</v>
      </c>
      <c r="B28">
        <f>DATA!M28</f>
        <v>1</v>
      </c>
      <c r="D28">
        <v>0</v>
      </c>
      <c r="E28">
        <v>1</v>
      </c>
      <c r="F28">
        <v>0</v>
      </c>
      <c r="H28" t="s">
        <v>24</v>
      </c>
      <c r="I28" s="12">
        <f>DATA!M111</f>
        <v>1</v>
      </c>
    </row>
    <row r="29" spans="1:9" x14ac:dyDescent="0.3">
      <c r="A29">
        <v>1</v>
      </c>
      <c r="B29">
        <f>DATA!M29</f>
        <v>0</v>
      </c>
      <c r="D29">
        <v>0</v>
      </c>
      <c r="E29">
        <v>1</v>
      </c>
      <c r="F29">
        <v>1</v>
      </c>
      <c r="H29" t="s">
        <v>24</v>
      </c>
      <c r="I29" s="12">
        <f>DATA!M112</f>
        <v>0</v>
      </c>
    </row>
    <row r="30" spans="1:9" x14ac:dyDescent="0.3">
      <c r="A30">
        <v>3</v>
      </c>
      <c r="B30">
        <f>DATA!M30</f>
        <v>1</v>
      </c>
      <c r="D30">
        <v>1</v>
      </c>
      <c r="E30">
        <v>0</v>
      </c>
      <c r="F30">
        <v>1</v>
      </c>
      <c r="H30" t="s">
        <v>24</v>
      </c>
      <c r="I30" s="12">
        <f>DATA!M114</f>
        <v>0</v>
      </c>
    </row>
    <row r="31" spans="1:9" x14ac:dyDescent="0.3">
      <c r="A31">
        <v>1</v>
      </c>
      <c r="B31">
        <f>DATA!M31</f>
        <v>1</v>
      </c>
      <c r="D31">
        <v>1</v>
      </c>
      <c r="E31">
        <v>1</v>
      </c>
      <c r="F31">
        <v>0</v>
      </c>
      <c r="H31" t="s">
        <v>24</v>
      </c>
      <c r="I31" s="12">
        <f>DATA!M116</f>
        <v>1</v>
      </c>
    </row>
    <row r="32" spans="1:9" x14ac:dyDescent="0.3">
      <c r="A32">
        <v>2</v>
      </c>
      <c r="B32">
        <f>DATA!M32</f>
        <v>1</v>
      </c>
      <c r="D32">
        <v>1</v>
      </c>
      <c r="E32">
        <v>1</v>
      </c>
      <c r="F32">
        <v>1</v>
      </c>
      <c r="H32" t="s">
        <v>24</v>
      </c>
      <c r="I32" s="12">
        <f>DATA!M118</f>
        <v>1</v>
      </c>
    </row>
    <row r="33" spans="1:9" x14ac:dyDescent="0.3">
      <c r="A33">
        <v>3</v>
      </c>
      <c r="B33">
        <f>DATA!M33</f>
        <v>1</v>
      </c>
      <c r="D33">
        <v>1</v>
      </c>
      <c r="E33">
        <v>0</v>
      </c>
      <c r="F33">
        <v>1</v>
      </c>
      <c r="H33" t="s">
        <v>24</v>
      </c>
      <c r="I33" s="12">
        <f>DATA!M122</f>
        <v>1</v>
      </c>
    </row>
    <row r="34" spans="1:9" x14ac:dyDescent="0.3">
      <c r="A34">
        <v>1</v>
      </c>
      <c r="B34">
        <f>DATA!M34</f>
        <v>1</v>
      </c>
      <c r="D34">
        <v>0</v>
      </c>
      <c r="E34">
        <v>0</v>
      </c>
      <c r="F34">
        <v>0</v>
      </c>
      <c r="H34" t="s">
        <v>24</v>
      </c>
      <c r="I34" s="12">
        <f>DATA!M124</f>
        <v>1</v>
      </c>
    </row>
    <row r="35" spans="1:9" x14ac:dyDescent="0.3">
      <c r="A35">
        <v>3</v>
      </c>
      <c r="B35">
        <f>DATA!M35</f>
        <v>0</v>
      </c>
      <c r="D35">
        <v>0</v>
      </c>
      <c r="E35">
        <v>0</v>
      </c>
      <c r="F35">
        <v>0</v>
      </c>
      <c r="H35" t="s">
        <v>24</v>
      </c>
      <c r="I35" s="12">
        <f>DATA!M129</f>
        <v>0</v>
      </c>
    </row>
    <row r="36" spans="1:9" x14ac:dyDescent="0.3">
      <c r="A36">
        <v>1</v>
      </c>
      <c r="B36">
        <f>DATA!M36</f>
        <v>1</v>
      </c>
      <c r="D36">
        <v>1</v>
      </c>
      <c r="E36">
        <v>0</v>
      </c>
      <c r="F36">
        <v>0</v>
      </c>
      <c r="H36" t="s">
        <v>24</v>
      </c>
      <c r="I36" s="12">
        <f>DATA!M136</f>
        <v>1</v>
      </c>
    </row>
    <row r="37" spans="1:9" x14ac:dyDescent="0.3">
      <c r="A37">
        <v>2</v>
      </c>
      <c r="B37">
        <f>DATA!M37</f>
        <v>1</v>
      </c>
      <c r="D37">
        <v>1</v>
      </c>
      <c r="E37">
        <v>1</v>
      </c>
      <c r="F37">
        <v>1</v>
      </c>
      <c r="H37" t="s">
        <v>24</v>
      </c>
      <c r="I37" s="12">
        <f>DATA!M138</f>
        <v>0</v>
      </c>
    </row>
    <row r="38" spans="1:9" x14ac:dyDescent="0.3">
      <c r="A38">
        <v>2</v>
      </c>
      <c r="B38">
        <f>DATA!M38</f>
        <v>0</v>
      </c>
      <c r="D38">
        <v>1</v>
      </c>
      <c r="E38">
        <v>0</v>
      </c>
      <c r="F38">
        <v>0</v>
      </c>
      <c r="H38" t="s">
        <v>24</v>
      </c>
      <c r="I38" s="12">
        <f>DATA!M141</f>
        <v>1</v>
      </c>
    </row>
    <row r="39" spans="1:9" x14ac:dyDescent="0.3">
      <c r="A39">
        <v>3</v>
      </c>
      <c r="B39">
        <f>DATA!M39</f>
        <v>0</v>
      </c>
      <c r="D39">
        <v>1</v>
      </c>
      <c r="E39">
        <v>1</v>
      </c>
      <c r="F39">
        <v>0</v>
      </c>
      <c r="H39" t="s">
        <v>24</v>
      </c>
      <c r="I39" s="12">
        <f>DATA!M143</f>
        <v>0</v>
      </c>
    </row>
    <row r="40" spans="1:9" x14ac:dyDescent="0.3">
      <c r="A40">
        <v>3</v>
      </c>
      <c r="B40">
        <f>DATA!M40</f>
        <v>1</v>
      </c>
      <c r="D40">
        <v>0</v>
      </c>
      <c r="E40">
        <v>0</v>
      </c>
      <c r="F40">
        <v>1</v>
      </c>
      <c r="H40" t="s">
        <v>24</v>
      </c>
      <c r="I40" s="12">
        <f>DATA!M144</f>
        <v>1</v>
      </c>
    </row>
    <row r="41" spans="1:9" x14ac:dyDescent="0.3">
      <c r="A41">
        <v>1</v>
      </c>
      <c r="B41">
        <f>DATA!M41</f>
        <v>0</v>
      </c>
      <c r="D41">
        <v>1</v>
      </c>
      <c r="E41">
        <v>0</v>
      </c>
      <c r="F41">
        <v>1</v>
      </c>
      <c r="H41" t="s">
        <v>24</v>
      </c>
      <c r="I41" s="12">
        <f>DATA!M148</f>
        <v>1</v>
      </c>
    </row>
    <row r="42" spans="1:9" x14ac:dyDescent="0.3">
      <c r="A42">
        <v>3</v>
      </c>
      <c r="B42">
        <f>DATA!M42</f>
        <v>1</v>
      </c>
      <c r="D42">
        <v>0</v>
      </c>
      <c r="E42">
        <v>1</v>
      </c>
      <c r="F42">
        <v>0</v>
      </c>
      <c r="H42" t="s">
        <v>24</v>
      </c>
      <c r="I42" s="12">
        <f>DATA!M149</f>
        <v>1</v>
      </c>
    </row>
    <row r="43" spans="1:9" x14ac:dyDescent="0.3">
      <c r="A43">
        <v>2</v>
      </c>
      <c r="B43">
        <f>DATA!M43</f>
        <v>0</v>
      </c>
      <c r="D43">
        <v>1</v>
      </c>
      <c r="E43">
        <v>0</v>
      </c>
      <c r="F43">
        <v>1</v>
      </c>
      <c r="H43" t="s">
        <v>24</v>
      </c>
      <c r="I43" s="12">
        <f>DATA!M151</f>
        <v>0</v>
      </c>
    </row>
    <row r="44" spans="1:9" x14ac:dyDescent="0.3">
      <c r="A44">
        <v>2</v>
      </c>
      <c r="B44">
        <f>DATA!M44</f>
        <v>1</v>
      </c>
      <c r="D44">
        <v>0</v>
      </c>
      <c r="E44">
        <v>0</v>
      </c>
      <c r="F44">
        <v>1</v>
      </c>
      <c r="H44" t="s">
        <v>24</v>
      </c>
      <c r="I44" s="12">
        <f>DATA!M154</f>
        <v>1</v>
      </c>
    </row>
    <row r="45" spans="1:9" x14ac:dyDescent="0.3">
      <c r="A45">
        <v>2</v>
      </c>
      <c r="B45">
        <f>DATA!M45</f>
        <v>0</v>
      </c>
      <c r="D45">
        <v>1</v>
      </c>
      <c r="E45">
        <v>1</v>
      </c>
      <c r="F45">
        <v>0</v>
      </c>
      <c r="H45" t="s">
        <v>24</v>
      </c>
      <c r="I45" s="12">
        <f>DATA!M157</f>
        <v>1</v>
      </c>
    </row>
    <row r="46" spans="1:9" x14ac:dyDescent="0.3">
      <c r="A46">
        <v>3</v>
      </c>
      <c r="B46">
        <f>DATA!M46</f>
        <v>0</v>
      </c>
      <c r="D46">
        <v>1</v>
      </c>
      <c r="E46">
        <v>1</v>
      </c>
      <c r="F46">
        <v>0</v>
      </c>
      <c r="H46" t="s">
        <v>24</v>
      </c>
      <c r="I46" s="12">
        <f>DATA!M159</f>
        <v>1</v>
      </c>
    </row>
    <row r="47" spans="1:9" x14ac:dyDescent="0.3">
      <c r="A47">
        <v>1</v>
      </c>
      <c r="B47">
        <f>DATA!M47</f>
        <v>1</v>
      </c>
      <c r="D47">
        <v>1</v>
      </c>
      <c r="E47">
        <v>1</v>
      </c>
      <c r="F47">
        <v>1</v>
      </c>
      <c r="H47" t="s">
        <v>24</v>
      </c>
      <c r="I47" s="12">
        <f>DATA!M163</f>
        <v>0</v>
      </c>
    </row>
    <row r="48" spans="1:9" x14ac:dyDescent="0.3">
      <c r="A48">
        <v>2</v>
      </c>
      <c r="B48">
        <f>DATA!M48</f>
        <v>0</v>
      </c>
      <c r="D48">
        <v>0</v>
      </c>
      <c r="E48">
        <v>1</v>
      </c>
      <c r="F48">
        <v>0</v>
      </c>
      <c r="H48" t="s">
        <v>24</v>
      </c>
      <c r="I48" s="12">
        <f>DATA!M164</f>
        <v>1</v>
      </c>
    </row>
    <row r="49" spans="1:9" x14ac:dyDescent="0.3">
      <c r="A49">
        <v>2</v>
      </c>
      <c r="B49">
        <f>DATA!M49</f>
        <v>1</v>
      </c>
      <c r="D49">
        <v>1</v>
      </c>
      <c r="E49">
        <v>1</v>
      </c>
      <c r="F49">
        <v>0</v>
      </c>
      <c r="H49" t="s">
        <v>24</v>
      </c>
      <c r="I49" s="12">
        <f>DATA!M167</f>
        <v>1</v>
      </c>
    </row>
    <row r="50" spans="1:9" x14ac:dyDescent="0.3">
      <c r="A50">
        <v>3</v>
      </c>
      <c r="B50">
        <f>DATA!M50</f>
        <v>1</v>
      </c>
      <c r="D50">
        <v>1</v>
      </c>
      <c r="E50">
        <v>0</v>
      </c>
      <c r="F50">
        <v>0</v>
      </c>
      <c r="H50" t="s">
        <v>24</v>
      </c>
      <c r="I50" s="12">
        <f>DATA!M172</f>
        <v>1</v>
      </c>
    </row>
    <row r="51" spans="1:9" x14ac:dyDescent="0.3">
      <c r="A51">
        <v>3</v>
      </c>
      <c r="B51">
        <f>DATA!M51</f>
        <v>0</v>
      </c>
      <c r="D51">
        <v>1</v>
      </c>
      <c r="E51">
        <v>0</v>
      </c>
      <c r="F51">
        <v>0</v>
      </c>
      <c r="H51" t="s">
        <v>24</v>
      </c>
      <c r="I51" s="12">
        <f>DATA!M173</f>
        <v>0</v>
      </c>
    </row>
    <row r="52" spans="1:9" x14ac:dyDescent="0.3">
      <c r="A52">
        <v>3</v>
      </c>
      <c r="B52">
        <f>DATA!M52</f>
        <v>1</v>
      </c>
      <c r="D52">
        <v>0</v>
      </c>
      <c r="E52">
        <v>0</v>
      </c>
      <c r="F52">
        <v>0</v>
      </c>
      <c r="H52" t="s">
        <v>24</v>
      </c>
      <c r="I52" s="12">
        <f>DATA!M176</f>
        <v>1</v>
      </c>
    </row>
    <row r="53" spans="1:9" x14ac:dyDescent="0.3">
      <c r="A53">
        <v>3</v>
      </c>
      <c r="B53">
        <f>DATA!M53</f>
        <v>0</v>
      </c>
      <c r="D53">
        <v>1</v>
      </c>
      <c r="E53">
        <v>1</v>
      </c>
      <c r="F53">
        <v>0</v>
      </c>
      <c r="H53" t="s">
        <v>24</v>
      </c>
      <c r="I53" s="12">
        <f>DATA!M177</f>
        <v>1</v>
      </c>
    </row>
    <row r="54" spans="1:9" x14ac:dyDescent="0.3">
      <c r="A54">
        <v>1</v>
      </c>
      <c r="B54">
        <f>DATA!M54</f>
        <v>0</v>
      </c>
      <c r="D54">
        <v>1</v>
      </c>
      <c r="E54">
        <v>1</v>
      </c>
      <c r="F54">
        <v>0</v>
      </c>
      <c r="H54" t="s">
        <v>24</v>
      </c>
      <c r="I54" s="12">
        <f>DATA!M182</f>
        <v>1</v>
      </c>
    </row>
    <row r="55" spans="1:9" x14ac:dyDescent="0.3">
      <c r="A55">
        <v>3</v>
      </c>
      <c r="B55">
        <f>DATA!M55</f>
        <v>1</v>
      </c>
      <c r="D55">
        <v>1</v>
      </c>
      <c r="E55">
        <v>0</v>
      </c>
      <c r="F55">
        <v>0</v>
      </c>
      <c r="H55" t="s">
        <v>24</v>
      </c>
      <c r="I55" s="12">
        <f>DATA!M183</f>
        <v>0</v>
      </c>
    </row>
    <row r="56" spans="1:9" x14ac:dyDescent="0.3">
      <c r="A56">
        <v>1</v>
      </c>
      <c r="B56">
        <f>DATA!M56</f>
        <v>0</v>
      </c>
      <c r="D56">
        <v>0</v>
      </c>
      <c r="E56">
        <v>0</v>
      </c>
      <c r="F56">
        <v>1</v>
      </c>
      <c r="H56" t="s">
        <v>24</v>
      </c>
      <c r="I56" s="12">
        <f>DATA!M185</f>
        <v>0</v>
      </c>
    </row>
    <row r="57" spans="1:9" x14ac:dyDescent="0.3">
      <c r="A57">
        <v>1</v>
      </c>
      <c r="B57">
        <f>DATA!M57</f>
        <v>1</v>
      </c>
      <c r="D57">
        <v>1</v>
      </c>
      <c r="E57">
        <v>1</v>
      </c>
      <c r="F57">
        <v>0</v>
      </c>
      <c r="H57" t="s">
        <v>24</v>
      </c>
      <c r="I57" s="12">
        <f>DATA!M192</f>
        <v>0</v>
      </c>
    </row>
    <row r="58" spans="1:9" x14ac:dyDescent="0.3">
      <c r="A58">
        <v>2</v>
      </c>
      <c r="B58">
        <f>DATA!M58</f>
        <v>1</v>
      </c>
      <c r="D58">
        <v>1</v>
      </c>
      <c r="E58">
        <v>0</v>
      </c>
      <c r="F58">
        <v>1</v>
      </c>
      <c r="H58" t="s">
        <v>24</v>
      </c>
      <c r="I58" s="12">
        <f>DATA!M193</f>
        <v>0</v>
      </c>
    </row>
    <row r="59" spans="1:9" x14ac:dyDescent="0.3">
      <c r="A59">
        <v>2</v>
      </c>
      <c r="B59">
        <f>DATA!M59</f>
        <v>1</v>
      </c>
      <c r="D59">
        <v>1</v>
      </c>
      <c r="E59">
        <v>1</v>
      </c>
      <c r="F59">
        <v>1</v>
      </c>
      <c r="H59" t="s">
        <v>24</v>
      </c>
      <c r="I59" s="12">
        <f>DATA!M198</f>
        <v>0</v>
      </c>
    </row>
    <row r="60" spans="1:9" x14ac:dyDescent="0.3">
      <c r="A60">
        <v>3</v>
      </c>
      <c r="B60">
        <f>DATA!M60</f>
        <v>0</v>
      </c>
      <c r="D60">
        <v>0</v>
      </c>
      <c r="E60">
        <v>0</v>
      </c>
      <c r="F60">
        <v>1</v>
      </c>
      <c r="H60" t="s">
        <v>24</v>
      </c>
      <c r="I60" s="12">
        <f>DATA!M201</f>
        <v>1</v>
      </c>
    </row>
    <row r="61" spans="1:9" x14ac:dyDescent="0.3">
      <c r="A61">
        <v>2</v>
      </c>
      <c r="B61">
        <f>DATA!M61</f>
        <v>1</v>
      </c>
      <c r="D61">
        <v>0</v>
      </c>
      <c r="E61">
        <v>0</v>
      </c>
      <c r="F61">
        <v>1</v>
      </c>
      <c r="H61" t="s">
        <v>24</v>
      </c>
      <c r="I61" s="12">
        <f>DATA!M204</f>
        <v>1</v>
      </c>
    </row>
    <row r="62" spans="1:9" x14ac:dyDescent="0.3">
      <c r="A62">
        <v>1</v>
      </c>
      <c r="B62">
        <f>DATA!M62</f>
        <v>0</v>
      </c>
      <c r="D62">
        <v>0</v>
      </c>
      <c r="E62">
        <v>1</v>
      </c>
      <c r="F62">
        <v>0</v>
      </c>
      <c r="H62" t="s">
        <v>24</v>
      </c>
      <c r="I62" s="12">
        <f>DATA!M206</f>
        <v>1</v>
      </c>
    </row>
    <row r="63" spans="1:9" x14ac:dyDescent="0.3">
      <c r="A63">
        <v>3</v>
      </c>
      <c r="B63">
        <f>DATA!M63</f>
        <v>1</v>
      </c>
      <c r="D63">
        <v>0</v>
      </c>
      <c r="E63">
        <v>0</v>
      </c>
      <c r="F63">
        <v>0</v>
      </c>
      <c r="H63" t="s">
        <v>24</v>
      </c>
      <c r="I63" s="12">
        <f>DATA!M208</f>
        <v>1</v>
      </c>
    </row>
    <row r="64" spans="1:9" x14ac:dyDescent="0.3">
      <c r="A64">
        <v>3</v>
      </c>
      <c r="B64">
        <f>DATA!M64</f>
        <v>1</v>
      </c>
      <c r="D64">
        <v>0</v>
      </c>
      <c r="E64">
        <v>0</v>
      </c>
      <c r="F64">
        <v>0</v>
      </c>
      <c r="H64" t="s">
        <v>24</v>
      </c>
      <c r="I64" s="12">
        <f>DATA!M212</f>
        <v>1</v>
      </c>
    </row>
    <row r="65" spans="1:9" x14ac:dyDescent="0.3">
      <c r="A65">
        <v>3</v>
      </c>
      <c r="B65">
        <f>DATA!M65</f>
        <v>0</v>
      </c>
      <c r="D65">
        <v>1</v>
      </c>
      <c r="E65">
        <v>1</v>
      </c>
      <c r="F65">
        <v>1</v>
      </c>
      <c r="H65" t="s">
        <v>24</v>
      </c>
      <c r="I65" s="12">
        <f>DATA!M218</f>
        <v>1</v>
      </c>
    </row>
    <row r="66" spans="1:9" x14ac:dyDescent="0.3">
      <c r="A66">
        <v>3</v>
      </c>
      <c r="B66">
        <f>DATA!M66</f>
        <v>1</v>
      </c>
      <c r="D66">
        <v>1</v>
      </c>
      <c r="E66">
        <v>1</v>
      </c>
      <c r="F66">
        <v>1</v>
      </c>
      <c r="H66" t="s">
        <v>24</v>
      </c>
      <c r="I66" s="12">
        <f>DATA!M220</f>
        <v>0</v>
      </c>
    </row>
    <row r="67" spans="1:9" x14ac:dyDescent="0.3">
      <c r="A67">
        <v>2</v>
      </c>
      <c r="B67">
        <f>DATA!M67</f>
        <v>0</v>
      </c>
      <c r="D67">
        <v>1</v>
      </c>
      <c r="E67">
        <v>1</v>
      </c>
      <c r="F67">
        <v>0</v>
      </c>
      <c r="H67" t="s">
        <v>24</v>
      </c>
      <c r="I67" s="12">
        <f>DATA!M223</f>
        <v>1</v>
      </c>
    </row>
    <row r="68" spans="1:9" x14ac:dyDescent="0.3">
      <c r="A68">
        <v>3</v>
      </c>
      <c r="B68">
        <f>DATA!M68</f>
        <v>1</v>
      </c>
      <c r="D68">
        <v>1</v>
      </c>
      <c r="E68">
        <v>0</v>
      </c>
      <c r="F68">
        <v>1</v>
      </c>
      <c r="H68" t="s">
        <v>24</v>
      </c>
      <c r="I68" s="12">
        <f>DATA!M225</f>
        <v>0</v>
      </c>
    </row>
    <row r="69" spans="1:9" x14ac:dyDescent="0.3">
      <c r="A69">
        <v>1</v>
      </c>
      <c r="B69">
        <f>DATA!M69</f>
        <v>0</v>
      </c>
      <c r="D69">
        <v>1</v>
      </c>
      <c r="E69">
        <v>1</v>
      </c>
      <c r="F69">
        <v>1</v>
      </c>
      <c r="H69" t="s">
        <v>24</v>
      </c>
      <c r="I69" s="12">
        <f>DATA!M234</f>
        <v>1</v>
      </c>
    </row>
    <row r="70" spans="1:9" x14ac:dyDescent="0.3">
      <c r="A70">
        <v>2</v>
      </c>
      <c r="B70">
        <f>DATA!M70</f>
        <v>1</v>
      </c>
      <c r="D70">
        <v>1</v>
      </c>
      <c r="E70">
        <v>1</v>
      </c>
      <c r="F70">
        <v>0</v>
      </c>
      <c r="H70" t="s">
        <v>24</v>
      </c>
      <c r="I70" s="12">
        <f>DATA!M235</f>
        <v>1</v>
      </c>
    </row>
    <row r="71" spans="1:9" x14ac:dyDescent="0.3">
      <c r="A71">
        <v>1</v>
      </c>
      <c r="B71">
        <f>DATA!M71</f>
        <v>1</v>
      </c>
      <c r="D71">
        <v>0</v>
      </c>
      <c r="E71">
        <v>1</v>
      </c>
      <c r="F71">
        <v>1</v>
      </c>
      <c r="H71" t="s">
        <v>24</v>
      </c>
      <c r="I71" s="12">
        <f>DATA!M237</f>
        <v>0</v>
      </c>
    </row>
    <row r="72" spans="1:9" x14ac:dyDescent="0.3">
      <c r="A72">
        <v>2</v>
      </c>
      <c r="B72">
        <f>DATA!M72</f>
        <v>1</v>
      </c>
      <c r="D72">
        <v>1</v>
      </c>
      <c r="E72">
        <v>1</v>
      </c>
      <c r="F72">
        <v>0</v>
      </c>
      <c r="H72" t="s">
        <v>24</v>
      </c>
      <c r="I72" s="12">
        <f>DATA!M238</f>
        <v>0</v>
      </c>
    </row>
    <row r="73" spans="1:9" x14ac:dyDescent="0.3">
      <c r="A73">
        <v>2</v>
      </c>
      <c r="B73">
        <f>DATA!M73</f>
        <v>0</v>
      </c>
      <c r="D73">
        <v>0</v>
      </c>
      <c r="E73">
        <v>0</v>
      </c>
      <c r="F73">
        <v>0</v>
      </c>
      <c r="H73" t="s">
        <v>24</v>
      </c>
      <c r="I73" s="12">
        <f>DATA!M240</f>
        <v>1</v>
      </c>
    </row>
    <row r="74" spans="1:9" x14ac:dyDescent="0.3">
      <c r="A74">
        <v>2</v>
      </c>
      <c r="B74">
        <f>DATA!M74</f>
        <v>0</v>
      </c>
      <c r="D74">
        <v>1</v>
      </c>
      <c r="E74">
        <v>0</v>
      </c>
      <c r="F74">
        <v>0</v>
      </c>
      <c r="H74" t="s">
        <v>24</v>
      </c>
      <c r="I74" s="12">
        <f>DATA!M244</f>
        <v>0</v>
      </c>
    </row>
    <row r="75" spans="1:9" x14ac:dyDescent="0.3">
      <c r="A75">
        <v>2</v>
      </c>
      <c r="B75">
        <f>DATA!M75</f>
        <v>0</v>
      </c>
      <c r="D75">
        <v>1</v>
      </c>
      <c r="E75">
        <v>1</v>
      </c>
      <c r="F75">
        <v>1</v>
      </c>
      <c r="H75" t="s">
        <v>24</v>
      </c>
      <c r="I75" s="12">
        <f>DATA!M250</f>
        <v>0</v>
      </c>
    </row>
    <row r="76" spans="1:9" x14ac:dyDescent="0.3">
      <c r="A76">
        <v>3</v>
      </c>
      <c r="B76">
        <f>DATA!M76</f>
        <v>0</v>
      </c>
      <c r="D76">
        <v>0</v>
      </c>
      <c r="E76">
        <v>0</v>
      </c>
      <c r="F76">
        <v>0</v>
      </c>
      <c r="H76" t="s">
        <v>24</v>
      </c>
      <c r="I76" s="12">
        <f>DATA!M252</f>
        <v>0</v>
      </c>
    </row>
    <row r="77" spans="1:9" x14ac:dyDescent="0.3">
      <c r="A77">
        <v>2</v>
      </c>
      <c r="B77">
        <f>DATA!M77</f>
        <v>0</v>
      </c>
      <c r="D77">
        <v>0</v>
      </c>
      <c r="E77">
        <v>0</v>
      </c>
      <c r="F77">
        <v>1</v>
      </c>
      <c r="H77" t="s">
        <v>24</v>
      </c>
      <c r="I77" s="12">
        <f>DATA!M255</f>
        <v>1</v>
      </c>
    </row>
    <row r="78" spans="1:9" x14ac:dyDescent="0.3">
      <c r="A78">
        <v>3</v>
      </c>
      <c r="B78">
        <f>DATA!M78</f>
        <v>0</v>
      </c>
      <c r="D78">
        <v>1</v>
      </c>
      <c r="E78">
        <v>0</v>
      </c>
      <c r="F78">
        <v>1</v>
      </c>
      <c r="H78" t="s">
        <v>24</v>
      </c>
      <c r="I78" s="12">
        <f>DATA!M257</f>
        <v>1</v>
      </c>
    </row>
    <row r="79" spans="1:9" x14ac:dyDescent="0.3">
      <c r="A79">
        <v>3</v>
      </c>
      <c r="B79">
        <f>DATA!M79</f>
        <v>0</v>
      </c>
      <c r="D79">
        <v>0</v>
      </c>
      <c r="E79">
        <v>0</v>
      </c>
      <c r="F79">
        <v>1</v>
      </c>
      <c r="H79" t="s">
        <v>24</v>
      </c>
      <c r="I79" s="12">
        <f>DATA!M264</f>
        <v>0</v>
      </c>
    </row>
    <row r="80" spans="1:9" x14ac:dyDescent="0.3">
      <c r="A80">
        <v>2</v>
      </c>
      <c r="B80">
        <f>DATA!M80</f>
        <v>1</v>
      </c>
      <c r="D80">
        <v>0</v>
      </c>
      <c r="E80">
        <v>0</v>
      </c>
      <c r="F80">
        <v>0</v>
      </c>
      <c r="H80" t="s">
        <v>24</v>
      </c>
      <c r="I80" s="12">
        <f>DATA!M265</f>
        <v>1</v>
      </c>
    </row>
    <row r="81" spans="1:9" x14ac:dyDescent="0.3">
      <c r="A81">
        <v>1</v>
      </c>
      <c r="B81">
        <f>DATA!M81</f>
        <v>0</v>
      </c>
      <c r="D81">
        <v>0</v>
      </c>
      <c r="E81">
        <v>1</v>
      </c>
      <c r="F81">
        <v>1</v>
      </c>
      <c r="H81" t="s">
        <v>24</v>
      </c>
      <c r="I81" s="12">
        <f>DATA!M267</f>
        <v>1</v>
      </c>
    </row>
    <row r="82" spans="1:9" x14ac:dyDescent="0.3">
      <c r="A82">
        <v>2</v>
      </c>
      <c r="B82">
        <f>DATA!M82</f>
        <v>0</v>
      </c>
      <c r="D82">
        <v>1</v>
      </c>
      <c r="E82">
        <v>1</v>
      </c>
      <c r="F82">
        <v>1</v>
      </c>
      <c r="H82" t="s">
        <v>24</v>
      </c>
      <c r="I82" s="12">
        <f>DATA!M272</f>
        <v>1</v>
      </c>
    </row>
    <row r="83" spans="1:9" x14ac:dyDescent="0.3">
      <c r="A83">
        <v>2</v>
      </c>
      <c r="B83">
        <f>DATA!M83</f>
        <v>1</v>
      </c>
      <c r="D83">
        <v>1</v>
      </c>
      <c r="E83">
        <v>0</v>
      </c>
      <c r="F83">
        <v>0</v>
      </c>
      <c r="H83" t="s">
        <v>24</v>
      </c>
      <c r="I83" s="12">
        <f>DATA!M273</f>
        <v>1</v>
      </c>
    </row>
    <row r="84" spans="1:9" x14ac:dyDescent="0.3">
      <c r="A84">
        <v>3</v>
      </c>
      <c r="B84">
        <f>DATA!M84</f>
        <v>1</v>
      </c>
      <c r="D84">
        <v>0</v>
      </c>
      <c r="E84">
        <v>1</v>
      </c>
      <c r="F84">
        <v>0</v>
      </c>
      <c r="H84" t="s">
        <v>24</v>
      </c>
      <c r="I84" s="12">
        <f>DATA!M274</f>
        <v>1</v>
      </c>
    </row>
    <row r="85" spans="1:9" x14ac:dyDescent="0.3">
      <c r="A85">
        <v>3</v>
      </c>
      <c r="B85">
        <f>DATA!M85</f>
        <v>0</v>
      </c>
      <c r="D85">
        <v>1</v>
      </c>
      <c r="E85">
        <v>1</v>
      </c>
      <c r="F85">
        <v>0</v>
      </c>
      <c r="H85" t="s">
        <v>24</v>
      </c>
      <c r="I85" s="12">
        <f>DATA!M275</f>
        <v>0</v>
      </c>
    </row>
    <row r="86" spans="1:9" x14ac:dyDescent="0.3">
      <c r="A86">
        <v>3</v>
      </c>
      <c r="B86">
        <f>DATA!M86</f>
        <v>0</v>
      </c>
      <c r="D86">
        <v>1</v>
      </c>
      <c r="E86">
        <v>1</v>
      </c>
      <c r="F86">
        <v>0</v>
      </c>
      <c r="H86" t="s">
        <v>24</v>
      </c>
      <c r="I86" s="12">
        <f>DATA!M276</f>
        <v>0</v>
      </c>
    </row>
    <row r="87" spans="1:9" x14ac:dyDescent="0.3">
      <c r="A87">
        <v>3</v>
      </c>
      <c r="B87">
        <f>DATA!M87</f>
        <v>1</v>
      </c>
      <c r="D87">
        <v>1</v>
      </c>
      <c r="E87">
        <v>0</v>
      </c>
      <c r="F87">
        <v>0</v>
      </c>
      <c r="H87" t="s">
        <v>24</v>
      </c>
      <c r="I87" s="12">
        <f>DATA!M277</f>
        <v>0</v>
      </c>
    </row>
    <row r="88" spans="1:9" x14ac:dyDescent="0.3">
      <c r="A88">
        <v>2</v>
      </c>
      <c r="B88">
        <f>DATA!M88</f>
        <v>0</v>
      </c>
      <c r="D88">
        <v>1</v>
      </c>
      <c r="E88">
        <v>1</v>
      </c>
      <c r="F88">
        <v>0</v>
      </c>
      <c r="H88" t="s">
        <v>24</v>
      </c>
      <c r="I88" s="12">
        <f>DATA!M278</f>
        <v>1</v>
      </c>
    </row>
    <row r="89" spans="1:9" x14ac:dyDescent="0.3">
      <c r="A89">
        <v>1</v>
      </c>
      <c r="B89">
        <f>DATA!M89</f>
        <v>1</v>
      </c>
      <c r="D89">
        <v>1</v>
      </c>
      <c r="E89">
        <v>0</v>
      </c>
      <c r="F89">
        <v>1</v>
      </c>
      <c r="H89" t="s">
        <v>24</v>
      </c>
      <c r="I89" s="12">
        <f>DATA!M280</f>
        <v>1</v>
      </c>
    </row>
    <row r="90" spans="1:9" x14ac:dyDescent="0.3">
      <c r="A90">
        <v>1</v>
      </c>
      <c r="B90">
        <f>DATA!M90</f>
        <v>1</v>
      </c>
      <c r="D90">
        <v>0</v>
      </c>
      <c r="E90">
        <v>1</v>
      </c>
      <c r="F90">
        <v>1</v>
      </c>
      <c r="H90" t="s">
        <v>24</v>
      </c>
      <c r="I90" s="12">
        <f>DATA!M281</f>
        <v>1</v>
      </c>
    </row>
    <row r="91" spans="1:9" x14ac:dyDescent="0.3">
      <c r="A91">
        <v>1</v>
      </c>
      <c r="B91">
        <f>DATA!M91</f>
        <v>0</v>
      </c>
      <c r="D91">
        <v>0</v>
      </c>
      <c r="E91">
        <v>0</v>
      </c>
      <c r="F91">
        <v>1</v>
      </c>
      <c r="H91" t="s">
        <v>24</v>
      </c>
      <c r="I91" s="12">
        <f>DATA!M282</f>
        <v>1</v>
      </c>
    </row>
    <row r="92" spans="1:9" x14ac:dyDescent="0.3">
      <c r="A92">
        <v>1</v>
      </c>
      <c r="B92">
        <f>DATA!M92</f>
        <v>0</v>
      </c>
      <c r="D92">
        <v>0</v>
      </c>
      <c r="E92">
        <v>0</v>
      </c>
      <c r="F92">
        <v>0</v>
      </c>
      <c r="H92" t="s">
        <v>24</v>
      </c>
      <c r="I92" s="12">
        <f>DATA!M284</f>
        <v>0</v>
      </c>
    </row>
    <row r="93" spans="1:9" x14ac:dyDescent="0.3">
      <c r="A93">
        <v>3</v>
      </c>
      <c r="B93">
        <f>DATA!M93</f>
        <v>1</v>
      </c>
      <c r="D93">
        <v>1</v>
      </c>
      <c r="E93">
        <v>0</v>
      </c>
      <c r="F93">
        <v>1</v>
      </c>
      <c r="H93" t="s">
        <v>24</v>
      </c>
      <c r="I93" s="12">
        <f>DATA!M289</f>
        <v>1</v>
      </c>
    </row>
    <row r="94" spans="1:9" x14ac:dyDescent="0.3">
      <c r="A94">
        <v>2</v>
      </c>
      <c r="B94">
        <f>DATA!M94</f>
        <v>0</v>
      </c>
      <c r="D94">
        <v>1</v>
      </c>
      <c r="E94">
        <v>1</v>
      </c>
      <c r="F94">
        <v>1</v>
      </c>
      <c r="H94" t="s">
        <v>24</v>
      </c>
      <c r="I94" s="12">
        <f>DATA!M291</f>
        <v>0</v>
      </c>
    </row>
    <row r="95" spans="1:9" x14ac:dyDescent="0.3">
      <c r="A95">
        <v>3</v>
      </c>
      <c r="B95">
        <f>DATA!M95</f>
        <v>0</v>
      </c>
      <c r="D95">
        <v>1</v>
      </c>
      <c r="E95">
        <v>1</v>
      </c>
      <c r="F95">
        <v>0</v>
      </c>
      <c r="H95" t="s">
        <v>24</v>
      </c>
      <c r="I95" s="12">
        <f>DATA!M294</f>
        <v>0</v>
      </c>
    </row>
    <row r="96" spans="1:9" x14ac:dyDescent="0.3">
      <c r="A96">
        <v>3</v>
      </c>
      <c r="B96">
        <f>DATA!M96</f>
        <v>1</v>
      </c>
      <c r="D96">
        <v>1</v>
      </c>
      <c r="E96">
        <v>1</v>
      </c>
      <c r="F96">
        <v>0</v>
      </c>
      <c r="H96" t="s">
        <v>24</v>
      </c>
      <c r="I96" s="12">
        <f>DATA!M295</f>
        <v>1</v>
      </c>
    </row>
    <row r="97" spans="1:9" x14ac:dyDescent="0.3">
      <c r="A97">
        <v>2</v>
      </c>
      <c r="B97">
        <f>DATA!M97</f>
        <v>1</v>
      </c>
      <c r="D97">
        <v>0</v>
      </c>
      <c r="E97">
        <v>0</v>
      </c>
      <c r="F97">
        <v>0</v>
      </c>
      <c r="H97" t="s">
        <v>24</v>
      </c>
      <c r="I97" s="12">
        <f>DATA!M297</f>
        <v>0</v>
      </c>
    </row>
    <row r="98" spans="1:9" x14ac:dyDescent="0.3">
      <c r="A98">
        <v>2</v>
      </c>
      <c r="B98">
        <f>DATA!M98</f>
        <v>0</v>
      </c>
      <c r="D98">
        <v>1</v>
      </c>
      <c r="E98">
        <v>1</v>
      </c>
      <c r="F98">
        <v>1</v>
      </c>
      <c r="H98" t="s">
        <v>24</v>
      </c>
      <c r="I98" s="12">
        <f>DATA!M298</f>
        <v>1</v>
      </c>
    </row>
    <row r="99" spans="1:9" x14ac:dyDescent="0.3">
      <c r="A99">
        <v>2</v>
      </c>
      <c r="B99">
        <f>DATA!M99</f>
        <v>0</v>
      </c>
      <c r="D99">
        <v>0</v>
      </c>
      <c r="E99">
        <v>1</v>
      </c>
      <c r="F99">
        <v>1</v>
      </c>
      <c r="H99" t="s">
        <v>24</v>
      </c>
      <c r="I99" s="12">
        <f>DATA!M304</f>
        <v>0</v>
      </c>
    </row>
    <row r="100" spans="1:9" x14ac:dyDescent="0.3">
      <c r="A100">
        <v>3</v>
      </c>
      <c r="B100">
        <f>DATA!M100</f>
        <v>1</v>
      </c>
      <c r="D100">
        <v>0</v>
      </c>
      <c r="E100">
        <v>0</v>
      </c>
      <c r="F100">
        <v>1</v>
      </c>
      <c r="H100" t="s">
        <v>24</v>
      </c>
      <c r="I100" s="12">
        <f>DATA!M305</f>
        <v>1</v>
      </c>
    </row>
    <row r="101" spans="1:9" x14ac:dyDescent="0.3">
      <c r="A101">
        <v>1</v>
      </c>
      <c r="B101">
        <f>DATA!M101</f>
        <v>1</v>
      </c>
      <c r="D101">
        <v>1</v>
      </c>
      <c r="E101">
        <v>0</v>
      </c>
      <c r="F101">
        <v>0</v>
      </c>
      <c r="H101" t="s">
        <v>24</v>
      </c>
      <c r="I101" s="12">
        <f>DATA!M311</f>
        <v>1</v>
      </c>
    </row>
    <row r="102" spans="1:9" x14ac:dyDescent="0.3">
      <c r="A102">
        <v>3</v>
      </c>
      <c r="B102">
        <f>DATA!M102</f>
        <v>0</v>
      </c>
      <c r="D102">
        <v>0</v>
      </c>
      <c r="E102">
        <v>1</v>
      </c>
      <c r="F102">
        <v>0</v>
      </c>
      <c r="H102" t="s">
        <v>24</v>
      </c>
      <c r="I102" s="12">
        <f>DATA!M313</f>
        <v>1</v>
      </c>
    </row>
    <row r="103" spans="1:9" x14ac:dyDescent="0.3">
      <c r="A103">
        <v>3</v>
      </c>
      <c r="B103">
        <f>DATA!M103</f>
        <v>0</v>
      </c>
      <c r="D103">
        <v>1</v>
      </c>
      <c r="E103">
        <v>0</v>
      </c>
      <c r="F103">
        <v>1</v>
      </c>
      <c r="H103" t="s">
        <v>24</v>
      </c>
      <c r="I103" s="12">
        <f>DATA!M315</f>
        <v>1</v>
      </c>
    </row>
    <row r="104" spans="1:9" x14ac:dyDescent="0.3">
      <c r="A104">
        <v>2</v>
      </c>
      <c r="B104">
        <f>DATA!M104</f>
        <v>1</v>
      </c>
      <c r="D104">
        <v>0</v>
      </c>
      <c r="E104">
        <v>1</v>
      </c>
      <c r="F104">
        <v>1</v>
      </c>
      <c r="H104" t="s">
        <v>24</v>
      </c>
      <c r="I104" s="12">
        <f>DATA!M316</f>
        <v>0</v>
      </c>
    </row>
    <row r="105" spans="1:9" x14ac:dyDescent="0.3">
      <c r="A105">
        <v>3</v>
      </c>
      <c r="B105">
        <f>DATA!M105</f>
        <v>1</v>
      </c>
      <c r="D105">
        <v>1</v>
      </c>
      <c r="E105">
        <v>0</v>
      </c>
      <c r="F105">
        <v>1</v>
      </c>
      <c r="H105" t="s">
        <v>24</v>
      </c>
      <c r="I105" s="12">
        <f>DATA!M318</f>
        <v>1</v>
      </c>
    </row>
    <row r="106" spans="1:9" x14ac:dyDescent="0.3">
      <c r="A106">
        <v>1</v>
      </c>
      <c r="B106">
        <f>DATA!M106</f>
        <v>1</v>
      </c>
      <c r="D106">
        <v>1</v>
      </c>
      <c r="E106">
        <v>1</v>
      </c>
      <c r="F106">
        <v>1</v>
      </c>
      <c r="H106" t="s">
        <v>24</v>
      </c>
      <c r="I106" s="12">
        <f>DATA!M322</f>
        <v>0</v>
      </c>
    </row>
    <row r="107" spans="1:9" x14ac:dyDescent="0.3">
      <c r="A107">
        <v>1</v>
      </c>
      <c r="B107">
        <f>DATA!M107</f>
        <v>1</v>
      </c>
      <c r="D107">
        <v>1</v>
      </c>
      <c r="E107">
        <v>0</v>
      </c>
      <c r="F107">
        <v>1</v>
      </c>
      <c r="H107" t="s">
        <v>24</v>
      </c>
      <c r="I107" s="12">
        <f>DATA!M325</f>
        <v>0</v>
      </c>
    </row>
    <row r="108" spans="1:9" x14ac:dyDescent="0.3">
      <c r="A108">
        <v>3</v>
      </c>
      <c r="B108">
        <f>DATA!M108</f>
        <v>0</v>
      </c>
      <c r="D108">
        <v>1</v>
      </c>
      <c r="E108">
        <v>1</v>
      </c>
      <c r="F108">
        <v>1</v>
      </c>
      <c r="H108" t="s">
        <v>24</v>
      </c>
      <c r="I108" s="12">
        <f>DATA!M326</f>
        <v>1</v>
      </c>
    </row>
    <row r="109" spans="1:9" x14ac:dyDescent="0.3">
      <c r="A109">
        <v>2</v>
      </c>
      <c r="B109">
        <f>DATA!M109</f>
        <v>1</v>
      </c>
      <c r="D109">
        <v>0</v>
      </c>
      <c r="E109">
        <v>1</v>
      </c>
      <c r="F109">
        <v>0</v>
      </c>
      <c r="H109" t="s">
        <v>24</v>
      </c>
      <c r="I109" s="12">
        <f>DATA!M332</f>
        <v>1</v>
      </c>
    </row>
    <row r="110" spans="1:9" x14ac:dyDescent="0.3">
      <c r="A110">
        <v>3</v>
      </c>
      <c r="B110">
        <f>DATA!M110</f>
        <v>0</v>
      </c>
      <c r="D110">
        <v>1</v>
      </c>
      <c r="E110">
        <v>1</v>
      </c>
      <c r="F110">
        <v>1</v>
      </c>
      <c r="H110" t="s">
        <v>24</v>
      </c>
      <c r="I110" s="12">
        <f>DATA!M333</f>
        <v>0</v>
      </c>
    </row>
    <row r="111" spans="1:9" x14ac:dyDescent="0.3">
      <c r="A111">
        <v>1</v>
      </c>
      <c r="B111">
        <f>DATA!M111</f>
        <v>1</v>
      </c>
      <c r="D111">
        <v>0</v>
      </c>
      <c r="E111">
        <v>1</v>
      </c>
      <c r="F111">
        <v>0</v>
      </c>
      <c r="H111" t="s">
        <v>24</v>
      </c>
      <c r="I111" s="12">
        <f>DATA!M342</f>
        <v>0</v>
      </c>
    </row>
    <row r="112" spans="1:9" x14ac:dyDescent="0.3">
      <c r="A112">
        <v>1</v>
      </c>
      <c r="B112">
        <f>DATA!M112</f>
        <v>0</v>
      </c>
      <c r="D112">
        <v>0</v>
      </c>
      <c r="E112">
        <v>0</v>
      </c>
      <c r="F112">
        <v>1</v>
      </c>
      <c r="H112" t="s">
        <v>24</v>
      </c>
      <c r="I112" s="12">
        <f>DATA!M344</f>
        <v>1</v>
      </c>
    </row>
    <row r="113" spans="1:9" x14ac:dyDescent="0.3">
      <c r="A113">
        <v>3</v>
      </c>
      <c r="B113">
        <f>DATA!M113</f>
        <v>0</v>
      </c>
      <c r="D113">
        <v>1</v>
      </c>
      <c r="E113">
        <v>1</v>
      </c>
      <c r="F113">
        <v>1</v>
      </c>
      <c r="H113" t="s">
        <v>24</v>
      </c>
      <c r="I113" s="12">
        <f>DATA!M345</f>
        <v>1</v>
      </c>
    </row>
    <row r="114" spans="1:9" x14ac:dyDescent="0.3">
      <c r="A114">
        <v>1</v>
      </c>
      <c r="B114">
        <f>DATA!M114</f>
        <v>0</v>
      </c>
      <c r="D114">
        <v>1</v>
      </c>
      <c r="E114">
        <v>0</v>
      </c>
      <c r="F114">
        <v>0</v>
      </c>
      <c r="H114" t="s">
        <v>24</v>
      </c>
      <c r="I114" s="12">
        <f>DATA!M346</f>
        <v>0</v>
      </c>
    </row>
    <row r="115" spans="1:9" x14ac:dyDescent="0.3">
      <c r="A115">
        <v>3</v>
      </c>
      <c r="B115">
        <f>DATA!M115</f>
        <v>0</v>
      </c>
      <c r="D115">
        <v>0</v>
      </c>
      <c r="E115">
        <v>1</v>
      </c>
      <c r="F115">
        <v>0</v>
      </c>
      <c r="H115" t="s">
        <v>24</v>
      </c>
      <c r="I115" s="12">
        <f>DATA!M352</f>
        <v>1</v>
      </c>
    </row>
    <row r="116" spans="1:9" x14ac:dyDescent="0.3">
      <c r="A116">
        <v>1</v>
      </c>
      <c r="B116">
        <f>DATA!M116</f>
        <v>1</v>
      </c>
      <c r="D116">
        <v>0</v>
      </c>
      <c r="E116">
        <v>1</v>
      </c>
      <c r="F116">
        <v>1</v>
      </c>
      <c r="H116" t="s">
        <v>24</v>
      </c>
      <c r="I116" s="12">
        <f>DATA!M354</f>
        <v>0</v>
      </c>
    </row>
    <row r="117" spans="1:9" x14ac:dyDescent="0.3">
      <c r="A117">
        <v>2</v>
      </c>
      <c r="B117">
        <f>DATA!M117</f>
        <v>1</v>
      </c>
      <c r="D117">
        <v>1</v>
      </c>
      <c r="E117">
        <v>0</v>
      </c>
      <c r="F117">
        <v>1</v>
      </c>
      <c r="H117" t="s">
        <v>24</v>
      </c>
      <c r="I117" s="12">
        <f>DATA!M360</f>
        <v>1</v>
      </c>
    </row>
    <row r="118" spans="1:9" x14ac:dyDescent="0.3">
      <c r="A118">
        <v>1</v>
      </c>
      <c r="B118">
        <f>DATA!M118</f>
        <v>1</v>
      </c>
      <c r="D118">
        <v>1</v>
      </c>
      <c r="E118">
        <v>0</v>
      </c>
      <c r="F118">
        <v>0</v>
      </c>
      <c r="H118" t="s">
        <v>24</v>
      </c>
      <c r="I118" s="12">
        <f>DATA!M362</f>
        <v>0</v>
      </c>
    </row>
    <row r="119" spans="1:9" x14ac:dyDescent="0.3">
      <c r="A119">
        <v>3</v>
      </c>
      <c r="B119">
        <f>DATA!M119</f>
        <v>0</v>
      </c>
      <c r="D119">
        <v>0</v>
      </c>
      <c r="E119">
        <v>0</v>
      </c>
      <c r="F119">
        <v>1</v>
      </c>
      <c r="H119" t="s">
        <v>24</v>
      </c>
      <c r="I119" s="12">
        <f>DATA!M364</f>
        <v>0</v>
      </c>
    </row>
    <row r="120" spans="1:9" x14ac:dyDescent="0.3">
      <c r="A120">
        <v>3</v>
      </c>
      <c r="B120">
        <f>DATA!M120</f>
        <v>0</v>
      </c>
      <c r="D120">
        <v>1</v>
      </c>
      <c r="E120">
        <v>1</v>
      </c>
      <c r="F120">
        <v>1</v>
      </c>
      <c r="H120" t="s">
        <v>24</v>
      </c>
      <c r="I120" s="12">
        <f>DATA!M367</f>
        <v>1</v>
      </c>
    </row>
    <row r="121" spans="1:9" x14ac:dyDescent="0.3">
      <c r="A121">
        <v>2</v>
      </c>
      <c r="B121">
        <f>DATA!M121</f>
        <v>1</v>
      </c>
      <c r="D121">
        <v>0</v>
      </c>
      <c r="E121">
        <v>1</v>
      </c>
      <c r="F121">
        <v>1</v>
      </c>
      <c r="H121" t="s">
        <v>24</v>
      </c>
      <c r="I121" s="12">
        <f>DATA!M369</f>
        <v>0</v>
      </c>
    </row>
    <row r="122" spans="1:9" x14ac:dyDescent="0.3">
      <c r="A122">
        <v>1</v>
      </c>
      <c r="B122">
        <f>DATA!M122</f>
        <v>1</v>
      </c>
      <c r="D122">
        <v>1</v>
      </c>
      <c r="E122">
        <v>0</v>
      </c>
      <c r="F122">
        <v>0</v>
      </c>
      <c r="H122" t="s">
        <v>24</v>
      </c>
      <c r="I122" s="12">
        <f>DATA!M372</f>
        <v>1</v>
      </c>
    </row>
    <row r="123" spans="1:9" x14ac:dyDescent="0.3">
      <c r="A123">
        <v>3</v>
      </c>
      <c r="B123">
        <f>DATA!M123</f>
        <v>0</v>
      </c>
      <c r="D123">
        <v>0</v>
      </c>
      <c r="E123">
        <v>1</v>
      </c>
      <c r="F123">
        <v>0</v>
      </c>
      <c r="H123" t="s">
        <v>24</v>
      </c>
      <c r="I123" s="12">
        <f>DATA!M376</f>
        <v>0</v>
      </c>
    </row>
    <row r="124" spans="1:9" x14ac:dyDescent="0.3">
      <c r="A124">
        <v>1</v>
      </c>
      <c r="B124">
        <f>DATA!M124</f>
        <v>1</v>
      </c>
      <c r="D124">
        <v>0</v>
      </c>
      <c r="E124">
        <v>0</v>
      </c>
      <c r="F124">
        <v>1</v>
      </c>
      <c r="H124" t="s">
        <v>24</v>
      </c>
      <c r="I124" s="12">
        <f>DATA!M383</f>
        <v>1</v>
      </c>
    </row>
    <row r="125" spans="1:9" x14ac:dyDescent="0.3">
      <c r="A125">
        <v>2</v>
      </c>
      <c r="B125">
        <f>DATA!M125</f>
        <v>1</v>
      </c>
      <c r="D125">
        <v>1</v>
      </c>
      <c r="E125">
        <v>1</v>
      </c>
      <c r="F125">
        <v>1</v>
      </c>
      <c r="H125" t="s">
        <v>24</v>
      </c>
      <c r="I125" s="12">
        <f>DATA!M389</f>
        <v>0</v>
      </c>
    </row>
    <row r="126" spans="1:9" x14ac:dyDescent="0.3">
      <c r="A126">
        <v>3</v>
      </c>
      <c r="B126">
        <f>DATA!M126</f>
        <v>0</v>
      </c>
      <c r="D126">
        <v>0</v>
      </c>
      <c r="E126">
        <v>1</v>
      </c>
      <c r="F126">
        <v>1</v>
      </c>
      <c r="H126" t="s">
        <v>24</v>
      </c>
      <c r="I126" s="12">
        <f>DATA!M390</f>
        <v>1</v>
      </c>
    </row>
    <row r="127" spans="1:9" x14ac:dyDescent="0.3">
      <c r="A127">
        <v>2</v>
      </c>
      <c r="B127">
        <f>DATA!M127</f>
        <v>0</v>
      </c>
      <c r="D127">
        <v>1</v>
      </c>
      <c r="E127">
        <v>0</v>
      </c>
      <c r="F127">
        <v>1</v>
      </c>
      <c r="H127" t="s">
        <v>24</v>
      </c>
      <c r="I127" s="12">
        <f>DATA!M391</f>
        <v>1</v>
      </c>
    </row>
    <row r="128" spans="1:9" x14ac:dyDescent="0.3">
      <c r="A128">
        <v>3</v>
      </c>
      <c r="B128">
        <f>DATA!M128</f>
        <v>1</v>
      </c>
      <c r="D128">
        <v>0</v>
      </c>
      <c r="E128">
        <v>0</v>
      </c>
      <c r="F128">
        <v>1</v>
      </c>
      <c r="H128" t="s">
        <v>24</v>
      </c>
      <c r="I128" s="12">
        <f>DATA!M393</f>
        <v>1</v>
      </c>
    </row>
    <row r="129" spans="1:9" x14ac:dyDescent="0.3">
      <c r="A129">
        <v>1</v>
      </c>
      <c r="B129">
        <f>DATA!M129</f>
        <v>0</v>
      </c>
      <c r="D129">
        <v>1</v>
      </c>
      <c r="E129">
        <v>1</v>
      </c>
      <c r="F129">
        <v>0</v>
      </c>
      <c r="H129" t="s">
        <v>24</v>
      </c>
      <c r="I129" s="12">
        <f>DATA!M395</f>
        <v>1</v>
      </c>
    </row>
    <row r="130" spans="1:9" x14ac:dyDescent="0.3">
      <c r="A130">
        <v>3</v>
      </c>
      <c r="B130">
        <f>DATA!M130</f>
        <v>0</v>
      </c>
      <c r="D130">
        <v>0</v>
      </c>
      <c r="E130">
        <v>1</v>
      </c>
      <c r="F130">
        <v>0</v>
      </c>
      <c r="H130" t="s">
        <v>24</v>
      </c>
      <c r="I130" s="12">
        <f>DATA!M397</f>
        <v>0</v>
      </c>
    </row>
    <row r="131" spans="1:9" x14ac:dyDescent="0.3">
      <c r="A131">
        <v>2</v>
      </c>
      <c r="B131">
        <f>DATA!M131</f>
        <v>0</v>
      </c>
      <c r="D131">
        <v>1</v>
      </c>
      <c r="E131">
        <v>0</v>
      </c>
      <c r="F131">
        <v>1</v>
      </c>
      <c r="H131" t="s">
        <v>24</v>
      </c>
      <c r="I131" s="12">
        <f>DATA!M403</f>
        <v>1</v>
      </c>
    </row>
    <row r="132" spans="1:9" x14ac:dyDescent="0.3">
      <c r="A132">
        <v>3</v>
      </c>
      <c r="B132">
        <f>DATA!M132</f>
        <v>1</v>
      </c>
      <c r="D132">
        <v>1</v>
      </c>
      <c r="E132">
        <v>0</v>
      </c>
      <c r="F132">
        <v>1</v>
      </c>
      <c r="H132" t="s">
        <v>24</v>
      </c>
      <c r="I132" s="12">
        <f>DATA!M404</f>
        <v>1</v>
      </c>
    </row>
    <row r="133" spans="1:9" x14ac:dyDescent="0.3">
      <c r="A133">
        <v>2</v>
      </c>
      <c r="B133">
        <f>DATA!M133</f>
        <v>0</v>
      </c>
      <c r="D133">
        <v>1</v>
      </c>
      <c r="E133">
        <v>0</v>
      </c>
      <c r="F133">
        <v>1</v>
      </c>
      <c r="H133" t="s">
        <v>24</v>
      </c>
      <c r="I133" s="12">
        <f>DATA!M408</f>
        <v>0</v>
      </c>
    </row>
    <row r="134" spans="1:9" x14ac:dyDescent="0.3">
      <c r="A134">
        <v>3</v>
      </c>
      <c r="B134">
        <f>DATA!M134</f>
        <v>1</v>
      </c>
      <c r="D134">
        <v>1</v>
      </c>
      <c r="E134">
        <v>1</v>
      </c>
      <c r="F134">
        <v>0</v>
      </c>
      <c r="H134" t="s">
        <v>24</v>
      </c>
      <c r="I134" s="12">
        <f>DATA!M409</f>
        <v>0</v>
      </c>
    </row>
    <row r="135" spans="1:9" x14ac:dyDescent="0.3">
      <c r="A135">
        <v>2</v>
      </c>
      <c r="B135">
        <f>DATA!M135</f>
        <v>1</v>
      </c>
      <c r="D135">
        <v>0</v>
      </c>
      <c r="E135">
        <v>0</v>
      </c>
      <c r="F135">
        <v>1</v>
      </c>
      <c r="H135" t="s">
        <v>24</v>
      </c>
      <c r="I135" s="12">
        <f>DATA!M412</f>
        <v>1</v>
      </c>
    </row>
    <row r="136" spans="1:9" x14ac:dyDescent="0.3">
      <c r="A136">
        <v>1</v>
      </c>
      <c r="B136">
        <f>DATA!M136</f>
        <v>1</v>
      </c>
      <c r="D136">
        <v>1</v>
      </c>
      <c r="E136">
        <v>1</v>
      </c>
      <c r="F136">
        <v>0</v>
      </c>
      <c r="H136" t="s">
        <v>24</v>
      </c>
      <c r="I136" s="12">
        <f>DATA!M415</f>
        <v>1</v>
      </c>
    </row>
    <row r="137" spans="1:9" x14ac:dyDescent="0.3">
      <c r="A137">
        <v>3</v>
      </c>
      <c r="B137">
        <f>DATA!M137</f>
        <v>1</v>
      </c>
      <c r="D137">
        <v>1</v>
      </c>
      <c r="E137">
        <v>0</v>
      </c>
      <c r="F137">
        <v>0</v>
      </c>
      <c r="H137" t="s">
        <v>24</v>
      </c>
      <c r="I137" s="12">
        <f>DATA!M416</f>
        <v>1</v>
      </c>
    </row>
    <row r="138" spans="1:9" x14ac:dyDescent="0.3">
      <c r="A138">
        <v>1</v>
      </c>
      <c r="B138">
        <f>DATA!M138</f>
        <v>0</v>
      </c>
      <c r="D138">
        <v>0</v>
      </c>
      <c r="E138">
        <v>1</v>
      </c>
      <c r="F138">
        <v>0</v>
      </c>
      <c r="H138" t="s">
        <v>24</v>
      </c>
      <c r="I138" s="12">
        <f>DATA!M417</f>
        <v>1</v>
      </c>
    </row>
    <row r="139" spans="1:9" x14ac:dyDescent="0.3">
      <c r="A139">
        <v>3</v>
      </c>
      <c r="B139">
        <f>DATA!M139</f>
        <v>1</v>
      </c>
      <c r="D139">
        <v>0</v>
      </c>
      <c r="E139">
        <v>1</v>
      </c>
      <c r="F139">
        <v>1</v>
      </c>
      <c r="H139" t="s">
        <v>24</v>
      </c>
      <c r="I139" s="12">
        <f>DATA!M418</f>
        <v>1</v>
      </c>
    </row>
    <row r="140" spans="1:9" x14ac:dyDescent="0.3">
      <c r="A140">
        <v>3</v>
      </c>
      <c r="B140">
        <f>DATA!M140</f>
        <v>0</v>
      </c>
      <c r="D140">
        <v>1</v>
      </c>
      <c r="E140">
        <v>1</v>
      </c>
      <c r="F140">
        <v>0</v>
      </c>
      <c r="H140" t="s">
        <v>24</v>
      </c>
      <c r="I140" s="12">
        <f>DATA!M419</f>
        <v>1</v>
      </c>
    </row>
    <row r="141" spans="1:9" x14ac:dyDescent="0.3">
      <c r="A141">
        <v>1</v>
      </c>
      <c r="B141">
        <f>DATA!M141</f>
        <v>1</v>
      </c>
      <c r="D141">
        <v>1</v>
      </c>
      <c r="E141">
        <v>0</v>
      </c>
      <c r="F141">
        <v>1</v>
      </c>
      <c r="H141" t="s">
        <v>24</v>
      </c>
      <c r="I141" s="12">
        <f>DATA!M420</f>
        <v>0</v>
      </c>
    </row>
    <row r="142" spans="1:9" x14ac:dyDescent="0.3">
      <c r="A142">
        <v>2</v>
      </c>
      <c r="B142">
        <f>DATA!M142</f>
        <v>1</v>
      </c>
      <c r="D142">
        <v>1</v>
      </c>
      <c r="E142">
        <v>0</v>
      </c>
      <c r="F142">
        <v>1</v>
      </c>
      <c r="H142" t="s">
        <v>24</v>
      </c>
      <c r="I142" s="12">
        <f>DATA!M422</f>
        <v>0</v>
      </c>
    </row>
    <row r="143" spans="1:9" x14ac:dyDescent="0.3">
      <c r="A143">
        <v>1</v>
      </c>
      <c r="B143">
        <f>DATA!M143</f>
        <v>0</v>
      </c>
      <c r="D143">
        <v>1</v>
      </c>
      <c r="E143">
        <v>1</v>
      </c>
      <c r="F143">
        <v>0</v>
      </c>
      <c r="H143" t="s">
        <v>24</v>
      </c>
      <c r="I143" s="12">
        <f>DATA!M423</f>
        <v>1</v>
      </c>
    </row>
    <row r="144" spans="1:9" x14ac:dyDescent="0.3">
      <c r="A144">
        <v>1</v>
      </c>
      <c r="B144">
        <f>DATA!M144</f>
        <v>1</v>
      </c>
      <c r="D144">
        <v>1</v>
      </c>
      <c r="E144">
        <v>1</v>
      </c>
      <c r="F144">
        <v>0</v>
      </c>
      <c r="H144" t="s">
        <v>24</v>
      </c>
      <c r="I144" s="12">
        <f>DATA!M425</f>
        <v>1</v>
      </c>
    </row>
    <row r="145" spans="1:9" x14ac:dyDescent="0.3">
      <c r="A145">
        <v>3</v>
      </c>
      <c r="B145">
        <f>DATA!M145</f>
        <v>0</v>
      </c>
      <c r="D145">
        <v>1</v>
      </c>
      <c r="E145">
        <v>1</v>
      </c>
      <c r="F145">
        <v>1</v>
      </c>
      <c r="H145" t="s">
        <v>24</v>
      </c>
      <c r="I145" s="12">
        <f>DATA!M426</f>
        <v>1</v>
      </c>
    </row>
    <row r="146" spans="1:9" x14ac:dyDescent="0.3">
      <c r="A146">
        <v>2</v>
      </c>
      <c r="B146">
        <f>DATA!M146</f>
        <v>0</v>
      </c>
      <c r="D146">
        <v>0</v>
      </c>
      <c r="E146">
        <v>0</v>
      </c>
      <c r="F146">
        <v>1</v>
      </c>
      <c r="H146" t="s">
        <v>24</v>
      </c>
      <c r="I146" s="12">
        <f>DATA!M428</f>
        <v>0</v>
      </c>
    </row>
    <row r="147" spans="1:9" x14ac:dyDescent="0.3">
      <c r="A147">
        <v>2</v>
      </c>
      <c r="B147">
        <f>DATA!M147</f>
        <v>0</v>
      </c>
      <c r="D147">
        <v>0</v>
      </c>
      <c r="E147">
        <v>1</v>
      </c>
      <c r="F147">
        <v>0</v>
      </c>
      <c r="H147" t="s">
        <v>24</v>
      </c>
      <c r="I147" s="12">
        <f>DATA!M429</f>
        <v>1</v>
      </c>
    </row>
    <row r="148" spans="1:9" x14ac:dyDescent="0.3">
      <c r="A148">
        <v>1</v>
      </c>
      <c r="B148">
        <f>DATA!M148</f>
        <v>1</v>
      </c>
      <c r="D148">
        <v>1</v>
      </c>
      <c r="E148">
        <v>1</v>
      </c>
      <c r="F148">
        <v>1</v>
      </c>
      <c r="H148" t="s">
        <v>24</v>
      </c>
      <c r="I148" s="12">
        <f>DATA!M431</f>
        <v>0</v>
      </c>
    </row>
    <row r="149" spans="1:9" x14ac:dyDescent="0.3">
      <c r="A149">
        <v>1</v>
      </c>
      <c r="B149">
        <f>DATA!M149</f>
        <v>1</v>
      </c>
      <c r="D149">
        <v>1</v>
      </c>
      <c r="E149">
        <v>1</v>
      </c>
      <c r="F149">
        <v>1</v>
      </c>
      <c r="H149" t="s">
        <v>24</v>
      </c>
      <c r="I149" s="12">
        <f>DATA!M433</f>
        <v>1</v>
      </c>
    </row>
    <row r="150" spans="1:9" x14ac:dyDescent="0.3">
      <c r="A150">
        <v>2</v>
      </c>
      <c r="B150">
        <f>DATA!M150</f>
        <v>1</v>
      </c>
      <c r="D150">
        <v>1</v>
      </c>
      <c r="E150">
        <v>1</v>
      </c>
      <c r="F150">
        <v>1</v>
      </c>
      <c r="H150" t="s">
        <v>24</v>
      </c>
      <c r="I150" s="12">
        <f>DATA!M434</f>
        <v>1</v>
      </c>
    </row>
    <row r="151" spans="1:9" x14ac:dyDescent="0.3">
      <c r="A151">
        <v>1</v>
      </c>
      <c r="B151">
        <f>DATA!M151</f>
        <v>0</v>
      </c>
      <c r="D151">
        <v>0</v>
      </c>
      <c r="E151">
        <v>1</v>
      </c>
      <c r="F151">
        <v>1</v>
      </c>
      <c r="H151" t="s">
        <v>24</v>
      </c>
      <c r="I151" s="12">
        <f>DATA!M440</f>
        <v>0</v>
      </c>
    </row>
    <row r="152" spans="1:9" x14ac:dyDescent="0.3">
      <c r="A152">
        <v>3</v>
      </c>
      <c r="B152">
        <f>DATA!M152</f>
        <v>0</v>
      </c>
      <c r="D152">
        <v>1</v>
      </c>
      <c r="E152">
        <v>0</v>
      </c>
      <c r="F152">
        <v>0</v>
      </c>
      <c r="H152" t="s">
        <v>24</v>
      </c>
      <c r="I152" s="12">
        <f>DATA!M447</f>
        <v>1</v>
      </c>
    </row>
    <row r="153" spans="1:9" x14ac:dyDescent="0.3">
      <c r="A153">
        <v>3</v>
      </c>
      <c r="B153">
        <f>DATA!M153</f>
        <v>1</v>
      </c>
      <c r="D153">
        <v>0</v>
      </c>
      <c r="E153">
        <v>0</v>
      </c>
      <c r="F153">
        <v>0</v>
      </c>
      <c r="H153" t="s">
        <v>24</v>
      </c>
      <c r="I153" s="12">
        <f>DATA!M448</f>
        <v>1</v>
      </c>
    </row>
    <row r="154" spans="1:9" x14ac:dyDescent="0.3">
      <c r="A154">
        <v>1</v>
      </c>
      <c r="B154">
        <f>DATA!M154</f>
        <v>1</v>
      </c>
      <c r="D154">
        <v>1</v>
      </c>
      <c r="E154">
        <v>1</v>
      </c>
      <c r="F154">
        <v>1</v>
      </c>
      <c r="H154" t="s">
        <v>24</v>
      </c>
      <c r="I154" s="12">
        <f>DATA!M450</f>
        <v>1</v>
      </c>
    </row>
    <row r="155" spans="1:9" x14ac:dyDescent="0.3">
      <c r="A155">
        <v>3</v>
      </c>
      <c r="B155">
        <f>DATA!M155</f>
        <v>1</v>
      </c>
      <c r="D155">
        <v>1</v>
      </c>
      <c r="E155">
        <v>0</v>
      </c>
      <c r="F155">
        <v>1</v>
      </c>
      <c r="H155" t="s">
        <v>24</v>
      </c>
      <c r="I155" s="12">
        <f>DATA!M452</f>
        <v>0</v>
      </c>
    </row>
    <row r="156" spans="1:9" x14ac:dyDescent="0.3">
      <c r="A156">
        <v>2</v>
      </c>
      <c r="B156">
        <f>DATA!M156</f>
        <v>0</v>
      </c>
      <c r="D156">
        <v>0</v>
      </c>
      <c r="E156">
        <v>0</v>
      </c>
      <c r="F156">
        <v>1</v>
      </c>
      <c r="H156" t="s">
        <v>24</v>
      </c>
      <c r="I156" s="12">
        <f>DATA!M453</f>
        <v>1</v>
      </c>
    </row>
    <row r="157" spans="1:9" x14ac:dyDescent="0.3">
      <c r="A157">
        <v>1</v>
      </c>
      <c r="B157">
        <f>DATA!M157</f>
        <v>1</v>
      </c>
      <c r="D157">
        <v>1</v>
      </c>
      <c r="E157">
        <v>0</v>
      </c>
      <c r="F157">
        <v>0</v>
      </c>
      <c r="H157" t="s">
        <v>24</v>
      </c>
      <c r="I157" s="12">
        <f>DATA!M457</f>
        <v>0</v>
      </c>
    </row>
    <row r="158" spans="1:9" x14ac:dyDescent="0.3">
      <c r="A158">
        <v>3</v>
      </c>
      <c r="B158">
        <f>DATA!M158</f>
        <v>0</v>
      </c>
      <c r="D158">
        <v>1</v>
      </c>
      <c r="E158">
        <v>1</v>
      </c>
      <c r="F158">
        <v>0</v>
      </c>
      <c r="H158" t="s">
        <v>24</v>
      </c>
      <c r="I158" s="12">
        <f>DATA!M464</f>
        <v>1</v>
      </c>
    </row>
    <row r="159" spans="1:9" x14ac:dyDescent="0.3">
      <c r="A159">
        <v>1</v>
      </c>
      <c r="B159">
        <f>DATA!M159</f>
        <v>1</v>
      </c>
      <c r="D159">
        <v>1</v>
      </c>
      <c r="E159">
        <v>0</v>
      </c>
      <c r="F159">
        <v>0</v>
      </c>
      <c r="H159" t="s">
        <v>24</v>
      </c>
      <c r="I159" s="12">
        <f>DATA!M466</f>
        <v>1</v>
      </c>
    </row>
    <row r="160" spans="1:9" x14ac:dyDescent="0.3">
      <c r="A160">
        <v>2</v>
      </c>
      <c r="B160">
        <f>DATA!M160</f>
        <v>1</v>
      </c>
      <c r="D160">
        <v>0</v>
      </c>
      <c r="E160">
        <v>0</v>
      </c>
      <c r="F160">
        <v>0</v>
      </c>
      <c r="H160" t="s">
        <v>24</v>
      </c>
      <c r="I160" s="12">
        <f>DATA!M468</f>
        <v>1</v>
      </c>
    </row>
    <row r="161" spans="1:9" x14ac:dyDescent="0.3">
      <c r="A161">
        <v>3</v>
      </c>
      <c r="B161">
        <f>DATA!M161</f>
        <v>1</v>
      </c>
      <c r="D161">
        <v>1</v>
      </c>
      <c r="E161">
        <v>0</v>
      </c>
      <c r="F161">
        <v>0</v>
      </c>
      <c r="H161" t="s">
        <v>24</v>
      </c>
      <c r="I161" s="12">
        <f>DATA!M471</f>
        <v>0</v>
      </c>
    </row>
    <row r="162" spans="1:9" x14ac:dyDescent="0.3">
      <c r="A162">
        <v>2</v>
      </c>
      <c r="B162">
        <f>DATA!M162</f>
        <v>0</v>
      </c>
      <c r="D162">
        <v>0</v>
      </c>
      <c r="E162">
        <v>1</v>
      </c>
      <c r="F162">
        <v>1</v>
      </c>
      <c r="H162" t="s">
        <v>24</v>
      </c>
      <c r="I162" s="12">
        <f>DATA!M472</f>
        <v>1</v>
      </c>
    </row>
    <row r="163" spans="1:9" x14ac:dyDescent="0.3">
      <c r="A163">
        <v>1</v>
      </c>
      <c r="B163">
        <f>DATA!M163</f>
        <v>0</v>
      </c>
      <c r="D163">
        <v>1</v>
      </c>
      <c r="E163">
        <v>1</v>
      </c>
      <c r="F163">
        <v>1</v>
      </c>
      <c r="H163" t="s">
        <v>24</v>
      </c>
      <c r="I163" s="12">
        <f>DATA!M473</f>
        <v>1</v>
      </c>
    </row>
    <row r="164" spans="1:9" x14ac:dyDescent="0.3">
      <c r="A164">
        <v>1</v>
      </c>
      <c r="B164">
        <f>DATA!M164</f>
        <v>1</v>
      </c>
      <c r="D164">
        <v>1</v>
      </c>
      <c r="F164">
        <v>1</v>
      </c>
      <c r="H164" t="s">
        <v>24</v>
      </c>
      <c r="I164" s="12">
        <f>DATA!M476</f>
        <v>0</v>
      </c>
    </row>
    <row r="165" spans="1:9" x14ac:dyDescent="0.3">
      <c r="A165">
        <v>3</v>
      </c>
      <c r="B165">
        <f>DATA!M165</f>
        <v>1</v>
      </c>
      <c r="D165">
        <v>1</v>
      </c>
      <c r="F165">
        <v>1</v>
      </c>
      <c r="H165" t="s">
        <v>24</v>
      </c>
      <c r="I165" s="12">
        <f>DATA!M478</f>
        <v>1</v>
      </c>
    </row>
    <row r="166" spans="1:9" x14ac:dyDescent="0.3">
      <c r="A166">
        <v>2</v>
      </c>
      <c r="B166">
        <f>DATA!M166</f>
        <v>0</v>
      </c>
      <c r="D166">
        <v>0</v>
      </c>
      <c r="F166">
        <v>1</v>
      </c>
      <c r="H166" t="s">
        <v>24</v>
      </c>
      <c r="I166" s="12">
        <f>DATA!M479</f>
        <v>1</v>
      </c>
    </row>
    <row r="167" spans="1:9" x14ac:dyDescent="0.3">
      <c r="A167">
        <v>1</v>
      </c>
      <c r="B167">
        <f>DATA!M167</f>
        <v>1</v>
      </c>
      <c r="D167">
        <v>1</v>
      </c>
      <c r="F167">
        <v>0</v>
      </c>
      <c r="H167" t="s">
        <v>24</v>
      </c>
      <c r="I167" s="12">
        <f>DATA!M480</f>
        <v>0</v>
      </c>
    </row>
    <row r="168" spans="1:9" x14ac:dyDescent="0.3">
      <c r="A168">
        <v>2</v>
      </c>
      <c r="B168">
        <f>DATA!M168</f>
        <v>1</v>
      </c>
      <c r="D168">
        <v>1</v>
      </c>
      <c r="F168">
        <v>0</v>
      </c>
      <c r="H168" t="s">
        <v>24</v>
      </c>
      <c r="I168" s="12">
        <f>DATA!M481</f>
        <v>0</v>
      </c>
    </row>
    <row r="169" spans="1:9" x14ac:dyDescent="0.3">
      <c r="A169">
        <v>2</v>
      </c>
      <c r="B169">
        <f>DATA!M169</f>
        <v>0</v>
      </c>
      <c r="D169">
        <v>0</v>
      </c>
      <c r="F169">
        <v>1</v>
      </c>
      <c r="H169" t="s">
        <v>24</v>
      </c>
      <c r="I169" s="12">
        <f>DATA!M485</f>
        <v>0</v>
      </c>
    </row>
    <row r="170" spans="1:9" x14ac:dyDescent="0.3">
      <c r="A170">
        <v>3</v>
      </c>
      <c r="B170">
        <f>DATA!M170</f>
        <v>0</v>
      </c>
      <c r="D170">
        <v>1</v>
      </c>
      <c r="F170">
        <v>0</v>
      </c>
      <c r="H170" t="s">
        <v>24</v>
      </c>
      <c r="I170" s="12">
        <f>DATA!M489</f>
        <v>0</v>
      </c>
    </row>
    <row r="171" spans="1:9" x14ac:dyDescent="0.3">
      <c r="A171">
        <v>2</v>
      </c>
      <c r="B171">
        <f>DATA!M171</f>
        <v>0</v>
      </c>
      <c r="D171">
        <v>1</v>
      </c>
      <c r="F171">
        <v>0</v>
      </c>
      <c r="H171" t="s">
        <v>24</v>
      </c>
      <c r="I171" s="12">
        <f>DATA!M490</f>
        <v>0</v>
      </c>
    </row>
    <row r="172" spans="1:9" x14ac:dyDescent="0.3">
      <c r="A172">
        <v>1</v>
      </c>
      <c r="B172">
        <f>DATA!M172</f>
        <v>1</v>
      </c>
      <c r="D172">
        <v>0</v>
      </c>
      <c r="F172">
        <v>1</v>
      </c>
      <c r="H172" t="s">
        <v>24</v>
      </c>
      <c r="I172" s="12">
        <f>DATA!M493</f>
        <v>0</v>
      </c>
    </row>
    <row r="173" spans="1:9" x14ac:dyDescent="0.3">
      <c r="A173">
        <v>1</v>
      </c>
      <c r="B173">
        <f>DATA!M173</f>
        <v>0</v>
      </c>
      <c r="D173">
        <v>0</v>
      </c>
      <c r="F173">
        <v>1</v>
      </c>
      <c r="H173" t="s">
        <v>22</v>
      </c>
      <c r="I173" s="12">
        <f>DATA!M2</f>
        <v>0</v>
      </c>
    </row>
    <row r="174" spans="1:9" x14ac:dyDescent="0.3">
      <c r="A174">
        <v>3</v>
      </c>
      <c r="B174">
        <f>DATA!M174</f>
        <v>1</v>
      </c>
      <c r="D174">
        <v>0</v>
      </c>
      <c r="F174">
        <v>1</v>
      </c>
      <c r="H174" t="s">
        <v>22</v>
      </c>
      <c r="I174" s="12">
        <f>DATA!M4</f>
        <v>0</v>
      </c>
    </row>
    <row r="175" spans="1:9" x14ac:dyDescent="0.3">
      <c r="A175">
        <v>2</v>
      </c>
      <c r="B175">
        <f>DATA!M175</f>
        <v>1</v>
      </c>
      <c r="D175">
        <v>0</v>
      </c>
      <c r="F175">
        <v>1</v>
      </c>
      <c r="H175" t="s">
        <v>22</v>
      </c>
      <c r="I175" s="12">
        <f>DATA!M5</f>
        <v>0</v>
      </c>
    </row>
    <row r="176" spans="1:9" x14ac:dyDescent="0.3">
      <c r="A176">
        <v>1</v>
      </c>
      <c r="B176">
        <f>DATA!M176</f>
        <v>1</v>
      </c>
      <c r="D176">
        <v>0</v>
      </c>
      <c r="F176">
        <v>0</v>
      </c>
      <c r="H176" t="s">
        <v>22</v>
      </c>
      <c r="I176" s="12">
        <f>DATA!M8</f>
        <v>0</v>
      </c>
    </row>
    <row r="177" spans="1:9" x14ac:dyDescent="0.3">
      <c r="A177">
        <v>1</v>
      </c>
      <c r="B177">
        <f>DATA!M177</f>
        <v>1</v>
      </c>
      <c r="D177">
        <v>0</v>
      </c>
      <c r="F177">
        <v>1</v>
      </c>
      <c r="H177" t="s">
        <v>22</v>
      </c>
      <c r="I177" s="12">
        <f>DATA!M10</f>
        <v>1</v>
      </c>
    </row>
    <row r="178" spans="1:9" x14ac:dyDescent="0.3">
      <c r="A178">
        <v>3</v>
      </c>
      <c r="B178">
        <f>DATA!M178</f>
        <v>0</v>
      </c>
      <c r="H178" t="s">
        <v>22</v>
      </c>
      <c r="I178" s="12">
        <f>DATA!M13</f>
        <v>1</v>
      </c>
    </row>
    <row r="179" spans="1:9" x14ac:dyDescent="0.3">
      <c r="A179">
        <v>2</v>
      </c>
      <c r="B179">
        <f>DATA!M179</f>
        <v>1</v>
      </c>
      <c r="H179" t="s">
        <v>22</v>
      </c>
      <c r="I179" s="12">
        <f>DATA!M15</f>
        <v>1</v>
      </c>
    </row>
    <row r="180" spans="1:9" x14ac:dyDescent="0.3">
      <c r="A180">
        <v>2</v>
      </c>
      <c r="B180">
        <f>DATA!M180</f>
        <v>1</v>
      </c>
      <c r="H180" t="s">
        <v>22</v>
      </c>
      <c r="I180" s="12">
        <f>DATA!M16</f>
        <v>0</v>
      </c>
    </row>
    <row r="181" spans="1:9" x14ac:dyDescent="0.3">
      <c r="A181">
        <v>2</v>
      </c>
      <c r="B181">
        <f>DATA!M181</f>
        <v>0</v>
      </c>
      <c r="H181" t="s">
        <v>22</v>
      </c>
      <c r="I181" s="12">
        <f>DATA!M18</f>
        <v>1</v>
      </c>
    </row>
    <row r="182" spans="1:9" x14ac:dyDescent="0.3">
      <c r="A182">
        <v>1</v>
      </c>
      <c r="B182">
        <f>DATA!M182</f>
        <v>1</v>
      </c>
      <c r="H182" t="s">
        <v>22</v>
      </c>
      <c r="I182" s="12">
        <f>DATA!M20</f>
        <v>1</v>
      </c>
    </row>
    <row r="183" spans="1:9" x14ac:dyDescent="0.3">
      <c r="A183">
        <v>1</v>
      </c>
      <c r="B183">
        <f>DATA!M183</f>
        <v>0</v>
      </c>
      <c r="H183" t="s">
        <v>22</v>
      </c>
      <c r="I183" s="12">
        <f>DATA!M21</f>
        <v>0</v>
      </c>
    </row>
    <row r="184" spans="1:9" x14ac:dyDescent="0.3">
      <c r="A184">
        <v>3</v>
      </c>
      <c r="B184">
        <f>DATA!M184</f>
        <v>0</v>
      </c>
      <c r="H184" t="s">
        <v>22</v>
      </c>
      <c r="I184" s="12">
        <f>DATA!M28</f>
        <v>1</v>
      </c>
    </row>
    <row r="185" spans="1:9" x14ac:dyDescent="0.3">
      <c r="A185">
        <v>1</v>
      </c>
      <c r="B185">
        <f>DATA!M185</f>
        <v>0</v>
      </c>
      <c r="H185" t="s">
        <v>22</v>
      </c>
      <c r="I185" s="12">
        <f>DATA!M32</f>
        <v>1</v>
      </c>
    </row>
    <row r="186" spans="1:9" x14ac:dyDescent="0.3">
      <c r="A186">
        <v>3</v>
      </c>
      <c r="B186">
        <f>DATA!M186</f>
        <v>0</v>
      </c>
      <c r="H186" t="s">
        <v>22</v>
      </c>
      <c r="I186" s="12">
        <f>DATA!M37</f>
        <v>1</v>
      </c>
    </row>
    <row r="187" spans="1:9" x14ac:dyDescent="0.3">
      <c r="A187">
        <v>3</v>
      </c>
      <c r="B187">
        <f>DATA!M187</f>
        <v>1</v>
      </c>
      <c r="H187" t="s">
        <v>22</v>
      </c>
      <c r="I187" s="12">
        <f>DATA!M38</f>
        <v>0</v>
      </c>
    </row>
    <row r="188" spans="1:9" x14ac:dyDescent="0.3">
      <c r="A188">
        <v>2</v>
      </c>
      <c r="B188">
        <f>DATA!M188</f>
        <v>1</v>
      </c>
      <c r="H188" t="s">
        <v>22</v>
      </c>
      <c r="I188" s="12">
        <f>DATA!M43</f>
        <v>0</v>
      </c>
    </row>
    <row r="189" spans="1:9" x14ac:dyDescent="0.3">
      <c r="A189">
        <v>3</v>
      </c>
      <c r="B189">
        <f>DATA!M189</f>
        <v>0</v>
      </c>
      <c r="H189" t="s">
        <v>22</v>
      </c>
      <c r="I189" s="12">
        <f>DATA!M44</f>
        <v>1</v>
      </c>
    </row>
    <row r="190" spans="1:9" x14ac:dyDescent="0.3">
      <c r="A190">
        <v>2</v>
      </c>
      <c r="B190">
        <f>DATA!M190</f>
        <v>1</v>
      </c>
      <c r="H190" t="s">
        <v>22</v>
      </c>
      <c r="I190" s="12">
        <f>DATA!M45</f>
        <v>0</v>
      </c>
    </row>
    <row r="191" spans="1:9" x14ac:dyDescent="0.3">
      <c r="A191">
        <v>2</v>
      </c>
      <c r="B191">
        <f>DATA!M191</f>
        <v>1</v>
      </c>
      <c r="H191" t="s">
        <v>22</v>
      </c>
      <c r="I191" s="12">
        <f>DATA!M48</f>
        <v>0</v>
      </c>
    </row>
    <row r="192" spans="1:9" x14ac:dyDescent="0.3">
      <c r="A192">
        <v>1</v>
      </c>
      <c r="B192">
        <f>DATA!M192</f>
        <v>0</v>
      </c>
      <c r="H192" t="s">
        <v>22</v>
      </c>
      <c r="I192" s="12">
        <f>DATA!M49</f>
        <v>1</v>
      </c>
    </row>
    <row r="193" spans="1:9" x14ac:dyDescent="0.3">
      <c r="A193">
        <v>1</v>
      </c>
      <c r="B193">
        <f>DATA!M193</f>
        <v>0</v>
      </c>
      <c r="H193" t="s">
        <v>22</v>
      </c>
      <c r="I193" s="12">
        <f>DATA!M58</f>
        <v>1</v>
      </c>
    </row>
    <row r="194" spans="1:9" x14ac:dyDescent="0.3">
      <c r="A194">
        <v>3</v>
      </c>
      <c r="B194">
        <f>DATA!M194</f>
        <v>1</v>
      </c>
      <c r="H194" t="s">
        <v>22</v>
      </c>
      <c r="I194" s="12">
        <f>DATA!M59</f>
        <v>1</v>
      </c>
    </row>
    <row r="195" spans="1:9" x14ac:dyDescent="0.3">
      <c r="A195">
        <v>3</v>
      </c>
      <c r="B195">
        <f>DATA!M195</f>
        <v>1</v>
      </c>
      <c r="H195" t="s">
        <v>22</v>
      </c>
      <c r="I195" s="12">
        <f>DATA!M61</f>
        <v>1</v>
      </c>
    </row>
    <row r="196" spans="1:9" x14ac:dyDescent="0.3">
      <c r="A196">
        <v>3</v>
      </c>
      <c r="B196">
        <f>DATA!M196</f>
        <v>1</v>
      </c>
      <c r="H196" t="s">
        <v>22</v>
      </c>
      <c r="I196" s="12">
        <f>DATA!M67</f>
        <v>0</v>
      </c>
    </row>
    <row r="197" spans="1:9" x14ac:dyDescent="0.3">
      <c r="A197">
        <v>3</v>
      </c>
      <c r="B197">
        <f>DATA!M197</f>
        <v>0</v>
      </c>
      <c r="H197" t="s">
        <v>22</v>
      </c>
      <c r="I197" s="12">
        <f>DATA!M70</f>
        <v>1</v>
      </c>
    </row>
    <row r="198" spans="1:9" x14ac:dyDescent="0.3">
      <c r="A198">
        <v>1</v>
      </c>
      <c r="B198">
        <f>DATA!M198</f>
        <v>0</v>
      </c>
      <c r="H198" t="s">
        <v>22</v>
      </c>
      <c r="I198" s="12">
        <f>DATA!M72</f>
        <v>1</v>
      </c>
    </row>
    <row r="199" spans="1:9" x14ac:dyDescent="0.3">
      <c r="A199">
        <v>3</v>
      </c>
      <c r="B199">
        <f>DATA!M199</f>
        <v>1</v>
      </c>
      <c r="H199" t="s">
        <v>22</v>
      </c>
      <c r="I199" s="12">
        <f>DATA!M73</f>
        <v>0</v>
      </c>
    </row>
    <row r="200" spans="1:9" x14ac:dyDescent="0.3">
      <c r="A200">
        <v>2</v>
      </c>
      <c r="B200">
        <f>DATA!M200</f>
        <v>1</v>
      </c>
      <c r="H200" t="s">
        <v>22</v>
      </c>
      <c r="I200" s="12">
        <f>DATA!M74</f>
        <v>0</v>
      </c>
    </row>
    <row r="201" spans="1:9" x14ac:dyDescent="0.3">
      <c r="A201">
        <v>1</v>
      </c>
      <c r="B201">
        <f>DATA!M201</f>
        <v>1</v>
      </c>
      <c r="H201" t="s">
        <v>22</v>
      </c>
      <c r="I201" s="12">
        <f>DATA!M75</f>
        <v>0</v>
      </c>
    </row>
    <row r="202" spans="1:9" x14ac:dyDescent="0.3">
      <c r="A202">
        <v>2</v>
      </c>
      <c r="B202">
        <f>DATA!M202</f>
        <v>0</v>
      </c>
      <c r="H202" t="s">
        <v>22</v>
      </c>
      <c r="I202" s="12">
        <f>DATA!M77</f>
        <v>0</v>
      </c>
    </row>
    <row r="203" spans="1:9" x14ac:dyDescent="0.3">
      <c r="A203">
        <v>3</v>
      </c>
      <c r="B203">
        <f>DATA!M203</f>
        <v>1</v>
      </c>
      <c r="H203" t="s">
        <v>22</v>
      </c>
      <c r="I203" s="12">
        <f>DATA!M80</f>
        <v>1</v>
      </c>
    </row>
    <row r="204" spans="1:9" x14ac:dyDescent="0.3">
      <c r="A204">
        <v>1</v>
      </c>
      <c r="B204">
        <f>DATA!M204</f>
        <v>1</v>
      </c>
      <c r="H204" t="s">
        <v>22</v>
      </c>
      <c r="I204" s="12">
        <f>DATA!M82</f>
        <v>0</v>
      </c>
    </row>
    <row r="205" spans="1:9" x14ac:dyDescent="0.3">
      <c r="A205">
        <v>2</v>
      </c>
      <c r="B205">
        <f>DATA!M205</f>
        <v>0</v>
      </c>
      <c r="H205" t="s">
        <v>22</v>
      </c>
      <c r="I205" s="12">
        <f>DATA!M83</f>
        <v>1</v>
      </c>
    </row>
    <row r="206" spans="1:9" x14ac:dyDescent="0.3">
      <c r="A206">
        <v>1</v>
      </c>
      <c r="B206">
        <f>DATA!M206</f>
        <v>1</v>
      </c>
      <c r="H206" t="s">
        <v>22</v>
      </c>
      <c r="I206" s="12">
        <f>DATA!M88</f>
        <v>0</v>
      </c>
    </row>
    <row r="207" spans="1:9" x14ac:dyDescent="0.3">
      <c r="A207">
        <v>2</v>
      </c>
      <c r="B207">
        <f>DATA!M207</f>
        <v>1</v>
      </c>
      <c r="H207" t="s">
        <v>22</v>
      </c>
      <c r="I207" s="12">
        <f>DATA!M94</f>
        <v>0</v>
      </c>
    </row>
    <row r="208" spans="1:9" x14ac:dyDescent="0.3">
      <c r="A208">
        <v>1</v>
      </c>
      <c r="B208">
        <f>DATA!M208</f>
        <v>1</v>
      </c>
      <c r="H208" t="s">
        <v>22</v>
      </c>
      <c r="I208" s="12">
        <f>DATA!M97</f>
        <v>1</v>
      </c>
    </row>
    <row r="209" spans="1:9" x14ac:dyDescent="0.3">
      <c r="A209">
        <v>2</v>
      </c>
      <c r="B209">
        <f>DATA!M209</f>
        <v>0</v>
      </c>
      <c r="H209" t="s">
        <v>22</v>
      </c>
      <c r="I209" s="12">
        <f>DATA!M98</f>
        <v>0</v>
      </c>
    </row>
    <row r="210" spans="1:9" x14ac:dyDescent="0.3">
      <c r="A210">
        <v>2</v>
      </c>
      <c r="B210">
        <f>DATA!M210</f>
        <v>0</v>
      </c>
      <c r="H210" t="s">
        <v>22</v>
      </c>
      <c r="I210" s="12">
        <f>DATA!M99</f>
        <v>0</v>
      </c>
    </row>
    <row r="211" spans="1:9" x14ac:dyDescent="0.3">
      <c r="A211">
        <v>2</v>
      </c>
      <c r="B211">
        <f>DATA!M211</f>
        <v>0</v>
      </c>
      <c r="H211" t="s">
        <v>22</v>
      </c>
      <c r="I211" s="12">
        <f>DATA!M104</f>
        <v>1</v>
      </c>
    </row>
    <row r="212" spans="1:9" x14ac:dyDescent="0.3">
      <c r="A212">
        <v>1</v>
      </c>
      <c r="B212">
        <f>DATA!M212</f>
        <v>1</v>
      </c>
      <c r="H212" t="s">
        <v>22</v>
      </c>
      <c r="I212" s="12">
        <f>DATA!M109</f>
        <v>1</v>
      </c>
    </row>
    <row r="213" spans="1:9" x14ac:dyDescent="0.3">
      <c r="A213">
        <v>2</v>
      </c>
      <c r="B213">
        <f>DATA!M213</f>
        <v>0</v>
      </c>
      <c r="H213" t="s">
        <v>22</v>
      </c>
      <c r="I213" s="12">
        <f>DATA!M117</f>
        <v>1</v>
      </c>
    </row>
    <row r="214" spans="1:9" x14ac:dyDescent="0.3">
      <c r="A214">
        <v>2</v>
      </c>
      <c r="B214">
        <f>DATA!M214</f>
        <v>0</v>
      </c>
      <c r="H214" t="s">
        <v>22</v>
      </c>
      <c r="I214" s="12">
        <f>DATA!M121</f>
        <v>1</v>
      </c>
    </row>
    <row r="215" spans="1:9" x14ac:dyDescent="0.3">
      <c r="A215">
        <v>3</v>
      </c>
      <c r="B215">
        <f>DATA!M215</f>
        <v>0</v>
      </c>
      <c r="H215" t="s">
        <v>22</v>
      </c>
      <c r="I215" s="12">
        <f>DATA!M125</f>
        <v>1</v>
      </c>
    </row>
    <row r="216" spans="1:9" x14ac:dyDescent="0.3">
      <c r="A216">
        <v>2</v>
      </c>
      <c r="B216">
        <f>DATA!M216</f>
        <v>1</v>
      </c>
      <c r="H216" t="s">
        <v>22</v>
      </c>
      <c r="I216" s="12">
        <f>DATA!M127</f>
        <v>0</v>
      </c>
    </row>
    <row r="217" spans="1:9" x14ac:dyDescent="0.3">
      <c r="A217">
        <v>3</v>
      </c>
      <c r="B217">
        <f>DATA!M217</f>
        <v>0</v>
      </c>
      <c r="H217" t="s">
        <v>22</v>
      </c>
      <c r="I217" s="12">
        <f>DATA!M131</f>
        <v>0</v>
      </c>
    </row>
    <row r="218" spans="1:9" x14ac:dyDescent="0.3">
      <c r="A218">
        <v>1</v>
      </c>
      <c r="B218">
        <f>DATA!M218</f>
        <v>1</v>
      </c>
      <c r="H218" t="s">
        <v>22</v>
      </c>
      <c r="I218" s="12">
        <f>DATA!M133</f>
        <v>0</v>
      </c>
    </row>
    <row r="219" spans="1:9" x14ac:dyDescent="0.3">
      <c r="A219">
        <v>2</v>
      </c>
      <c r="B219">
        <f>DATA!M219</f>
        <v>1</v>
      </c>
      <c r="H219" t="s">
        <v>22</v>
      </c>
      <c r="I219" s="12">
        <f>DATA!M135</f>
        <v>1</v>
      </c>
    </row>
    <row r="220" spans="1:9" x14ac:dyDescent="0.3">
      <c r="A220">
        <v>1</v>
      </c>
      <c r="B220">
        <f>DATA!M220</f>
        <v>0</v>
      </c>
      <c r="H220" t="s">
        <v>22</v>
      </c>
      <c r="I220" s="12">
        <f>DATA!M142</f>
        <v>1</v>
      </c>
    </row>
    <row r="221" spans="1:9" x14ac:dyDescent="0.3">
      <c r="A221">
        <v>3</v>
      </c>
      <c r="B221">
        <f>DATA!M221</f>
        <v>0</v>
      </c>
      <c r="H221" t="s">
        <v>22</v>
      </c>
      <c r="I221" s="12">
        <f>DATA!M146</f>
        <v>0</v>
      </c>
    </row>
    <row r="222" spans="1:9" x14ac:dyDescent="0.3">
      <c r="A222">
        <v>3</v>
      </c>
      <c r="B222">
        <f>DATA!M222</f>
        <v>0</v>
      </c>
      <c r="H222" t="s">
        <v>22</v>
      </c>
      <c r="I222" s="12">
        <f>DATA!M147</f>
        <v>0</v>
      </c>
    </row>
    <row r="223" spans="1:9" x14ac:dyDescent="0.3">
      <c r="A223">
        <v>1</v>
      </c>
      <c r="B223">
        <f>DATA!M223</f>
        <v>1</v>
      </c>
      <c r="H223" t="s">
        <v>22</v>
      </c>
      <c r="I223" s="12">
        <f>DATA!M150</f>
        <v>1</v>
      </c>
    </row>
    <row r="224" spans="1:9" x14ac:dyDescent="0.3">
      <c r="A224">
        <v>2</v>
      </c>
      <c r="B224">
        <f>DATA!M224</f>
        <v>0</v>
      </c>
      <c r="H224" t="s">
        <v>22</v>
      </c>
      <c r="I224" s="12">
        <f>DATA!M156</f>
        <v>0</v>
      </c>
    </row>
    <row r="225" spans="1:9" x14ac:dyDescent="0.3">
      <c r="A225">
        <v>1</v>
      </c>
      <c r="B225">
        <f>DATA!M225</f>
        <v>0</v>
      </c>
      <c r="H225" t="s">
        <v>22</v>
      </c>
      <c r="I225" s="12">
        <f>DATA!M160</f>
        <v>1</v>
      </c>
    </row>
    <row r="226" spans="1:9" x14ac:dyDescent="0.3">
      <c r="A226">
        <v>3</v>
      </c>
      <c r="B226">
        <f>DATA!M226</f>
        <v>0</v>
      </c>
      <c r="H226" t="s">
        <v>22</v>
      </c>
      <c r="I226" s="12">
        <f>DATA!M162</f>
        <v>0</v>
      </c>
    </row>
    <row r="227" spans="1:9" x14ac:dyDescent="0.3">
      <c r="A227">
        <v>3</v>
      </c>
      <c r="B227">
        <f>DATA!M227</f>
        <v>0</v>
      </c>
      <c r="H227" t="s">
        <v>22</v>
      </c>
      <c r="I227" s="12">
        <f>DATA!M166</f>
        <v>0</v>
      </c>
    </row>
    <row r="228" spans="1:9" x14ac:dyDescent="0.3">
      <c r="A228">
        <v>2</v>
      </c>
      <c r="B228">
        <f>DATA!M228</f>
        <v>1</v>
      </c>
      <c r="H228" t="s">
        <v>22</v>
      </c>
      <c r="I228" s="12">
        <f>DATA!M168</f>
        <v>1</v>
      </c>
    </row>
    <row r="229" spans="1:9" x14ac:dyDescent="0.3">
      <c r="A229">
        <v>3</v>
      </c>
      <c r="B229">
        <f>DATA!M229</f>
        <v>1</v>
      </c>
      <c r="H229" t="s">
        <v>22</v>
      </c>
      <c r="I229" s="12">
        <f>DATA!M169</f>
        <v>0</v>
      </c>
    </row>
    <row r="230" spans="1:9" x14ac:dyDescent="0.3">
      <c r="A230">
        <v>2</v>
      </c>
      <c r="B230">
        <f>DATA!M230</f>
        <v>1</v>
      </c>
      <c r="H230" t="s">
        <v>22</v>
      </c>
      <c r="I230" s="12">
        <f>DATA!M171</f>
        <v>0</v>
      </c>
    </row>
    <row r="231" spans="1:9" x14ac:dyDescent="0.3">
      <c r="A231">
        <v>2</v>
      </c>
      <c r="B231">
        <f>DATA!M231</f>
        <v>1</v>
      </c>
      <c r="H231" t="s">
        <v>22</v>
      </c>
      <c r="I231" s="12">
        <f>DATA!M175</f>
        <v>1</v>
      </c>
    </row>
    <row r="232" spans="1:9" x14ac:dyDescent="0.3">
      <c r="A232">
        <v>2</v>
      </c>
      <c r="B232">
        <f>DATA!M232</f>
        <v>0</v>
      </c>
      <c r="H232" t="s">
        <v>22</v>
      </c>
      <c r="I232" s="12">
        <f>DATA!M179</f>
        <v>1</v>
      </c>
    </row>
    <row r="233" spans="1:9" x14ac:dyDescent="0.3">
      <c r="A233">
        <v>3</v>
      </c>
      <c r="B233">
        <f>DATA!M233</f>
        <v>1</v>
      </c>
      <c r="H233" t="s">
        <v>22</v>
      </c>
      <c r="I233" s="12">
        <f>DATA!M180</f>
        <v>1</v>
      </c>
    </row>
    <row r="234" spans="1:9" x14ac:dyDescent="0.3">
      <c r="A234">
        <v>1</v>
      </c>
      <c r="B234">
        <f>DATA!M234</f>
        <v>1</v>
      </c>
      <c r="H234" t="s">
        <v>22</v>
      </c>
      <c r="I234" s="12">
        <f>DATA!M181</f>
        <v>0</v>
      </c>
    </row>
    <row r="235" spans="1:9" x14ac:dyDescent="0.3">
      <c r="A235">
        <v>1</v>
      </c>
      <c r="B235">
        <f>DATA!M235</f>
        <v>1</v>
      </c>
      <c r="H235" t="s">
        <v>22</v>
      </c>
      <c r="I235" s="12">
        <f>DATA!M188</f>
        <v>1</v>
      </c>
    </row>
    <row r="236" spans="1:9" x14ac:dyDescent="0.3">
      <c r="A236">
        <v>3</v>
      </c>
      <c r="B236">
        <f>DATA!M236</f>
        <v>1</v>
      </c>
      <c r="H236" t="s">
        <v>22</v>
      </c>
      <c r="I236" s="12">
        <f>DATA!M190</f>
        <v>1</v>
      </c>
    </row>
    <row r="237" spans="1:9" x14ac:dyDescent="0.3">
      <c r="A237">
        <v>1</v>
      </c>
      <c r="B237">
        <f>DATA!M237</f>
        <v>0</v>
      </c>
      <c r="H237" t="s">
        <v>22</v>
      </c>
      <c r="I237" s="12">
        <f>DATA!M191</f>
        <v>1</v>
      </c>
    </row>
    <row r="238" spans="1:9" x14ac:dyDescent="0.3">
      <c r="A238">
        <v>1</v>
      </c>
      <c r="B238">
        <f>DATA!M238</f>
        <v>0</v>
      </c>
      <c r="H238" t="s">
        <v>22</v>
      </c>
      <c r="I238" s="12">
        <f>DATA!M200</f>
        <v>1</v>
      </c>
    </row>
    <row r="239" spans="1:9" x14ac:dyDescent="0.3">
      <c r="A239">
        <v>3</v>
      </c>
      <c r="B239">
        <f>DATA!M239</f>
        <v>0</v>
      </c>
      <c r="H239" t="s">
        <v>22</v>
      </c>
      <c r="I239" s="12">
        <f>DATA!M202</f>
        <v>0</v>
      </c>
    </row>
    <row r="240" spans="1:9" x14ac:dyDescent="0.3">
      <c r="A240">
        <v>1</v>
      </c>
      <c r="B240">
        <f>DATA!M240</f>
        <v>1</v>
      </c>
      <c r="H240" t="s">
        <v>22</v>
      </c>
      <c r="I240" s="12">
        <f>DATA!M205</f>
        <v>0</v>
      </c>
    </row>
    <row r="241" spans="1:9" x14ac:dyDescent="0.3">
      <c r="A241">
        <v>3</v>
      </c>
      <c r="B241">
        <f>DATA!M241</f>
        <v>1</v>
      </c>
      <c r="H241" t="s">
        <v>22</v>
      </c>
      <c r="I241" s="12">
        <f>DATA!M207</f>
        <v>1</v>
      </c>
    </row>
    <row r="242" spans="1:9" x14ac:dyDescent="0.3">
      <c r="A242">
        <v>2</v>
      </c>
      <c r="B242">
        <f>DATA!M242</f>
        <v>1</v>
      </c>
      <c r="H242" t="s">
        <v>22</v>
      </c>
      <c r="I242" s="12">
        <f>DATA!M209</f>
        <v>0</v>
      </c>
    </row>
    <row r="243" spans="1:9" x14ac:dyDescent="0.3">
      <c r="A243">
        <v>2</v>
      </c>
      <c r="B243">
        <f>DATA!M243</f>
        <v>0</v>
      </c>
      <c r="H243" t="s">
        <v>22</v>
      </c>
      <c r="I243" s="12">
        <f>DATA!M210</f>
        <v>0</v>
      </c>
    </row>
    <row r="244" spans="1:9" x14ac:dyDescent="0.3">
      <c r="A244">
        <v>1</v>
      </c>
      <c r="B244">
        <f>DATA!M244</f>
        <v>0</v>
      </c>
      <c r="H244" t="s">
        <v>22</v>
      </c>
      <c r="I244" s="12">
        <f>DATA!M211</f>
        <v>0</v>
      </c>
    </row>
    <row r="245" spans="1:9" x14ac:dyDescent="0.3">
      <c r="A245">
        <v>3</v>
      </c>
      <c r="B245">
        <f>DATA!M245</f>
        <v>1</v>
      </c>
      <c r="H245" t="s">
        <v>22</v>
      </c>
      <c r="I245" s="12">
        <f>DATA!M213</f>
        <v>0</v>
      </c>
    </row>
    <row r="246" spans="1:9" x14ac:dyDescent="0.3">
      <c r="A246">
        <v>2</v>
      </c>
      <c r="B246">
        <f>DATA!M246</f>
        <v>1</v>
      </c>
      <c r="H246" t="s">
        <v>22</v>
      </c>
      <c r="I246" s="12">
        <f>DATA!M214</f>
        <v>0</v>
      </c>
    </row>
    <row r="247" spans="1:9" x14ac:dyDescent="0.3">
      <c r="A247">
        <v>3</v>
      </c>
      <c r="B247">
        <f>DATA!M247</f>
        <v>0</v>
      </c>
      <c r="H247" t="s">
        <v>22</v>
      </c>
      <c r="I247" s="12">
        <f>DATA!M216</f>
        <v>1</v>
      </c>
    </row>
    <row r="248" spans="1:9" x14ac:dyDescent="0.3">
      <c r="A248">
        <v>3</v>
      </c>
      <c r="B248">
        <f>DATA!M248</f>
        <v>0</v>
      </c>
      <c r="H248" t="s">
        <v>22</v>
      </c>
      <c r="I248" s="12">
        <f>DATA!M219</f>
        <v>1</v>
      </c>
    </row>
    <row r="249" spans="1:9" x14ac:dyDescent="0.3">
      <c r="A249">
        <v>3</v>
      </c>
      <c r="B249">
        <f>DATA!M249</f>
        <v>0</v>
      </c>
      <c r="H249" t="s">
        <v>22</v>
      </c>
      <c r="I249" s="12">
        <f>DATA!M224</f>
        <v>0</v>
      </c>
    </row>
    <row r="250" spans="1:9" x14ac:dyDescent="0.3">
      <c r="A250">
        <v>1</v>
      </c>
      <c r="B250">
        <f>DATA!M250</f>
        <v>0</v>
      </c>
      <c r="H250" t="s">
        <v>22</v>
      </c>
      <c r="I250" s="12">
        <f>DATA!M228</f>
        <v>1</v>
      </c>
    </row>
    <row r="251" spans="1:9" x14ac:dyDescent="0.3">
      <c r="A251">
        <v>2</v>
      </c>
      <c r="B251">
        <f>DATA!M251</f>
        <v>0</v>
      </c>
      <c r="H251" t="s">
        <v>22</v>
      </c>
      <c r="I251" s="12">
        <f>DATA!M230</f>
        <v>1</v>
      </c>
    </row>
    <row r="252" spans="1:9" x14ac:dyDescent="0.3">
      <c r="A252">
        <v>1</v>
      </c>
      <c r="B252">
        <f>DATA!M252</f>
        <v>0</v>
      </c>
      <c r="H252" t="s">
        <v>22</v>
      </c>
      <c r="I252" s="12">
        <f>DATA!M231</f>
        <v>1</v>
      </c>
    </row>
    <row r="253" spans="1:9" x14ac:dyDescent="0.3">
      <c r="A253">
        <v>3</v>
      </c>
      <c r="B253">
        <f>DATA!M253</f>
        <v>1</v>
      </c>
      <c r="H253" t="s">
        <v>22</v>
      </c>
      <c r="I253" s="12">
        <f>DATA!M232</f>
        <v>0</v>
      </c>
    </row>
    <row r="254" spans="1:9" x14ac:dyDescent="0.3">
      <c r="A254">
        <v>2</v>
      </c>
      <c r="B254">
        <f>DATA!M254</f>
        <v>0</v>
      </c>
      <c r="H254" t="s">
        <v>22</v>
      </c>
      <c r="I254" s="12">
        <f>DATA!M242</f>
        <v>1</v>
      </c>
    </row>
    <row r="255" spans="1:9" x14ac:dyDescent="0.3">
      <c r="A255">
        <v>1</v>
      </c>
      <c r="B255">
        <f>DATA!M255</f>
        <v>1</v>
      </c>
      <c r="H255" t="s">
        <v>22</v>
      </c>
      <c r="I255" s="12">
        <f>DATA!M243</f>
        <v>0</v>
      </c>
    </row>
    <row r="256" spans="1:9" x14ac:dyDescent="0.3">
      <c r="A256">
        <v>2</v>
      </c>
      <c r="B256">
        <f>DATA!M256</f>
        <v>0</v>
      </c>
      <c r="H256" t="s">
        <v>22</v>
      </c>
      <c r="I256" s="12">
        <f>DATA!M246</f>
        <v>1</v>
      </c>
    </row>
    <row r="257" spans="1:9" x14ac:dyDescent="0.3">
      <c r="A257">
        <v>1</v>
      </c>
      <c r="B257">
        <f>DATA!M257</f>
        <v>1</v>
      </c>
      <c r="H257" t="s">
        <v>22</v>
      </c>
      <c r="I257" s="12">
        <f>DATA!M251</f>
        <v>0</v>
      </c>
    </row>
    <row r="258" spans="1:9" x14ac:dyDescent="0.3">
      <c r="A258">
        <v>3</v>
      </c>
      <c r="B258">
        <f>DATA!M258</f>
        <v>1</v>
      </c>
      <c r="H258" t="s">
        <v>22</v>
      </c>
      <c r="I258" s="12">
        <f>DATA!M254</f>
        <v>0</v>
      </c>
    </row>
    <row r="259" spans="1:9" x14ac:dyDescent="0.3">
      <c r="A259">
        <v>2</v>
      </c>
      <c r="B259">
        <f>DATA!M259</f>
        <v>1</v>
      </c>
      <c r="H259" t="s">
        <v>22</v>
      </c>
      <c r="I259" s="12">
        <f>DATA!M256</f>
        <v>0</v>
      </c>
    </row>
    <row r="260" spans="1:9" x14ac:dyDescent="0.3">
      <c r="A260">
        <v>3</v>
      </c>
      <c r="B260">
        <f>DATA!M260</f>
        <v>1</v>
      </c>
      <c r="H260" t="s">
        <v>22</v>
      </c>
      <c r="I260" s="12">
        <f>DATA!M259</f>
        <v>1</v>
      </c>
    </row>
    <row r="261" spans="1:9" x14ac:dyDescent="0.3">
      <c r="A261">
        <v>3</v>
      </c>
      <c r="B261">
        <f>DATA!M261</f>
        <v>0</v>
      </c>
      <c r="H261" t="s">
        <v>22</v>
      </c>
      <c r="I261" s="12">
        <f>DATA!M262</f>
        <v>1</v>
      </c>
    </row>
    <row r="262" spans="1:9" x14ac:dyDescent="0.3">
      <c r="A262">
        <v>2</v>
      </c>
      <c r="B262">
        <f>DATA!M262</f>
        <v>1</v>
      </c>
      <c r="H262" t="s">
        <v>22</v>
      </c>
      <c r="I262" s="12">
        <f>DATA!M263</f>
        <v>1</v>
      </c>
    </row>
    <row r="263" spans="1:9" x14ac:dyDescent="0.3">
      <c r="A263">
        <v>2</v>
      </c>
      <c r="B263">
        <f>DATA!M263</f>
        <v>1</v>
      </c>
      <c r="H263" t="s">
        <v>22</v>
      </c>
      <c r="I263" s="12">
        <f>DATA!M268</f>
        <v>0</v>
      </c>
    </row>
    <row r="264" spans="1:9" x14ac:dyDescent="0.3">
      <c r="A264">
        <v>1</v>
      </c>
      <c r="B264">
        <f>DATA!M264</f>
        <v>0</v>
      </c>
      <c r="H264" t="s">
        <v>22</v>
      </c>
      <c r="I264" s="12">
        <f>DATA!M269</f>
        <v>1</v>
      </c>
    </row>
    <row r="265" spans="1:9" x14ac:dyDescent="0.3">
      <c r="A265">
        <v>1</v>
      </c>
      <c r="B265">
        <f>DATA!M265</f>
        <v>1</v>
      </c>
      <c r="H265" t="s">
        <v>22</v>
      </c>
      <c r="I265" s="12">
        <f>DATA!M270</f>
        <v>1</v>
      </c>
    </row>
    <row r="266" spans="1:9" x14ac:dyDescent="0.3">
      <c r="A266">
        <v>3</v>
      </c>
      <c r="B266">
        <f>DATA!M266</f>
        <v>0</v>
      </c>
      <c r="H266" t="s">
        <v>22</v>
      </c>
      <c r="I266" s="12">
        <f>DATA!M288</f>
        <v>0</v>
      </c>
    </row>
    <row r="267" spans="1:9" x14ac:dyDescent="0.3">
      <c r="A267">
        <v>1</v>
      </c>
      <c r="B267">
        <f>DATA!M267</f>
        <v>1</v>
      </c>
      <c r="H267" t="s">
        <v>22</v>
      </c>
      <c r="I267" s="12">
        <f>DATA!M290</f>
        <v>0</v>
      </c>
    </row>
    <row r="268" spans="1:9" x14ac:dyDescent="0.3">
      <c r="A268">
        <v>2</v>
      </c>
      <c r="B268">
        <f>DATA!M268</f>
        <v>0</v>
      </c>
      <c r="H268" t="s">
        <v>22</v>
      </c>
      <c r="I268" s="12">
        <f>DATA!M299</f>
        <v>1</v>
      </c>
    </row>
    <row r="269" spans="1:9" x14ac:dyDescent="0.3">
      <c r="A269">
        <v>2</v>
      </c>
      <c r="B269">
        <f>DATA!M269</f>
        <v>1</v>
      </c>
      <c r="H269" t="s">
        <v>22</v>
      </c>
      <c r="I269" s="12">
        <f>DATA!M301</f>
        <v>0</v>
      </c>
    </row>
    <row r="270" spans="1:9" x14ac:dyDescent="0.3">
      <c r="A270">
        <v>2</v>
      </c>
      <c r="B270">
        <f>DATA!M270</f>
        <v>1</v>
      </c>
      <c r="H270" t="s">
        <v>22</v>
      </c>
      <c r="I270" s="12">
        <f>DATA!M303</f>
        <v>1</v>
      </c>
    </row>
    <row r="271" spans="1:9" x14ac:dyDescent="0.3">
      <c r="A271">
        <v>3</v>
      </c>
      <c r="B271">
        <f>DATA!M271</f>
        <v>1</v>
      </c>
      <c r="H271" t="s">
        <v>22</v>
      </c>
      <c r="I271" s="12">
        <f>DATA!M309</f>
        <v>0</v>
      </c>
    </row>
    <row r="272" spans="1:9" x14ac:dyDescent="0.3">
      <c r="A272">
        <v>1</v>
      </c>
      <c r="B272">
        <f>DATA!M272</f>
        <v>1</v>
      </c>
      <c r="H272" t="s">
        <v>22</v>
      </c>
      <c r="I272" s="12">
        <f>DATA!M314</f>
        <v>1</v>
      </c>
    </row>
    <row r="273" spans="1:9" x14ac:dyDescent="0.3">
      <c r="A273">
        <v>1</v>
      </c>
      <c r="B273">
        <f>DATA!M273</f>
        <v>1</v>
      </c>
      <c r="H273" t="s">
        <v>22</v>
      </c>
      <c r="I273" s="12">
        <f>DATA!M317</f>
        <v>0</v>
      </c>
    </row>
    <row r="274" spans="1:9" x14ac:dyDescent="0.3">
      <c r="A274">
        <v>1</v>
      </c>
      <c r="B274">
        <f>DATA!M274</f>
        <v>1</v>
      </c>
      <c r="H274" t="s">
        <v>22</v>
      </c>
      <c r="I274" s="12">
        <f>DATA!M319</f>
        <v>1</v>
      </c>
    </row>
    <row r="275" spans="1:9" x14ac:dyDescent="0.3">
      <c r="A275">
        <v>1</v>
      </c>
      <c r="B275">
        <f>DATA!M275</f>
        <v>0</v>
      </c>
      <c r="H275" t="s">
        <v>22</v>
      </c>
      <c r="I275" s="12">
        <f>DATA!M320</f>
        <v>1</v>
      </c>
    </row>
    <row r="276" spans="1:9" x14ac:dyDescent="0.3">
      <c r="A276">
        <v>1</v>
      </c>
      <c r="B276">
        <f>DATA!M276</f>
        <v>0</v>
      </c>
      <c r="H276" t="s">
        <v>22</v>
      </c>
      <c r="I276" s="12">
        <f>DATA!M321</f>
        <v>1</v>
      </c>
    </row>
    <row r="277" spans="1:9" x14ac:dyDescent="0.3">
      <c r="A277">
        <v>1</v>
      </c>
      <c r="B277">
        <f>DATA!M277</f>
        <v>0</v>
      </c>
      <c r="H277" t="s">
        <v>22</v>
      </c>
      <c r="I277" s="12">
        <f>DATA!M323</f>
        <v>1</v>
      </c>
    </row>
    <row r="278" spans="1:9" x14ac:dyDescent="0.3">
      <c r="A278">
        <v>1</v>
      </c>
      <c r="B278">
        <f>DATA!M278</f>
        <v>1</v>
      </c>
      <c r="H278" t="s">
        <v>22</v>
      </c>
      <c r="I278" s="12">
        <f>DATA!M331</f>
        <v>0</v>
      </c>
    </row>
    <row r="279" spans="1:9" x14ac:dyDescent="0.3">
      <c r="A279">
        <v>3</v>
      </c>
      <c r="B279">
        <f>DATA!M279</f>
        <v>1</v>
      </c>
      <c r="H279" t="s">
        <v>22</v>
      </c>
      <c r="I279" s="12">
        <f>DATA!M335</f>
        <v>1</v>
      </c>
    </row>
    <row r="280" spans="1:9" x14ac:dyDescent="0.3">
      <c r="A280">
        <v>1</v>
      </c>
      <c r="B280">
        <f>DATA!M280</f>
        <v>1</v>
      </c>
      <c r="H280" t="s">
        <v>22</v>
      </c>
      <c r="I280" s="12">
        <f>DATA!M336</f>
        <v>0</v>
      </c>
    </row>
    <row r="281" spans="1:9" x14ac:dyDescent="0.3">
      <c r="A281">
        <v>1</v>
      </c>
      <c r="B281">
        <f>DATA!M281</f>
        <v>1</v>
      </c>
      <c r="H281" t="s">
        <v>22</v>
      </c>
      <c r="I281" s="12">
        <f>DATA!M341</f>
        <v>1</v>
      </c>
    </row>
    <row r="282" spans="1:9" x14ac:dyDescent="0.3">
      <c r="A282">
        <v>1</v>
      </c>
      <c r="B282">
        <f>DATA!M282</f>
        <v>1</v>
      </c>
      <c r="H282" t="s">
        <v>22</v>
      </c>
      <c r="I282" s="12">
        <f>DATA!M343</f>
        <v>1</v>
      </c>
    </row>
    <row r="283" spans="1:9" x14ac:dyDescent="0.3">
      <c r="A283">
        <v>3</v>
      </c>
      <c r="B283">
        <f>DATA!M283</f>
        <v>1</v>
      </c>
      <c r="H283" t="s">
        <v>22</v>
      </c>
      <c r="I283" s="12">
        <f>DATA!M347</f>
        <v>0</v>
      </c>
    </row>
    <row r="284" spans="1:9" x14ac:dyDescent="0.3">
      <c r="A284">
        <v>1</v>
      </c>
      <c r="B284">
        <f>DATA!M284</f>
        <v>0</v>
      </c>
      <c r="H284" t="s">
        <v>22</v>
      </c>
      <c r="I284" s="12">
        <f>DATA!M350</f>
        <v>0</v>
      </c>
    </row>
    <row r="285" spans="1:9" x14ac:dyDescent="0.3">
      <c r="A285">
        <v>3</v>
      </c>
      <c r="B285">
        <f>DATA!M285</f>
        <v>1</v>
      </c>
      <c r="H285" t="s">
        <v>22</v>
      </c>
      <c r="I285" s="12">
        <f>DATA!M351</f>
        <v>0</v>
      </c>
    </row>
    <row r="286" spans="1:9" x14ac:dyDescent="0.3">
      <c r="A286">
        <v>3</v>
      </c>
      <c r="B286">
        <f>DATA!M286</f>
        <v>1</v>
      </c>
      <c r="H286" t="s">
        <v>22</v>
      </c>
      <c r="I286" s="12">
        <f>DATA!M353</f>
        <v>1</v>
      </c>
    </row>
    <row r="287" spans="1:9" x14ac:dyDescent="0.3">
      <c r="A287">
        <v>3</v>
      </c>
      <c r="B287">
        <f>DATA!M287</f>
        <v>1</v>
      </c>
      <c r="H287" t="s">
        <v>22</v>
      </c>
      <c r="I287" s="12">
        <f>DATA!M355</f>
        <v>1</v>
      </c>
    </row>
    <row r="288" spans="1:9" x14ac:dyDescent="0.3">
      <c r="A288">
        <v>2</v>
      </c>
      <c r="B288">
        <f>DATA!M288</f>
        <v>0</v>
      </c>
      <c r="H288" t="s">
        <v>22</v>
      </c>
      <c r="I288" s="12">
        <f>DATA!M359</f>
        <v>0</v>
      </c>
    </row>
    <row r="289" spans="1:9" x14ac:dyDescent="0.3">
      <c r="A289">
        <v>1</v>
      </c>
      <c r="B289">
        <f>DATA!M289</f>
        <v>1</v>
      </c>
      <c r="H289" t="s">
        <v>22</v>
      </c>
      <c r="I289" s="12">
        <f>DATA!M365</f>
        <v>1</v>
      </c>
    </row>
    <row r="290" spans="1:9" x14ac:dyDescent="0.3">
      <c r="A290">
        <v>2</v>
      </c>
      <c r="B290">
        <f>DATA!M290</f>
        <v>0</v>
      </c>
      <c r="H290" t="s">
        <v>22</v>
      </c>
      <c r="I290" s="12">
        <f>DATA!M366</f>
        <v>0</v>
      </c>
    </row>
    <row r="291" spans="1:9" x14ac:dyDescent="0.3">
      <c r="A291">
        <v>1</v>
      </c>
      <c r="B291">
        <f>DATA!M291</f>
        <v>0</v>
      </c>
      <c r="H291" t="s">
        <v>22</v>
      </c>
      <c r="I291" s="12">
        <f>DATA!M368</f>
        <v>1</v>
      </c>
    </row>
    <row r="292" spans="1:9" x14ac:dyDescent="0.3">
      <c r="A292">
        <v>3</v>
      </c>
      <c r="B292">
        <f>DATA!M292</f>
        <v>0</v>
      </c>
      <c r="H292" t="s">
        <v>22</v>
      </c>
      <c r="I292" s="12">
        <f>DATA!M370</f>
        <v>1</v>
      </c>
    </row>
    <row r="293" spans="1:9" x14ac:dyDescent="0.3">
      <c r="A293">
        <v>3</v>
      </c>
      <c r="B293">
        <f>DATA!M293</f>
        <v>1</v>
      </c>
      <c r="H293" t="s">
        <v>22</v>
      </c>
      <c r="I293" s="12">
        <f>DATA!M371</f>
        <v>0</v>
      </c>
    </row>
    <row r="294" spans="1:9" x14ac:dyDescent="0.3">
      <c r="A294">
        <v>1</v>
      </c>
      <c r="B294">
        <f>DATA!M294</f>
        <v>0</v>
      </c>
      <c r="H294" t="s">
        <v>22</v>
      </c>
      <c r="I294" s="12">
        <f>DATA!M378</f>
        <v>0</v>
      </c>
    </row>
    <row r="295" spans="1:9" x14ac:dyDescent="0.3">
      <c r="A295">
        <v>1</v>
      </c>
      <c r="B295">
        <f>DATA!M295</f>
        <v>1</v>
      </c>
      <c r="H295" t="s">
        <v>22</v>
      </c>
      <c r="I295" s="12">
        <f>DATA!M380</f>
        <v>1</v>
      </c>
    </row>
    <row r="296" spans="1:9" x14ac:dyDescent="0.3">
      <c r="A296">
        <v>3</v>
      </c>
      <c r="B296">
        <f>DATA!M296</f>
        <v>0</v>
      </c>
      <c r="H296" t="s">
        <v>22</v>
      </c>
      <c r="I296" s="12">
        <f>DATA!M384</f>
        <v>1</v>
      </c>
    </row>
    <row r="297" spans="1:9" x14ac:dyDescent="0.3">
      <c r="A297">
        <v>1</v>
      </c>
      <c r="B297">
        <f>DATA!M297</f>
        <v>0</v>
      </c>
      <c r="H297" t="s">
        <v>22</v>
      </c>
      <c r="I297" s="12">
        <f>DATA!M385</f>
        <v>0</v>
      </c>
    </row>
    <row r="298" spans="1:9" x14ac:dyDescent="0.3">
      <c r="A298">
        <v>1</v>
      </c>
      <c r="B298">
        <f>DATA!M298</f>
        <v>1</v>
      </c>
      <c r="H298" t="s">
        <v>22</v>
      </c>
      <c r="I298" s="12">
        <f>DATA!M386</f>
        <v>0</v>
      </c>
    </row>
    <row r="299" spans="1:9" x14ac:dyDescent="0.3">
      <c r="A299">
        <v>2</v>
      </c>
      <c r="B299">
        <f>DATA!M299</f>
        <v>1</v>
      </c>
      <c r="H299" t="s">
        <v>22</v>
      </c>
      <c r="I299" s="12">
        <f>DATA!M394</f>
        <v>0</v>
      </c>
    </row>
    <row r="300" spans="1:9" x14ac:dyDescent="0.3">
      <c r="A300">
        <v>3</v>
      </c>
      <c r="B300">
        <f>DATA!M300</f>
        <v>1</v>
      </c>
      <c r="H300" t="s">
        <v>22</v>
      </c>
      <c r="I300" s="12">
        <f>DATA!M398</f>
        <v>1</v>
      </c>
    </row>
    <row r="301" spans="1:9" x14ac:dyDescent="0.3">
      <c r="A301">
        <v>2</v>
      </c>
      <c r="B301">
        <f>DATA!M301</f>
        <v>0</v>
      </c>
      <c r="H301" t="s">
        <v>22</v>
      </c>
      <c r="I301" s="12">
        <f>DATA!M399</f>
        <v>0</v>
      </c>
    </row>
    <row r="302" spans="1:9" x14ac:dyDescent="0.3">
      <c r="A302">
        <v>3</v>
      </c>
      <c r="B302">
        <f>DATA!M302</f>
        <v>1</v>
      </c>
      <c r="H302" t="s">
        <v>22</v>
      </c>
      <c r="I302" s="12">
        <f>DATA!M400</f>
        <v>1</v>
      </c>
    </row>
    <row r="303" spans="1:9" x14ac:dyDescent="0.3">
      <c r="A303">
        <v>2</v>
      </c>
      <c r="B303">
        <f>DATA!M303</f>
        <v>1</v>
      </c>
      <c r="H303" t="s">
        <v>22</v>
      </c>
      <c r="I303" s="12">
        <f>DATA!M402</f>
        <v>0</v>
      </c>
    </row>
    <row r="304" spans="1:9" x14ac:dyDescent="0.3">
      <c r="A304">
        <v>1</v>
      </c>
      <c r="B304">
        <f>DATA!M304</f>
        <v>0</v>
      </c>
      <c r="H304" t="s">
        <v>22</v>
      </c>
      <c r="I304" s="12">
        <f>DATA!M405</f>
        <v>1</v>
      </c>
    </row>
    <row r="305" spans="1:9" x14ac:dyDescent="0.3">
      <c r="A305">
        <v>1</v>
      </c>
      <c r="B305">
        <f>DATA!M305</f>
        <v>1</v>
      </c>
      <c r="H305" t="s">
        <v>22</v>
      </c>
      <c r="I305" s="12">
        <f>DATA!M407</f>
        <v>1</v>
      </c>
    </row>
    <row r="306" spans="1:9" x14ac:dyDescent="0.3">
      <c r="A306">
        <v>3</v>
      </c>
      <c r="B306">
        <f>DATA!M306</f>
        <v>0</v>
      </c>
      <c r="H306" t="s">
        <v>22</v>
      </c>
      <c r="I306" s="12">
        <f>DATA!M410</f>
        <v>1</v>
      </c>
    </row>
    <row r="307" spans="1:9" x14ac:dyDescent="0.3">
      <c r="A307">
        <v>3</v>
      </c>
      <c r="B307">
        <f>DATA!M307</f>
        <v>0</v>
      </c>
      <c r="H307" t="s">
        <v>22</v>
      </c>
      <c r="I307" s="12">
        <f>DATA!M414</f>
        <v>0</v>
      </c>
    </row>
    <row r="308" spans="1:9" x14ac:dyDescent="0.3">
      <c r="A308">
        <v>3</v>
      </c>
      <c r="B308">
        <f>DATA!M308</f>
        <v>1</v>
      </c>
      <c r="H308" t="s">
        <v>22</v>
      </c>
      <c r="I308" s="12">
        <f>DATA!M421</f>
        <v>0</v>
      </c>
    </row>
    <row r="309" spans="1:9" x14ac:dyDescent="0.3">
      <c r="A309">
        <v>2</v>
      </c>
      <c r="B309">
        <f>DATA!M309</f>
        <v>0</v>
      </c>
      <c r="H309" t="s">
        <v>22</v>
      </c>
      <c r="I309" s="12">
        <f>DATA!M424</f>
        <v>1</v>
      </c>
    </row>
    <row r="310" spans="1:9" x14ac:dyDescent="0.3">
      <c r="A310">
        <v>3</v>
      </c>
      <c r="B310">
        <f>DATA!M310</f>
        <v>1</v>
      </c>
      <c r="H310" t="s">
        <v>22</v>
      </c>
      <c r="I310" s="12">
        <f>DATA!M427</f>
        <v>1</v>
      </c>
    </row>
    <row r="311" spans="1:9" x14ac:dyDescent="0.3">
      <c r="A311">
        <v>1</v>
      </c>
      <c r="B311">
        <f>DATA!M311</f>
        <v>1</v>
      </c>
      <c r="H311" t="s">
        <v>22</v>
      </c>
      <c r="I311" s="12">
        <f>DATA!M430</f>
        <v>1</v>
      </c>
    </row>
    <row r="312" spans="1:9" x14ac:dyDescent="0.3">
      <c r="A312">
        <v>3</v>
      </c>
      <c r="B312">
        <f>DATA!M312</f>
        <v>0</v>
      </c>
      <c r="H312" t="s">
        <v>22</v>
      </c>
      <c r="I312" s="12">
        <f>DATA!M432</f>
        <v>0</v>
      </c>
    </row>
    <row r="313" spans="1:9" x14ac:dyDescent="0.3">
      <c r="A313">
        <v>1</v>
      </c>
      <c r="B313">
        <f>DATA!M313</f>
        <v>1</v>
      </c>
      <c r="H313" t="s">
        <v>22</v>
      </c>
      <c r="I313" s="12">
        <f>DATA!M435</f>
        <v>1</v>
      </c>
    </row>
    <row r="314" spans="1:9" x14ac:dyDescent="0.3">
      <c r="A314">
        <v>2</v>
      </c>
      <c r="B314">
        <f>DATA!M314</f>
        <v>1</v>
      </c>
      <c r="H314" t="s">
        <v>22</v>
      </c>
      <c r="I314" s="12">
        <f>DATA!M437</f>
        <v>1</v>
      </c>
    </row>
    <row r="315" spans="1:9" x14ac:dyDescent="0.3">
      <c r="A315">
        <v>1</v>
      </c>
      <c r="B315">
        <f>DATA!M315</f>
        <v>1</v>
      </c>
      <c r="H315" t="s">
        <v>22</v>
      </c>
      <c r="I315" s="12">
        <f>DATA!M441</f>
        <v>1</v>
      </c>
    </row>
    <row r="316" spans="1:9" x14ac:dyDescent="0.3">
      <c r="A316">
        <v>1</v>
      </c>
      <c r="B316">
        <f>DATA!M316</f>
        <v>0</v>
      </c>
      <c r="H316" t="s">
        <v>22</v>
      </c>
      <c r="I316" s="12">
        <f>DATA!M446</f>
        <v>1</v>
      </c>
    </row>
    <row r="317" spans="1:9" x14ac:dyDescent="0.3">
      <c r="A317">
        <v>2</v>
      </c>
      <c r="B317">
        <f>DATA!M317</f>
        <v>0</v>
      </c>
      <c r="H317" t="s">
        <v>22</v>
      </c>
      <c r="I317" s="12">
        <f>DATA!M454</f>
        <v>1</v>
      </c>
    </row>
    <row r="318" spans="1:9" x14ac:dyDescent="0.3">
      <c r="A318">
        <v>1</v>
      </c>
      <c r="B318">
        <f>DATA!M318</f>
        <v>1</v>
      </c>
      <c r="H318" t="s">
        <v>22</v>
      </c>
      <c r="I318" s="12">
        <f>DATA!M456</f>
        <v>0</v>
      </c>
    </row>
    <row r="319" spans="1:9" x14ac:dyDescent="0.3">
      <c r="A319">
        <v>2</v>
      </c>
      <c r="B319">
        <f>DATA!M319</f>
        <v>1</v>
      </c>
      <c r="H319" t="s">
        <v>22</v>
      </c>
      <c r="I319" s="12">
        <f>DATA!M467</f>
        <v>0</v>
      </c>
    </row>
    <row r="320" spans="1:9" x14ac:dyDescent="0.3">
      <c r="A320">
        <v>2</v>
      </c>
      <c r="B320">
        <f>DATA!M320</f>
        <v>1</v>
      </c>
      <c r="H320" t="s">
        <v>22</v>
      </c>
      <c r="I320" s="12">
        <f>DATA!M469</f>
        <v>1</v>
      </c>
    </row>
    <row r="321" spans="1:9" x14ac:dyDescent="0.3">
      <c r="A321">
        <v>2</v>
      </c>
      <c r="B321">
        <f>DATA!M321</f>
        <v>1</v>
      </c>
      <c r="H321" t="s">
        <v>22</v>
      </c>
      <c r="I321" s="12">
        <f>DATA!M474</f>
        <v>0</v>
      </c>
    </row>
    <row r="322" spans="1:9" x14ac:dyDescent="0.3">
      <c r="A322">
        <v>1</v>
      </c>
      <c r="B322">
        <f>DATA!M322</f>
        <v>0</v>
      </c>
      <c r="H322" t="s">
        <v>22</v>
      </c>
      <c r="I322" s="12">
        <f>DATA!M477</f>
        <v>0</v>
      </c>
    </row>
    <row r="323" spans="1:9" x14ac:dyDescent="0.3">
      <c r="A323">
        <v>2</v>
      </c>
      <c r="B323">
        <f>DATA!M323</f>
        <v>1</v>
      </c>
      <c r="H323" t="s">
        <v>22</v>
      </c>
      <c r="I323" s="12">
        <f>DATA!M482</f>
        <v>0</v>
      </c>
    </row>
    <row r="324" spans="1:9" x14ac:dyDescent="0.3">
      <c r="A324">
        <v>3</v>
      </c>
      <c r="B324">
        <f>DATA!M324</f>
        <v>1</v>
      </c>
      <c r="H324" t="s">
        <v>22</v>
      </c>
      <c r="I324" s="12">
        <f>DATA!M486</f>
        <v>1</v>
      </c>
    </row>
    <row r="325" spans="1:9" x14ac:dyDescent="0.3">
      <c r="A325">
        <v>1</v>
      </c>
      <c r="B325">
        <f>DATA!M325</f>
        <v>0</v>
      </c>
      <c r="H325" t="s">
        <v>22</v>
      </c>
      <c r="I325" s="12">
        <f>DATA!M491</f>
        <v>0</v>
      </c>
    </row>
    <row r="326" spans="1:9" x14ac:dyDescent="0.3">
      <c r="A326">
        <v>1</v>
      </c>
      <c r="B326">
        <f>DATA!M326</f>
        <v>1</v>
      </c>
      <c r="H326" t="s">
        <v>22</v>
      </c>
      <c r="I326" s="12">
        <f>DATA!M494</f>
        <v>0</v>
      </c>
    </row>
    <row r="327" spans="1:9" x14ac:dyDescent="0.3">
      <c r="A327">
        <v>3</v>
      </c>
      <c r="B327">
        <f>DATA!M327</f>
        <v>1</v>
      </c>
      <c r="H327" t="s">
        <v>22</v>
      </c>
      <c r="I327" s="12">
        <f>DATA!M495</f>
        <v>0</v>
      </c>
    </row>
    <row r="328" spans="1:9" x14ac:dyDescent="0.3">
      <c r="A328">
        <v>3</v>
      </c>
      <c r="B328">
        <f>DATA!M328</f>
        <v>1</v>
      </c>
      <c r="H328" t="s">
        <v>22</v>
      </c>
      <c r="I328" s="12">
        <f>DATA!M496</f>
        <v>1</v>
      </c>
    </row>
    <row r="329" spans="1:9" x14ac:dyDescent="0.3">
      <c r="A329">
        <v>3</v>
      </c>
      <c r="B329">
        <f>DATA!M329</f>
        <v>0</v>
      </c>
      <c r="H329" t="s">
        <v>22</v>
      </c>
      <c r="I329" s="12">
        <f>DATA!M500</f>
        <v>1</v>
      </c>
    </row>
    <row r="330" spans="1:9" x14ac:dyDescent="0.3">
      <c r="A330">
        <v>3</v>
      </c>
      <c r="B330">
        <f>DATA!M330</f>
        <v>0</v>
      </c>
      <c r="H330" t="s">
        <v>23</v>
      </c>
      <c r="I330" s="12">
        <f>DATA!M3</f>
        <v>0</v>
      </c>
    </row>
    <row r="331" spans="1:9" x14ac:dyDescent="0.3">
      <c r="A331">
        <v>2</v>
      </c>
      <c r="B331">
        <f>DATA!M331</f>
        <v>0</v>
      </c>
      <c r="H331" t="s">
        <v>23</v>
      </c>
      <c r="I331" s="12">
        <f>DATA!M6</f>
        <v>0</v>
      </c>
    </row>
    <row r="332" spans="1:9" x14ac:dyDescent="0.3">
      <c r="A332">
        <v>1</v>
      </c>
      <c r="B332">
        <f>DATA!M332</f>
        <v>1</v>
      </c>
      <c r="H332" t="s">
        <v>23</v>
      </c>
      <c r="I332" s="12">
        <f>DATA!M7</f>
        <v>0</v>
      </c>
    </row>
    <row r="333" spans="1:9" x14ac:dyDescent="0.3">
      <c r="A333">
        <v>1</v>
      </c>
      <c r="B333">
        <f>DATA!M333</f>
        <v>0</v>
      </c>
      <c r="H333" t="s">
        <v>23</v>
      </c>
      <c r="I333" s="12">
        <f>DATA!M14</f>
        <v>0</v>
      </c>
    </row>
    <row r="334" spans="1:9" x14ac:dyDescent="0.3">
      <c r="A334">
        <v>3</v>
      </c>
      <c r="B334">
        <f>DATA!M334</f>
        <v>1</v>
      </c>
      <c r="H334" t="s">
        <v>23</v>
      </c>
      <c r="I334" s="12">
        <f>DATA!M19</f>
        <v>0</v>
      </c>
    </row>
    <row r="335" spans="1:9" x14ac:dyDescent="0.3">
      <c r="A335">
        <v>2</v>
      </c>
      <c r="B335">
        <f>DATA!M335</f>
        <v>1</v>
      </c>
      <c r="H335" t="s">
        <v>23</v>
      </c>
      <c r="I335" s="12">
        <f>DATA!M23</f>
        <v>0</v>
      </c>
    </row>
    <row r="336" spans="1:9" x14ac:dyDescent="0.3">
      <c r="A336">
        <v>2</v>
      </c>
      <c r="B336">
        <f>DATA!M336</f>
        <v>0</v>
      </c>
      <c r="H336" t="s">
        <v>23</v>
      </c>
      <c r="I336" s="12">
        <f>DATA!M24</f>
        <v>1</v>
      </c>
    </row>
    <row r="337" spans="1:9" x14ac:dyDescent="0.3">
      <c r="A337">
        <v>3</v>
      </c>
      <c r="B337">
        <f>DATA!M337</f>
        <v>1</v>
      </c>
      <c r="H337" t="s">
        <v>23</v>
      </c>
      <c r="I337" s="12">
        <f>DATA!M26</f>
        <v>0</v>
      </c>
    </row>
    <row r="338" spans="1:9" x14ac:dyDescent="0.3">
      <c r="A338">
        <v>3</v>
      </c>
      <c r="B338">
        <f>DATA!M338</f>
        <v>1</v>
      </c>
      <c r="H338" t="s">
        <v>23</v>
      </c>
      <c r="I338" s="12">
        <f>DATA!M27</f>
        <v>0</v>
      </c>
    </row>
    <row r="339" spans="1:9" x14ac:dyDescent="0.3">
      <c r="A339">
        <v>3</v>
      </c>
      <c r="B339">
        <f>DATA!M339</f>
        <v>1</v>
      </c>
      <c r="H339" t="s">
        <v>23</v>
      </c>
      <c r="I339" s="12">
        <f>DATA!M30</f>
        <v>1</v>
      </c>
    </row>
    <row r="340" spans="1:9" x14ac:dyDescent="0.3">
      <c r="A340">
        <v>3</v>
      </c>
      <c r="B340">
        <f>DATA!M340</f>
        <v>1</v>
      </c>
      <c r="H340" t="s">
        <v>23</v>
      </c>
      <c r="I340" s="12">
        <f>DATA!M33</f>
        <v>1</v>
      </c>
    </row>
    <row r="341" spans="1:9" x14ac:dyDescent="0.3">
      <c r="A341">
        <v>2</v>
      </c>
      <c r="B341">
        <f>DATA!M341</f>
        <v>1</v>
      </c>
      <c r="H341" t="s">
        <v>23</v>
      </c>
      <c r="I341" s="12">
        <f>DATA!M35</f>
        <v>0</v>
      </c>
    </row>
    <row r="342" spans="1:9" x14ac:dyDescent="0.3">
      <c r="A342">
        <v>1</v>
      </c>
      <c r="B342">
        <f>DATA!M342</f>
        <v>0</v>
      </c>
      <c r="H342" t="s">
        <v>23</v>
      </c>
      <c r="I342" s="12">
        <f>DATA!M39</f>
        <v>0</v>
      </c>
    </row>
    <row r="343" spans="1:9" x14ac:dyDescent="0.3">
      <c r="A343">
        <v>2</v>
      </c>
      <c r="B343">
        <f>DATA!M343</f>
        <v>1</v>
      </c>
      <c r="H343" t="s">
        <v>23</v>
      </c>
      <c r="I343" s="12">
        <f>DATA!M40</f>
        <v>1</v>
      </c>
    </row>
    <row r="344" spans="1:9" x14ac:dyDescent="0.3">
      <c r="A344">
        <v>1</v>
      </c>
      <c r="B344">
        <f>DATA!M344</f>
        <v>1</v>
      </c>
      <c r="H344" t="s">
        <v>23</v>
      </c>
      <c r="I344" s="12">
        <f>DATA!M42</f>
        <v>1</v>
      </c>
    </row>
    <row r="345" spans="1:9" x14ac:dyDescent="0.3">
      <c r="A345">
        <v>1</v>
      </c>
      <c r="B345">
        <f>DATA!M345</f>
        <v>1</v>
      </c>
      <c r="H345" t="s">
        <v>23</v>
      </c>
      <c r="I345" s="12">
        <f>DATA!M46</f>
        <v>0</v>
      </c>
    </row>
    <row r="346" spans="1:9" x14ac:dyDescent="0.3">
      <c r="A346">
        <v>1</v>
      </c>
      <c r="B346">
        <f>DATA!M346</f>
        <v>0</v>
      </c>
      <c r="H346" t="s">
        <v>23</v>
      </c>
      <c r="I346" s="12">
        <f>DATA!M50</f>
        <v>1</v>
      </c>
    </row>
    <row r="347" spans="1:9" x14ac:dyDescent="0.3">
      <c r="A347">
        <v>2</v>
      </c>
      <c r="B347">
        <f>DATA!M347</f>
        <v>0</v>
      </c>
      <c r="H347" t="s">
        <v>23</v>
      </c>
      <c r="I347" s="12">
        <f>DATA!M51</f>
        <v>0</v>
      </c>
    </row>
    <row r="348" spans="1:9" x14ac:dyDescent="0.3">
      <c r="A348">
        <v>3</v>
      </c>
      <c r="B348">
        <f>DATA!M348</f>
        <v>0</v>
      </c>
      <c r="H348" t="s">
        <v>23</v>
      </c>
      <c r="I348" s="12">
        <f>DATA!M52</f>
        <v>1</v>
      </c>
    </row>
    <row r="349" spans="1:9" x14ac:dyDescent="0.3">
      <c r="A349">
        <v>3</v>
      </c>
      <c r="B349">
        <f>DATA!M349</f>
        <v>0</v>
      </c>
      <c r="H349" t="s">
        <v>23</v>
      </c>
      <c r="I349" s="12">
        <f>DATA!M53</f>
        <v>0</v>
      </c>
    </row>
    <row r="350" spans="1:9" x14ac:dyDescent="0.3">
      <c r="A350">
        <v>2</v>
      </c>
      <c r="B350">
        <f>DATA!M350</f>
        <v>0</v>
      </c>
      <c r="H350" t="s">
        <v>23</v>
      </c>
      <c r="I350" s="12">
        <f>DATA!M55</f>
        <v>1</v>
      </c>
    </row>
    <row r="351" spans="1:9" x14ac:dyDescent="0.3">
      <c r="A351">
        <v>2</v>
      </c>
      <c r="B351">
        <f>DATA!M351</f>
        <v>0</v>
      </c>
      <c r="H351" t="s">
        <v>23</v>
      </c>
      <c r="I351" s="12">
        <f>DATA!M60</f>
        <v>0</v>
      </c>
    </row>
    <row r="352" spans="1:9" x14ac:dyDescent="0.3">
      <c r="A352">
        <v>1</v>
      </c>
      <c r="B352">
        <f>DATA!M352</f>
        <v>1</v>
      </c>
      <c r="H352" t="s">
        <v>23</v>
      </c>
      <c r="I352" s="12">
        <f>DATA!M63</f>
        <v>1</v>
      </c>
    </row>
    <row r="353" spans="1:9" x14ac:dyDescent="0.3">
      <c r="A353">
        <v>2</v>
      </c>
      <c r="B353">
        <f>DATA!M353</f>
        <v>1</v>
      </c>
      <c r="H353" t="s">
        <v>23</v>
      </c>
      <c r="I353" s="12">
        <f>DATA!M64</f>
        <v>1</v>
      </c>
    </row>
    <row r="354" spans="1:9" x14ac:dyDescent="0.3">
      <c r="A354">
        <v>1</v>
      </c>
      <c r="B354">
        <f>DATA!M354</f>
        <v>0</v>
      </c>
      <c r="H354" t="s">
        <v>23</v>
      </c>
      <c r="I354" s="12">
        <f>DATA!M65</f>
        <v>0</v>
      </c>
    </row>
    <row r="355" spans="1:9" x14ac:dyDescent="0.3">
      <c r="A355">
        <v>2</v>
      </c>
      <c r="B355">
        <f>DATA!M355</f>
        <v>1</v>
      </c>
      <c r="H355" t="s">
        <v>23</v>
      </c>
      <c r="I355" s="12">
        <f>DATA!M66</f>
        <v>1</v>
      </c>
    </row>
    <row r="356" spans="1:9" x14ac:dyDescent="0.3">
      <c r="A356">
        <v>3</v>
      </c>
      <c r="B356">
        <f>DATA!M356</f>
        <v>1</v>
      </c>
      <c r="H356" t="s">
        <v>23</v>
      </c>
      <c r="I356" s="12">
        <f>DATA!M68</f>
        <v>1</v>
      </c>
    </row>
    <row r="357" spans="1:9" x14ac:dyDescent="0.3">
      <c r="A357">
        <v>3</v>
      </c>
      <c r="B357">
        <f>DATA!M357</f>
        <v>1</v>
      </c>
      <c r="H357" t="s">
        <v>23</v>
      </c>
      <c r="I357" s="12">
        <f>DATA!M76</f>
        <v>0</v>
      </c>
    </row>
    <row r="358" spans="1:9" x14ac:dyDescent="0.3">
      <c r="A358">
        <v>3</v>
      </c>
      <c r="B358">
        <f>DATA!M358</f>
        <v>1</v>
      </c>
      <c r="H358" t="s">
        <v>23</v>
      </c>
      <c r="I358" s="12">
        <f>DATA!M78</f>
        <v>0</v>
      </c>
    </row>
    <row r="359" spans="1:9" x14ac:dyDescent="0.3">
      <c r="A359">
        <v>2</v>
      </c>
      <c r="B359">
        <f>DATA!M359</f>
        <v>0</v>
      </c>
      <c r="H359" t="s">
        <v>23</v>
      </c>
      <c r="I359" s="12">
        <f>DATA!M79</f>
        <v>0</v>
      </c>
    </row>
    <row r="360" spans="1:9" x14ac:dyDescent="0.3">
      <c r="A360">
        <v>1</v>
      </c>
      <c r="B360">
        <f>DATA!M360</f>
        <v>1</v>
      </c>
      <c r="H360" t="s">
        <v>23</v>
      </c>
      <c r="I360" s="12">
        <f>DATA!M84</f>
        <v>1</v>
      </c>
    </row>
    <row r="361" spans="1:9" x14ac:dyDescent="0.3">
      <c r="A361">
        <v>3</v>
      </c>
      <c r="B361">
        <f>DATA!M361</f>
        <v>0</v>
      </c>
      <c r="H361" t="s">
        <v>23</v>
      </c>
      <c r="I361" s="12">
        <f>DATA!M85</f>
        <v>0</v>
      </c>
    </row>
    <row r="362" spans="1:9" x14ac:dyDescent="0.3">
      <c r="A362">
        <v>1</v>
      </c>
      <c r="B362">
        <f>DATA!M362</f>
        <v>0</v>
      </c>
      <c r="H362" t="s">
        <v>23</v>
      </c>
      <c r="I362" s="12">
        <f>DATA!M86</f>
        <v>0</v>
      </c>
    </row>
    <row r="363" spans="1:9" x14ac:dyDescent="0.3">
      <c r="A363">
        <v>3</v>
      </c>
      <c r="B363">
        <f>DATA!M363</f>
        <v>1</v>
      </c>
      <c r="H363" t="s">
        <v>23</v>
      </c>
      <c r="I363" s="12">
        <f>DATA!M87</f>
        <v>1</v>
      </c>
    </row>
    <row r="364" spans="1:9" x14ac:dyDescent="0.3">
      <c r="A364">
        <v>1</v>
      </c>
      <c r="B364">
        <f>DATA!M364</f>
        <v>0</v>
      </c>
      <c r="H364" t="s">
        <v>23</v>
      </c>
      <c r="I364" s="12">
        <f>DATA!M93</f>
        <v>1</v>
      </c>
    </row>
    <row r="365" spans="1:9" x14ac:dyDescent="0.3">
      <c r="A365">
        <v>2</v>
      </c>
      <c r="B365">
        <f>DATA!M365</f>
        <v>1</v>
      </c>
      <c r="H365" t="s">
        <v>23</v>
      </c>
      <c r="I365" s="12">
        <f>DATA!M95</f>
        <v>0</v>
      </c>
    </row>
    <row r="366" spans="1:9" x14ac:dyDescent="0.3">
      <c r="A366">
        <v>2</v>
      </c>
      <c r="B366">
        <f>DATA!M366</f>
        <v>0</v>
      </c>
      <c r="H366" t="s">
        <v>23</v>
      </c>
      <c r="I366" s="12">
        <f>DATA!M96</f>
        <v>1</v>
      </c>
    </row>
    <row r="367" spans="1:9" x14ac:dyDescent="0.3">
      <c r="A367">
        <v>1</v>
      </c>
      <c r="B367">
        <f>DATA!M367</f>
        <v>1</v>
      </c>
      <c r="H367" t="s">
        <v>23</v>
      </c>
      <c r="I367" s="12">
        <f>DATA!M100</f>
        <v>1</v>
      </c>
    </row>
    <row r="368" spans="1:9" x14ac:dyDescent="0.3">
      <c r="A368">
        <v>2</v>
      </c>
      <c r="B368">
        <f>DATA!M368</f>
        <v>1</v>
      </c>
      <c r="H368" t="s">
        <v>23</v>
      </c>
      <c r="I368" s="12">
        <f>DATA!M102</f>
        <v>0</v>
      </c>
    </row>
    <row r="369" spans="1:9" x14ac:dyDescent="0.3">
      <c r="A369">
        <v>1</v>
      </c>
      <c r="B369">
        <f>DATA!M369</f>
        <v>0</v>
      </c>
      <c r="H369" t="s">
        <v>23</v>
      </c>
      <c r="I369" s="12">
        <f>DATA!M103</f>
        <v>0</v>
      </c>
    </row>
    <row r="370" spans="1:9" x14ac:dyDescent="0.3">
      <c r="A370">
        <v>2</v>
      </c>
      <c r="B370">
        <f>DATA!M370</f>
        <v>1</v>
      </c>
      <c r="H370" t="s">
        <v>23</v>
      </c>
      <c r="I370" s="12">
        <f>DATA!M105</f>
        <v>1</v>
      </c>
    </row>
    <row r="371" spans="1:9" x14ac:dyDescent="0.3">
      <c r="A371">
        <v>2</v>
      </c>
      <c r="B371">
        <f>DATA!M371</f>
        <v>0</v>
      </c>
      <c r="H371" t="s">
        <v>23</v>
      </c>
      <c r="I371" s="12">
        <f>DATA!M108</f>
        <v>0</v>
      </c>
    </row>
    <row r="372" spans="1:9" x14ac:dyDescent="0.3">
      <c r="A372">
        <v>1</v>
      </c>
      <c r="B372">
        <f>DATA!M372</f>
        <v>1</v>
      </c>
      <c r="H372" t="s">
        <v>23</v>
      </c>
      <c r="I372" s="12">
        <f>DATA!M110</f>
        <v>0</v>
      </c>
    </row>
    <row r="373" spans="1:9" x14ac:dyDescent="0.3">
      <c r="A373">
        <v>3</v>
      </c>
      <c r="B373">
        <f>DATA!M373</f>
        <v>0</v>
      </c>
      <c r="H373" t="s">
        <v>23</v>
      </c>
      <c r="I373" s="12">
        <f>DATA!M113</f>
        <v>0</v>
      </c>
    </row>
    <row r="374" spans="1:9" x14ac:dyDescent="0.3">
      <c r="A374">
        <v>3</v>
      </c>
      <c r="B374">
        <f>DATA!M374</f>
        <v>0</v>
      </c>
      <c r="H374" t="s">
        <v>23</v>
      </c>
      <c r="I374" s="12">
        <f>DATA!M115</f>
        <v>0</v>
      </c>
    </row>
    <row r="375" spans="1:9" x14ac:dyDescent="0.3">
      <c r="A375">
        <v>3</v>
      </c>
      <c r="B375">
        <f>DATA!M375</f>
        <v>0</v>
      </c>
      <c r="H375" t="s">
        <v>23</v>
      </c>
      <c r="I375" s="12">
        <f>DATA!M119</f>
        <v>0</v>
      </c>
    </row>
    <row r="376" spans="1:9" x14ac:dyDescent="0.3">
      <c r="A376">
        <v>1</v>
      </c>
      <c r="B376">
        <f>DATA!M376</f>
        <v>0</v>
      </c>
      <c r="H376" t="s">
        <v>23</v>
      </c>
      <c r="I376" s="12">
        <f>DATA!M120</f>
        <v>0</v>
      </c>
    </row>
    <row r="377" spans="1:9" x14ac:dyDescent="0.3">
      <c r="A377">
        <v>3</v>
      </c>
      <c r="B377">
        <f>DATA!M377</f>
        <v>1</v>
      </c>
      <c r="H377" t="s">
        <v>23</v>
      </c>
      <c r="I377" s="12">
        <f>DATA!M123</f>
        <v>0</v>
      </c>
    </row>
    <row r="378" spans="1:9" x14ac:dyDescent="0.3">
      <c r="A378">
        <v>2</v>
      </c>
      <c r="B378">
        <f>DATA!M378</f>
        <v>0</v>
      </c>
      <c r="H378" t="s">
        <v>23</v>
      </c>
      <c r="I378" s="12">
        <f>DATA!M126</f>
        <v>0</v>
      </c>
    </row>
    <row r="379" spans="1:9" x14ac:dyDescent="0.3">
      <c r="A379">
        <v>3</v>
      </c>
      <c r="B379">
        <f>DATA!M379</f>
        <v>0</v>
      </c>
      <c r="H379" t="s">
        <v>23</v>
      </c>
      <c r="I379" s="12">
        <f>DATA!M128</f>
        <v>1</v>
      </c>
    </row>
    <row r="380" spans="1:9" x14ac:dyDescent="0.3">
      <c r="A380">
        <v>2</v>
      </c>
      <c r="B380">
        <f>DATA!M380</f>
        <v>1</v>
      </c>
      <c r="H380" t="s">
        <v>23</v>
      </c>
      <c r="I380" s="12">
        <f>DATA!M130</f>
        <v>0</v>
      </c>
    </row>
    <row r="381" spans="1:9" x14ac:dyDescent="0.3">
      <c r="A381">
        <v>3</v>
      </c>
      <c r="B381">
        <f>DATA!M381</f>
        <v>1</v>
      </c>
      <c r="H381" t="s">
        <v>23</v>
      </c>
      <c r="I381" s="12">
        <f>DATA!M132</f>
        <v>1</v>
      </c>
    </row>
    <row r="382" spans="1:9" x14ac:dyDescent="0.3">
      <c r="A382">
        <v>3</v>
      </c>
      <c r="B382">
        <f>DATA!M382</f>
        <v>1</v>
      </c>
      <c r="H382" t="s">
        <v>23</v>
      </c>
      <c r="I382" s="12">
        <f>DATA!M134</f>
        <v>1</v>
      </c>
    </row>
    <row r="383" spans="1:9" x14ac:dyDescent="0.3">
      <c r="A383">
        <v>1</v>
      </c>
      <c r="B383">
        <f>DATA!M383</f>
        <v>1</v>
      </c>
      <c r="H383" t="s">
        <v>23</v>
      </c>
      <c r="I383" s="12">
        <f>DATA!M137</f>
        <v>1</v>
      </c>
    </row>
    <row r="384" spans="1:9" x14ac:dyDescent="0.3">
      <c r="A384">
        <v>2</v>
      </c>
      <c r="B384">
        <f>DATA!M384</f>
        <v>1</v>
      </c>
      <c r="H384" t="s">
        <v>23</v>
      </c>
      <c r="I384" s="12">
        <f>DATA!M139</f>
        <v>1</v>
      </c>
    </row>
    <row r="385" spans="1:9" x14ac:dyDescent="0.3">
      <c r="A385">
        <v>2</v>
      </c>
      <c r="B385">
        <f>DATA!M385</f>
        <v>0</v>
      </c>
      <c r="H385" t="s">
        <v>23</v>
      </c>
      <c r="I385" s="12">
        <f>DATA!M140</f>
        <v>0</v>
      </c>
    </row>
    <row r="386" spans="1:9" x14ac:dyDescent="0.3">
      <c r="A386">
        <v>2</v>
      </c>
      <c r="B386">
        <f>DATA!M386</f>
        <v>0</v>
      </c>
      <c r="H386" t="s">
        <v>23</v>
      </c>
      <c r="I386" s="12">
        <f>DATA!M145</f>
        <v>0</v>
      </c>
    </row>
    <row r="387" spans="1:9" x14ac:dyDescent="0.3">
      <c r="A387">
        <v>3</v>
      </c>
      <c r="B387">
        <f>DATA!M387</f>
        <v>0</v>
      </c>
      <c r="H387" t="s">
        <v>23</v>
      </c>
      <c r="I387" s="12">
        <f>DATA!M152</f>
        <v>0</v>
      </c>
    </row>
    <row r="388" spans="1:9" x14ac:dyDescent="0.3">
      <c r="A388">
        <v>3</v>
      </c>
      <c r="B388">
        <f>DATA!M388</f>
        <v>0</v>
      </c>
      <c r="H388" t="s">
        <v>23</v>
      </c>
      <c r="I388" s="12">
        <f>DATA!M153</f>
        <v>1</v>
      </c>
    </row>
    <row r="389" spans="1:9" x14ac:dyDescent="0.3">
      <c r="A389">
        <v>1</v>
      </c>
      <c r="B389">
        <f>DATA!M389</f>
        <v>0</v>
      </c>
      <c r="H389" t="s">
        <v>23</v>
      </c>
      <c r="I389" s="12">
        <f>DATA!M155</f>
        <v>1</v>
      </c>
    </row>
    <row r="390" spans="1:9" x14ac:dyDescent="0.3">
      <c r="A390">
        <v>1</v>
      </c>
      <c r="B390">
        <f>DATA!M390</f>
        <v>1</v>
      </c>
      <c r="H390" t="s">
        <v>23</v>
      </c>
      <c r="I390" s="12">
        <f>DATA!M158</f>
        <v>0</v>
      </c>
    </row>
    <row r="391" spans="1:9" x14ac:dyDescent="0.3">
      <c r="A391">
        <v>1</v>
      </c>
      <c r="B391">
        <f>DATA!M391</f>
        <v>1</v>
      </c>
      <c r="H391" t="s">
        <v>23</v>
      </c>
      <c r="I391" s="12">
        <f>DATA!M161</f>
        <v>1</v>
      </c>
    </row>
    <row r="392" spans="1:9" x14ac:dyDescent="0.3">
      <c r="A392">
        <v>3</v>
      </c>
      <c r="B392">
        <f>DATA!M392</f>
        <v>1</v>
      </c>
      <c r="H392" t="s">
        <v>23</v>
      </c>
      <c r="I392" s="12">
        <f>DATA!M165</f>
        <v>1</v>
      </c>
    </row>
    <row r="393" spans="1:9" x14ac:dyDescent="0.3">
      <c r="A393">
        <v>1</v>
      </c>
      <c r="B393">
        <f>DATA!M393</f>
        <v>1</v>
      </c>
      <c r="H393" t="s">
        <v>23</v>
      </c>
      <c r="I393" s="12">
        <f>DATA!M170</f>
        <v>0</v>
      </c>
    </row>
    <row r="394" spans="1:9" x14ac:dyDescent="0.3">
      <c r="A394">
        <v>2</v>
      </c>
      <c r="B394">
        <f>DATA!M394</f>
        <v>0</v>
      </c>
      <c r="H394" t="s">
        <v>23</v>
      </c>
      <c r="I394" s="12">
        <f>DATA!M174</f>
        <v>1</v>
      </c>
    </row>
    <row r="395" spans="1:9" x14ac:dyDescent="0.3">
      <c r="A395">
        <v>1</v>
      </c>
      <c r="B395">
        <f>DATA!M395</f>
        <v>1</v>
      </c>
      <c r="H395" t="s">
        <v>23</v>
      </c>
      <c r="I395" s="12">
        <f>DATA!M178</f>
        <v>0</v>
      </c>
    </row>
    <row r="396" spans="1:9" x14ac:dyDescent="0.3">
      <c r="A396">
        <v>3</v>
      </c>
      <c r="B396">
        <f>DATA!M396</f>
        <v>1</v>
      </c>
      <c r="H396" t="s">
        <v>23</v>
      </c>
      <c r="I396" s="12">
        <f>DATA!M184</f>
        <v>0</v>
      </c>
    </row>
    <row r="397" spans="1:9" x14ac:dyDescent="0.3">
      <c r="A397">
        <v>1</v>
      </c>
      <c r="B397">
        <f>DATA!M397</f>
        <v>0</v>
      </c>
      <c r="H397" t="s">
        <v>23</v>
      </c>
      <c r="I397" s="12">
        <f>DATA!M186</f>
        <v>0</v>
      </c>
    </row>
    <row r="398" spans="1:9" x14ac:dyDescent="0.3">
      <c r="A398">
        <v>2</v>
      </c>
      <c r="B398">
        <f>DATA!M398</f>
        <v>1</v>
      </c>
      <c r="H398" t="s">
        <v>23</v>
      </c>
      <c r="I398" s="12">
        <f>DATA!M187</f>
        <v>1</v>
      </c>
    </row>
    <row r="399" spans="1:9" x14ac:dyDescent="0.3">
      <c r="A399">
        <v>2</v>
      </c>
      <c r="B399">
        <f>DATA!M399</f>
        <v>0</v>
      </c>
      <c r="H399" t="s">
        <v>23</v>
      </c>
      <c r="I399" s="12">
        <f>DATA!M189</f>
        <v>0</v>
      </c>
    </row>
    <row r="400" spans="1:9" x14ac:dyDescent="0.3">
      <c r="A400">
        <v>2</v>
      </c>
      <c r="B400">
        <f>DATA!M400</f>
        <v>1</v>
      </c>
      <c r="H400" t="s">
        <v>23</v>
      </c>
      <c r="I400" s="12">
        <f>DATA!M194</f>
        <v>1</v>
      </c>
    </row>
    <row r="401" spans="1:9" x14ac:dyDescent="0.3">
      <c r="A401">
        <v>3</v>
      </c>
      <c r="B401">
        <f>DATA!M401</f>
        <v>0</v>
      </c>
      <c r="H401" t="s">
        <v>23</v>
      </c>
      <c r="I401" s="12">
        <f>DATA!M195</f>
        <v>1</v>
      </c>
    </row>
    <row r="402" spans="1:9" x14ac:dyDescent="0.3">
      <c r="A402">
        <v>2</v>
      </c>
      <c r="B402">
        <f>DATA!M402</f>
        <v>0</v>
      </c>
      <c r="H402" t="s">
        <v>23</v>
      </c>
      <c r="I402" s="12">
        <f>DATA!M196</f>
        <v>1</v>
      </c>
    </row>
    <row r="403" spans="1:9" x14ac:dyDescent="0.3">
      <c r="A403">
        <v>1</v>
      </c>
      <c r="B403">
        <f>DATA!M403</f>
        <v>1</v>
      </c>
      <c r="H403" t="s">
        <v>23</v>
      </c>
      <c r="I403" s="12">
        <f>DATA!M197</f>
        <v>0</v>
      </c>
    </row>
    <row r="404" spans="1:9" x14ac:dyDescent="0.3">
      <c r="A404">
        <v>1</v>
      </c>
      <c r="B404">
        <f>DATA!M404</f>
        <v>1</v>
      </c>
      <c r="H404" t="s">
        <v>23</v>
      </c>
      <c r="I404" s="12">
        <f>DATA!M199</f>
        <v>1</v>
      </c>
    </row>
    <row r="405" spans="1:9" x14ac:dyDescent="0.3">
      <c r="A405">
        <v>2</v>
      </c>
      <c r="B405">
        <f>DATA!M405</f>
        <v>1</v>
      </c>
      <c r="H405" t="s">
        <v>23</v>
      </c>
      <c r="I405" s="12">
        <f>DATA!M203</f>
        <v>1</v>
      </c>
    </row>
    <row r="406" spans="1:9" x14ac:dyDescent="0.3">
      <c r="A406">
        <v>3</v>
      </c>
      <c r="B406">
        <f>DATA!M406</f>
        <v>1</v>
      </c>
      <c r="H406" t="s">
        <v>23</v>
      </c>
      <c r="I406" s="12">
        <f>DATA!M215</f>
        <v>0</v>
      </c>
    </row>
    <row r="407" spans="1:9" x14ac:dyDescent="0.3">
      <c r="A407">
        <v>2</v>
      </c>
      <c r="B407">
        <f>DATA!M407</f>
        <v>1</v>
      </c>
      <c r="H407" t="s">
        <v>23</v>
      </c>
      <c r="I407" s="12">
        <f>DATA!M217</f>
        <v>0</v>
      </c>
    </row>
    <row r="408" spans="1:9" x14ac:dyDescent="0.3">
      <c r="A408">
        <v>1</v>
      </c>
      <c r="B408">
        <f>DATA!M408</f>
        <v>0</v>
      </c>
      <c r="H408" t="s">
        <v>23</v>
      </c>
      <c r="I408" s="12">
        <f>DATA!M221</f>
        <v>0</v>
      </c>
    </row>
    <row r="409" spans="1:9" x14ac:dyDescent="0.3">
      <c r="A409">
        <v>1</v>
      </c>
      <c r="B409">
        <f>DATA!M409</f>
        <v>0</v>
      </c>
      <c r="H409" t="s">
        <v>23</v>
      </c>
      <c r="I409" s="12">
        <f>DATA!M222</f>
        <v>0</v>
      </c>
    </row>
    <row r="410" spans="1:9" x14ac:dyDescent="0.3">
      <c r="A410">
        <v>2</v>
      </c>
      <c r="B410">
        <f>DATA!M410</f>
        <v>1</v>
      </c>
      <c r="H410" t="s">
        <v>23</v>
      </c>
      <c r="I410" s="12">
        <f>DATA!M226</f>
        <v>0</v>
      </c>
    </row>
    <row r="411" spans="1:9" x14ac:dyDescent="0.3">
      <c r="A411">
        <v>3</v>
      </c>
      <c r="B411">
        <f>DATA!M411</f>
        <v>1</v>
      </c>
      <c r="H411" t="s">
        <v>23</v>
      </c>
      <c r="I411" s="12">
        <f>DATA!M227</f>
        <v>0</v>
      </c>
    </row>
    <row r="412" spans="1:9" x14ac:dyDescent="0.3">
      <c r="A412">
        <v>1</v>
      </c>
      <c r="B412">
        <f>DATA!M412</f>
        <v>1</v>
      </c>
      <c r="H412" t="s">
        <v>23</v>
      </c>
      <c r="I412" s="12">
        <f>DATA!M229</f>
        <v>1</v>
      </c>
    </row>
    <row r="413" spans="1:9" x14ac:dyDescent="0.3">
      <c r="A413">
        <v>3</v>
      </c>
      <c r="B413">
        <f>DATA!M413</f>
        <v>1</v>
      </c>
      <c r="H413" t="s">
        <v>23</v>
      </c>
      <c r="I413" s="12">
        <f>DATA!M233</f>
        <v>1</v>
      </c>
    </row>
    <row r="414" spans="1:9" x14ac:dyDescent="0.3">
      <c r="A414">
        <v>2</v>
      </c>
      <c r="B414">
        <f>DATA!M414</f>
        <v>0</v>
      </c>
      <c r="H414" t="s">
        <v>23</v>
      </c>
      <c r="I414" s="12">
        <f>DATA!M236</f>
        <v>1</v>
      </c>
    </row>
    <row r="415" spans="1:9" x14ac:dyDescent="0.3">
      <c r="A415">
        <v>1</v>
      </c>
      <c r="B415">
        <f>DATA!M415</f>
        <v>1</v>
      </c>
      <c r="H415" t="s">
        <v>23</v>
      </c>
      <c r="I415" s="12">
        <f>DATA!M239</f>
        <v>0</v>
      </c>
    </row>
    <row r="416" spans="1:9" x14ac:dyDescent="0.3">
      <c r="A416">
        <v>1</v>
      </c>
      <c r="B416">
        <f>DATA!M416</f>
        <v>1</v>
      </c>
      <c r="H416" t="s">
        <v>23</v>
      </c>
      <c r="I416" s="12">
        <f>DATA!M241</f>
        <v>1</v>
      </c>
    </row>
    <row r="417" spans="1:9" x14ac:dyDescent="0.3">
      <c r="A417">
        <v>1</v>
      </c>
      <c r="B417">
        <f>DATA!M417</f>
        <v>1</v>
      </c>
      <c r="H417" t="s">
        <v>23</v>
      </c>
      <c r="I417" s="12">
        <f>DATA!M245</f>
        <v>1</v>
      </c>
    </row>
    <row r="418" spans="1:9" x14ac:dyDescent="0.3">
      <c r="A418">
        <v>1</v>
      </c>
      <c r="B418">
        <f>DATA!M418</f>
        <v>1</v>
      </c>
      <c r="H418" t="s">
        <v>23</v>
      </c>
      <c r="I418" s="12">
        <f>DATA!M247</f>
        <v>0</v>
      </c>
    </row>
    <row r="419" spans="1:9" x14ac:dyDescent="0.3">
      <c r="A419">
        <v>1</v>
      </c>
      <c r="B419">
        <f>DATA!M419</f>
        <v>1</v>
      </c>
      <c r="H419" t="s">
        <v>23</v>
      </c>
      <c r="I419" s="12">
        <f>DATA!M248</f>
        <v>0</v>
      </c>
    </row>
    <row r="420" spans="1:9" x14ac:dyDescent="0.3">
      <c r="A420">
        <v>1</v>
      </c>
      <c r="B420">
        <f>DATA!M420</f>
        <v>0</v>
      </c>
      <c r="H420" t="s">
        <v>23</v>
      </c>
      <c r="I420" s="12">
        <f>DATA!M249</f>
        <v>0</v>
      </c>
    </row>
    <row r="421" spans="1:9" x14ac:dyDescent="0.3">
      <c r="A421">
        <v>2</v>
      </c>
      <c r="B421">
        <f>DATA!M421</f>
        <v>0</v>
      </c>
      <c r="H421" t="s">
        <v>23</v>
      </c>
      <c r="I421" s="12">
        <f>DATA!M253</f>
        <v>1</v>
      </c>
    </row>
    <row r="422" spans="1:9" x14ac:dyDescent="0.3">
      <c r="A422">
        <v>1</v>
      </c>
      <c r="B422">
        <f>DATA!M422</f>
        <v>0</v>
      </c>
      <c r="H422" t="s">
        <v>23</v>
      </c>
      <c r="I422" s="12">
        <f>DATA!M258</f>
        <v>1</v>
      </c>
    </row>
    <row r="423" spans="1:9" x14ac:dyDescent="0.3">
      <c r="A423">
        <v>1</v>
      </c>
      <c r="B423">
        <f>DATA!M423</f>
        <v>1</v>
      </c>
      <c r="H423" t="s">
        <v>23</v>
      </c>
      <c r="I423" s="12">
        <f>DATA!M260</f>
        <v>1</v>
      </c>
    </row>
    <row r="424" spans="1:9" x14ac:dyDescent="0.3">
      <c r="A424">
        <v>2</v>
      </c>
      <c r="B424">
        <f>DATA!M424</f>
        <v>1</v>
      </c>
      <c r="H424" t="s">
        <v>23</v>
      </c>
      <c r="I424" s="12">
        <f>DATA!M261</f>
        <v>0</v>
      </c>
    </row>
    <row r="425" spans="1:9" x14ac:dyDescent="0.3">
      <c r="A425">
        <v>1</v>
      </c>
      <c r="B425">
        <f>DATA!M425</f>
        <v>1</v>
      </c>
      <c r="H425" t="s">
        <v>23</v>
      </c>
      <c r="I425" s="12">
        <f>DATA!M266</f>
        <v>0</v>
      </c>
    </row>
    <row r="426" spans="1:9" x14ac:dyDescent="0.3">
      <c r="A426">
        <v>1</v>
      </c>
      <c r="B426">
        <f>DATA!M426</f>
        <v>1</v>
      </c>
      <c r="H426" t="s">
        <v>23</v>
      </c>
      <c r="I426" s="12">
        <f>DATA!M271</f>
        <v>1</v>
      </c>
    </row>
    <row r="427" spans="1:9" x14ac:dyDescent="0.3">
      <c r="A427">
        <v>2</v>
      </c>
      <c r="B427">
        <f>DATA!M427</f>
        <v>1</v>
      </c>
      <c r="H427" t="s">
        <v>23</v>
      </c>
      <c r="I427" s="12">
        <f>DATA!M279</f>
        <v>1</v>
      </c>
    </row>
    <row r="428" spans="1:9" x14ac:dyDescent="0.3">
      <c r="A428">
        <v>1</v>
      </c>
      <c r="B428">
        <f>DATA!M428</f>
        <v>0</v>
      </c>
      <c r="H428" t="s">
        <v>23</v>
      </c>
      <c r="I428" s="12">
        <f>DATA!M283</f>
        <v>1</v>
      </c>
    </row>
    <row r="429" spans="1:9" x14ac:dyDescent="0.3">
      <c r="A429">
        <v>1</v>
      </c>
      <c r="B429">
        <f>DATA!M429</f>
        <v>1</v>
      </c>
      <c r="H429" t="s">
        <v>23</v>
      </c>
      <c r="I429" s="12">
        <f>DATA!M285</f>
        <v>1</v>
      </c>
    </row>
    <row r="430" spans="1:9" x14ac:dyDescent="0.3">
      <c r="A430">
        <v>2</v>
      </c>
      <c r="B430">
        <f>DATA!M430</f>
        <v>1</v>
      </c>
      <c r="H430" t="s">
        <v>23</v>
      </c>
      <c r="I430" s="12">
        <f>DATA!M286</f>
        <v>1</v>
      </c>
    </row>
    <row r="431" spans="1:9" x14ac:dyDescent="0.3">
      <c r="A431">
        <v>1</v>
      </c>
      <c r="B431">
        <f>DATA!M431</f>
        <v>0</v>
      </c>
      <c r="H431" t="s">
        <v>23</v>
      </c>
      <c r="I431" s="12">
        <f>DATA!M287</f>
        <v>1</v>
      </c>
    </row>
    <row r="432" spans="1:9" x14ac:dyDescent="0.3">
      <c r="A432">
        <v>2</v>
      </c>
      <c r="B432">
        <f>DATA!M432</f>
        <v>0</v>
      </c>
      <c r="H432" t="s">
        <v>23</v>
      </c>
      <c r="I432" s="12">
        <f>DATA!M292</f>
        <v>0</v>
      </c>
    </row>
    <row r="433" spans="1:9" x14ac:dyDescent="0.3">
      <c r="A433">
        <v>1</v>
      </c>
      <c r="B433">
        <f>DATA!M433</f>
        <v>1</v>
      </c>
      <c r="H433" t="s">
        <v>23</v>
      </c>
      <c r="I433" s="12">
        <f>DATA!M293</f>
        <v>1</v>
      </c>
    </row>
    <row r="434" spans="1:9" x14ac:dyDescent="0.3">
      <c r="A434">
        <v>1</v>
      </c>
      <c r="B434">
        <f>DATA!M434</f>
        <v>1</v>
      </c>
      <c r="H434" t="s">
        <v>23</v>
      </c>
      <c r="I434" s="12">
        <f>DATA!M296</f>
        <v>0</v>
      </c>
    </row>
    <row r="435" spans="1:9" x14ac:dyDescent="0.3">
      <c r="A435">
        <v>2</v>
      </c>
      <c r="B435">
        <f>DATA!M435</f>
        <v>1</v>
      </c>
      <c r="H435" t="s">
        <v>23</v>
      </c>
      <c r="I435" s="12">
        <f>DATA!M300</f>
        <v>1</v>
      </c>
    </row>
    <row r="436" spans="1:9" x14ac:dyDescent="0.3">
      <c r="A436">
        <v>3</v>
      </c>
      <c r="B436">
        <f>DATA!M436</f>
        <v>1</v>
      </c>
      <c r="H436" t="s">
        <v>23</v>
      </c>
      <c r="I436" s="12">
        <f>DATA!M302</f>
        <v>1</v>
      </c>
    </row>
    <row r="437" spans="1:9" x14ac:dyDescent="0.3">
      <c r="A437">
        <v>2</v>
      </c>
      <c r="B437">
        <f>DATA!M437</f>
        <v>1</v>
      </c>
      <c r="H437" t="s">
        <v>23</v>
      </c>
      <c r="I437" s="12">
        <f>DATA!M306</f>
        <v>0</v>
      </c>
    </row>
    <row r="438" spans="1:9" x14ac:dyDescent="0.3">
      <c r="A438">
        <v>3</v>
      </c>
      <c r="B438">
        <f>DATA!M438</f>
        <v>0</v>
      </c>
      <c r="H438" t="s">
        <v>23</v>
      </c>
      <c r="I438" s="12">
        <f>DATA!M307</f>
        <v>0</v>
      </c>
    </row>
    <row r="439" spans="1:9" x14ac:dyDescent="0.3">
      <c r="A439">
        <v>3</v>
      </c>
      <c r="B439">
        <f>DATA!M439</f>
        <v>0</v>
      </c>
      <c r="H439" t="s">
        <v>23</v>
      </c>
      <c r="I439" s="12">
        <f>DATA!M308</f>
        <v>1</v>
      </c>
    </row>
    <row r="440" spans="1:9" x14ac:dyDescent="0.3">
      <c r="A440">
        <v>1</v>
      </c>
      <c r="B440">
        <f>DATA!M440</f>
        <v>0</v>
      </c>
      <c r="H440" t="s">
        <v>23</v>
      </c>
      <c r="I440" s="12">
        <f>DATA!M310</f>
        <v>1</v>
      </c>
    </row>
    <row r="441" spans="1:9" x14ac:dyDescent="0.3">
      <c r="A441">
        <v>2</v>
      </c>
      <c r="B441">
        <f>DATA!M441</f>
        <v>1</v>
      </c>
      <c r="H441" t="s">
        <v>23</v>
      </c>
      <c r="I441" s="12">
        <f>DATA!M312</f>
        <v>0</v>
      </c>
    </row>
    <row r="442" spans="1:9" x14ac:dyDescent="0.3">
      <c r="A442">
        <v>3</v>
      </c>
      <c r="B442">
        <f>DATA!M442</f>
        <v>1</v>
      </c>
      <c r="H442" t="s">
        <v>23</v>
      </c>
      <c r="I442" s="12">
        <f>DATA!M324</f>
        <v>1</v>
      </c>
    </row>
    <row r="443" spans="1:9" x14ac:dyDescent="0.3">
      <c r="A443">
        <v>3</v>
      </c>
      <c r="B443">
        <f>DATA!M443</f>
        <v>1</v>
      </c>
      <c r="H443" t="s">
        <v>23</v>
      </c>
      <c r="I443" s="12">
        <f>DATA!M327</f>
        <v>1</v>
      </c>
    </row>
    <row r="444" spans="1:9" x14ac:dyDescent="0.3">
      <c r="A444">
        <v>3</v>
      </c>
      <c r="B444">
        <f>DATA!M444</f>
        <v>1</v>
      </c>
      <c r="H444" t="s">
        <v>23</v>
      </c>
      <c r="I444" s="12">
        <f>DATA!M328</f>
        <v>1</v>
      </c>
    </row>
    <row r="445" spans="1:9" x14ac:dyDescent="0.3">
      <c r="A445">
        <v>3</v>
      </c>
      <c r="B445">
        <f>DATA!M445</f>
        <v>0</v>
      </c>
      <c r="H445" t="s">
        <v>23</v>
      </c>
      <c r="I445" s="12">
        <f>DATA!M329</f>
        <v>0</v>
      </c>
    </row>
    <row r="446" spans="1:9" x14ac:dyDescent="0.3">
      <c r="A446">
        <v>2</v>
      </c>
      <c r="B446">
        <f>DATA!M446</f>
        <v>1</v>
      </c>
      <c r="H446" t="s">
        <v>23</v>
      </c>
      <c r="I446" s="12">
        <f>DATA!M330</f>
        <v>0</v>
      </c>
    </row>
    <row r="447" spans="1:9" x14ac:dyDescent="0.3">
      <c r="A447">
        <v>1</v>
      </c>
      <c r="B447">
        <f>DATA!M447</f>
        <v>1</v>
      </c>
      <c r="H447" t="s">
        <v>23</v>
      </c>
      <c r="I447" s="12">
        <f>DATA!M334</f>
        <v>1</v>
      </c>
    </row>
    <row r="448" spans="1:9" x14ac:dyDescent="0.3">
      <c r="A448">
        <v>1</v>
      </c>
      <c r="B448">
        <f>DATA!M448</f>
        <v>1</v>
      </c>
      <c r="H448" t="s">
        <v>23</v>
      </c>
      <c r="I448" s="12">
        <f>DATA!M337</f>
        <v>1</v>
      </c>
    </row>
    <row r="449" spans="1:9" x14ac:dyDescent="0.3">
      <c r="A449">
        <v>3</v>
      </c>
      <c r="B449">
        <f>DATA!M449</f>
        <v>0</v>
      </c>
      <c r="H449" t="s">
        <v>23</v>
      </c>
      <c r="I449" s="12">
        <f>DATA!M338</f>
        <v>1</v>
      </c>
    </row>
    <row r="450" spans="1:9" x14ac:dyDescent="0.3">
      <c r="A450">
        <v>1</v>
      </c>
      <c r="B450">
        <f>DATA!M450</f>
        <v>1</v>
      </c>
      <c r="H450" t="s">
        <v>23</v>
      </c>
      <c r="I450" s="12">
        <f>DATA!M339</f>
        <v>1</v>
      </c>
    </row>
    <row r="451" spans="1:9" x14ac:dyDescent="0.3">
      <c r="A451">
        <v>3</v>
      </c>
      <c r="B451">
        <f>DATA!M451</f>
        <v>0</v>
      </c>
      <c r="H451" t="s">
        <v>23</v>
      </c>
      <c r="I451" s="12">
        <f>DATA!M340</f>
        <v>1</v>
      </c>
    </row>
    <row r="452" spans="1:9" x14ac:dyDescent="0.3">
      <c r="A452">
        <v>1</v>
      </c>
      <c r="B452">
        <f>DATA!M452</f>
        <v>0</v>
      </c>
      <c r="H452" t="s">
        <v>23</v>
      </c>
      <c r="I452" s="12">
        <f>DATA!M348</f>
        <v>0</v>
      </c>
    </row>
    <row r="453" spans="1:9" x14ac:dyDescent="0.3">
      <c r="A453">
        <v>1</v>
      </c>
      <c r="B453">
        <f>DATA!M453</f>
        <v>1</v>
      </c>
      <c r="H453" t="s">
        <v>23</v>
      </c>
      <c r="I453" s="12">
        <f>DATA!M349</f>
        <v>0</v>
      </c>
    </row>
    <row r="454" spans="1:9" x14ac:dyDescent="0.3">
      <c r="A454">
        <v>2</v>
      </c>
      <c r="B454">
        <f>DATA!M454</f>
        <v>1</v>
      </c>
      <c r="H454" t="s">
        <v>23</v>
      </c>
      <c r="I454" s="12">
        <f>DATA!M356</f>
        <v>1</v>
      </c>
    </row>
    <row r="455" spans="1:9" x14ac:dyDescent="0.3">
      <c r="A455">
        <v>3</v>
      </c>
      <c r="B455">
        <f>DATA!M455</f>
        <v>0</v>
      </c>
      <c r="H455" t="s">
        <v>23</v>
      </c>
      <c r="I455" s="12">
        <f>DATA!M357</f>
        <v>1</v>
      </c>
    </row>
    <row r="456" spans="1:9" x14ac:dyDescent="0.3">
      <c r="A456">
        <v>2</v>
      </c>
      <c r="B456">
        <f>DATA!M456</f>
        <v>0</v>
      </c>
      <c r="H456" t="s">
        <v>23</v>
      </c>
      <c r="I456" s="12">
        <f>DATA!M358</f>
        <v>1</v>
      </c>
    </row>
    <row r="457" spans="1:9" x14ac:dyDescent="0.3">
      <c r="A457">
        <v>1</v>
      </c>
      <c r="B457">
        <f>DATA!M457</f>
        <v>0</v>
      </c>
      <c r="H457" t="s">
        <v>23</v>
      </c>
      <c r="I457" s="12">
        <f>DATA!M361</f>
        <v>0</v>
      </c>
    </row>
    <row r="458" spans="1:9" x14ac:dyDescent="0.3">
      <c r="A458">
        <v>3</v>
      </c>
      <c r="B458">
        <f>DATA!M458</f>
        <v>0</v>
      </c>
      <c r="H458" t="s">
        <v>23</v>
      </c>
      <c r="I458" s="12">
        <f>DATA!M363</f>
        <v>1</v>
      </c>
    </row>
    <row r="459" spans="1:9" x14ac:dyDescent="0.3">
      <c r="A459">
        <v>3</v>
      </c>
      <c r="B459">
        <f>DATA!M459</f>
        <v>1</v>
      </c>
      <c r="H459" t="s">
        <v>23</v>
      </c>
      <c r="I459" s="12">
        <f>DATA!M373</f>
        <v>0</v>
      </c>
    </row>
    <row r="460" spans="1:9" x14ac:dyDescent="0.3">
      <c r="A460">
        <v>3</v>
      </c>
      <c r="B460">
        <f>DATA!M460</f>
        <v>1</v>
      </c>
      <c r="H460" t="s">
        <v>23</v>
      </c>
      <c r="I460" s="12">
        <f>DATA!M374</f>
        <v>0</v>
      </c>
    </row>
    <row r="461" spans="1:9" x14ac:dyDescent="0.3">
      <c r="A461">
        <v>3</v>
      </c>
      <c r="B461">
        <f>DATA!M461</f>
        <v>1</v>
      </c>
      <c r="H461" t="s">
        <v>23</v>
      </c>
      <c r="I461" s="12">
        <f>DATA!M375</f>
        <v>0</v>
      </c>
    </row>
    <row r="462" spans="1:9" x14ac:dyDescent="0.3">
      <c r="A462">
        <v>3</v>
      </c>
      <c r="B462">
        <f>DATA!M462</f>
        <v>1</v>
      </c>
      <c r="H462" t="s">
        <v>23</v>
      </c>
      <c r="I462" s="12">
        <f>DATA!M377</f>
        <v>1</v>
      </c>
    </row>
    <row r="463" spans="1:9" x14ac:dyDescent="0.3">
      <c r="A463">
        <v>3</v>
      </c>
      <c r="B463">
        <f>DATA!M463</f>
        <v>1</v>
      </c>
      <c r="H463" t="s">
        <v>23</v>
      </c>
      <c r="I463" s="12">
        <f>DATA!M379</f>
        <v>0</v>
      </c>
    </row>
    <row r="464" spans="1:9" x14ac:dyDescent="0.3">
      <c r="A464">
        <v>1</v>
      </c>
      <c r="B464">
        <f>DATA!M464</f>
        <v>1</v>
      </c>
      <c r="H464" t="s">
        <v>23</v>
      </c>
      <c r="I464" s="12">
        <f>DATA!M381</f>
        <v>1</v>
      </c>
    </row>
    <row r="465" spans="1:9" x14ac:dyDescent="0.3">
      <c r="A465">
        <v>3</v>
      </c>
      <c r="B465">
        <f>DATA!M465</f>
        <v>0</v>
      </c>
      <c r="H465" t="s">
        <v>23</v>
      </c>
      <c r="I465" s="12">
        <f>DATA!M382</f>
        <v>1</v>
      </c>
    </row>
    <row r="466" spans="1:9" x14ac:dyDescent="0.3">
      <c r="A466">
        <v>1</v>
      </c>
      <c r="B466">
        <f>DATA!M466</f>
        <v>1</v>
      </c>
      <c r="H466" t="s">
        <v>23</v>
      </c>
      <c r="I466" s="12">
        <f>DATA!M387</f>
        <v>0</v>
      </c>
    </row>
    <row r="467" spans="1:9" x14ac:dyDescent="0.3">
      <c r="A467">
        <v>2</v>
      </c>
      <c r="B467">
        <f>DATA!M467</f>
        <v>0</v>
      </c>
      <c r="H467" t="s">
        <v>23</v>
      </c>
      <c r="I467" s="12">
        <f>DATA!M388</f>
        <v>0</v>
      </c>
    </row>
    <row r="468" spans="1:9" x14ac:dyDescent="0.3">
      <c r="A468">
        <v>1</v>
      </c>
      <c r="B468">
        <f>DATA!M468</f>
        <v>1</v>
      </c>
      <c r="H468" t="s">
        <v>23</v>
      </c>
      <c r="I468" s="12">
        <f>DATA!M392</f>
        <v>1</v>
      </c>
    </row>
    <row r="469" spans="1:9" x14ac:dyDescent="0.3">
      <c r="A469">
        <v>2</v>
      </c>
      <c r="B469">
        <f>DATA!M469</f>
        <v>1</v>
      </c>
      <c r="H469" t="s">
        <v>23</v>
      </c>
      <c r="I469" s="12">
        <f>DATA!M396</f>
        <v>1</v>
      </c>
    </row>
    <row r="470" spans="1:9" x14ac:dyDescent="0.3">
      <c r="A470">
        <v>3</v>
      </c>
      <c r="B470">
        <f>DATA!M470</f>
        <v>0</v>
      </c>
      <c r="H470" t="s">
        <v>23</v>
      </c>
      <c r="I470" s="12">
        <f>DATA!M401</f>
        <v>0</v>
      </c>
    </row>
    <row r="471" spans="1:9" x14ac:dyDescent="0.3">
      <c r="A471">
        <v>1</v>
      </c>
      <c r="B471">
        <f>DATA!M471</f>
        <v>0</v>
      </c>
      <c r="H471" t="s">
        <v>23</v>
      </c>
      <c r="I471" s="12">
        <f>DATA!M406</f>
        <v>1</v>
      </c>
    </row>
    <row r="472" spans="1:9" x14ac:dyDescent="0.3">
      <c r="A472">
        <v>1</v>
      </c>
      <c r="B472">
        <f>DATA!M472</f>
        <v>1</v>
      </c>
      <c r="H472" t="s">
        <v>23</v>
      </c>
      <c r="I472" s="12">
        <f>DATA!M411</f>
        <v>1</v>
      </c>
    </row>
    <row r="473" spans="1:9" x14ac:dyDescent="0.3">
      <c r="A473">
        <v>1</v>
      </c>
      <c r="B473">
        <f>DATA!M473</f>
        <v>1</v>
      </c>
      <c r="H473" t="s">
        <v>23</v>
      </c>
      <c r="I473" s="12">
        <f>DATA!M413</f>
        <v>1</v>
      </c>
    </row>
    <row r="474" spans="1:9" x14ac:dyDescent="0.3">
      <c r="A474">
        <v>2</v>
      </c>
      <c r="B474">
        <f>DATA!M474</f>
        <v>0</v>
      </c>
      <c r="H474" t="s">
        <v>23</v>
      </c>
      <c r="I474" s="12">
        <f>DATA!M436</f>
        <v>1</v>
      </c>
    </row>
    <row r="475" spans="1:9" x14ac:dyDescent="0.3">
      <c r="A475">
        <v>3</v>
      </c>
      <c r="B475">
        <f>DATA!M475</f>
        <v>1</v>
      </c>
      <c r="H475" t="s">
        <v>23</v>
      </c>
      <c r="I475" s="12">
        <f>DATA!M438</f>
        <v>0</v>
      </c>
    </row>
    <row r="476" spans="1:9" x14ac:dyDescent="0.3">
      <c r="A476">
        <v>1</v>
      </c>
      <c r="B476">
        <f>DATA!M476</f>
        <v>0</v>
      </c>
      <c r="H476" t="s">
        <v>23</v>
      </c>
      <c r="I476" s="12">
        <f>DATA!M439</f>
        <v>0</v>
      </c>
    </row>
    <row r="477" spans="1:9" x14ac:dyDescent="0.3">
      <c r="A477">
        <v>2</v>
      </c>
      <c r="B477">
        <f>DATA!M477</f>
        <v>0</v>
      </c>
      <c r="H477" t="s">
        <v>23</v>
      </c>
      <c r="I477" s="12">
        <f>DATA!M442</f>
        <v>1</v>
      </c>
    </row>
    <row r="478" spans="1:9" x14ac:dyDescent="0.3">
      <c r="A478">
        <v>1</v>
      </c>
      <c r="B478">
        <f>DATA!M478</f>
        <v>1</v>
      </c>
      <c r="H478" t="s">
        <v>23</v>
      </c>
      <c r="I478" s="12">
        <f>DATA!M443</f>
        <v>1</v>
      </c>
    </row>
    <row r="479" spans="1:9" x14ac:dyDescent="0.3">
      <c r="A479">
        <v>1</v>
      </c>
      <c r="B479">
        <f>DATA!M479</f>
        <v>1</v>
      </c>
      <c r="H479" t="s">
        <v>23</v>
      </c>
      <c r="I479" s="12">
        <f>DATA!M444</f>
        <v>1</v>
      </c>
    </row>
    <row r="480" spans="1:9" x14ac:dyDescent="0.3">
      <c r="A480">
        <v>1</v>
      </c>
      <c r="B480">
        <f>DATA!M480</f>
        <v>0</v>
      </c>
      <c r="H480" t="s">
        <v>23</v>
      </c>
      <c r="I480" s="12">
        <f>DATA!M445</f>
        <v>0</v>
      </c>
    </row>
    <row r="481" spans="1:9" x14ac:dyDescent="0.3">
      <c r="A481">
        <v>1</v>
      </c>
      <c r="B481">
        <f>DATA!M481</f>
        <v>0</v>
      </c>
      <c r="H481" t="s">
        <v>23</v>
      </c>
      <c r="I481" s="12">
        <f>DATA!M449</f>
        <v>0</v>
      </c>
    </row>
    <row r="482" spans="1:9" x14ac:dyDescent="0.3">
      <c r="A482">
        <v>2</v>
      </c>
      <c r="B482">
        <f>DATA!M482</f>
        <v>0</v>
      </c>
      <c r="H482" t="s">
        <v>23</v>
      </c>
      <c r="I482" s="12">
        <f>DATA!M451</f>
        <v>0</v>
      </c>
    </row>
    <row r="483" spans="1:9" x14ac:dyDescent="0.3">
      <c r="A483">
        <v>3</v>
      </c>
      <c r="B483">
        <f>DATA!M483</f>
        <v>0</v>
      </c>
      <c r="H483" t="s">
        <v>23</v>
      </c>
      <c r="I483" s="12">
        <f>DATA!M455</f>
        <v>0</v>
      </c>
    </row>
    <row r="484" spans="1:9" x14ac:dyDescent="0.3">
      <c r="A484">
        <v>3</v>
      </c>
      <c r="B484">
        <f>DATA!M484</f>
        <v>0</v>
      </c>
      <c r="H484" t="s">
        <v>23</v>
      </c>
      <c r="I484" s="12">
        <f>DATA!M458</f>
        <v>0</v>
      </c>
    </row>
    <row r="485" spans="1:9" x14ac:dyDescent="0.3">
      <c r="A485">
        <v>1</v>
      </c>
      <c r="B485">
        <f>DATA!M485</f>
        <v>0</v>
      </c>
      <c r="H485" t="s">
        <v>23</v>
      </c>
      <c r="I485" s="12">
        <f>DATA!M459</f>
        <v>1</v>
      </c>
    </row>
    <row r="486" spans="1:9" x14ac:dyDescent="0.3">
      <c r="A486">
        <v>2</v>
      </c>
      <c r="B486">
        <f>DATA!M486</f>
        <v>1</v>
      </c>
      <c r="H486" t="s">
        <v>23</v>
      </c>
      <c r="I486" s="12">
        <f>DATA!M460</f>
        <v>1</v>
      </c>
    </row>
    <row r="487" spans="1:9" x14ac:dyDescent="0.3">
      <c r="A487">
        <v>3</v>
      </c>
      <c r="B487">
        <f>DATA!M487</f>
        <v>1</v>
      </c>
      <c r="H487" t="s">
        <v>23</v>
      </c>
      <c r="I487" s="12">
        <f>DATA!M461</f>
        <v>1</v>
      </c>
    </row>
    <row r="488" spans="1:9" x14ac:dyDescent="0.3">
      <c r="A488">
        <v>3</v>
      </c>
      <c r="B488">
        <f>DATA!M488</f>
        <v>1</v>
      </c>
      <c r="H488" t="s">
        <v>23</v>
      </c>
      <c r="I488" s="12">
        <f>DATA!M462</f>
        <v>1</v>
      </c>
    </row>
    <row r="489" spans="1:9" x14ac:dyDescent="0.3">
      <c r="A489">
        <v>1</v>
      </c>
      <c r="B489">
        <f>DATA!M489</f>
        <v>0</v>
      </c>
      <c r="H489" t="s">
        <v>23</v>
      </c>
      <c r="I489" s="12">
        <f>DATA!M463</f>
        <v>1</v>
      </c>
    </row>
    <row r="490" spans="1:9" x14ac:dyDescent="0.3">
      <c r="A490">
        <v>1</v>
      </c>
      <c r="B490">
        <f>DATA!M490</f>
        <v>0</v>
      </c>
      <c r="H490" t="s">
        <v>23</v>
      </c>
      <c r="I490" s="12">
        <f>DATA!M465</f>
        <v>0</v>
      </c>
    </row>
    <row r="491" spans="1:9" x14ac:dyDescent="0.3">
      <c r="A491">
        <v>2</v>
      </c>
      <c r="B491">
        <f>DATA!M491</f>
        <v>0</v>
      </c>
      <c r="H491" t="s">
        <v>23</v>
      </c>
      <c r="I491" s="12">
        <f>DATA!M470</f>
        <v>0</v>
      </c>
    </row>
    <row r="492" spans="1:9" x14ac:dyDescent="0.3">
      <c r="A492">
        <v>3</v>
      </c>
      <c r="B492">
        <f>DATA!M492</f>
        <v>1</v>
      </c>
      <c r="H492" t="s">
        <v>23</v>
      </c>
      <c r="I492" s="12">
        <f>DATA!M475</f>
        <v>1</v>
      </c>
    </row>
    <row r="493" spans="1:9" x14ac:dyDescent="0.3">
      <c r="A493">
        <v>1</v>
      </c>
      <c r="B493">
        <f>DATA!M493</f>
        <v>0</v>
      </c>
      <c r="H493" t="s">
        <v>23</v>
      </c>
      <c r="I493" s="12">
        <f>DATA!M483</f>
        <v>0</v>
      </c>
    </row>
    <row r="494" spans="1:9" x14ac:dyDescent="0.3">
      <c r="A494">
        <v>2</v>
      </c>
      <c r="B494">
        <f>DATA!M494</f>
        <v>0</v>
      </c>
      <c r="H494" t="s">
        <v>23</v>
      </c>
      <c r="I494" s="12">
        <f>DATA!M484</f>
        <v>0</v>
      </c>
    </row>
    <row r="495" spans="1:9" x14ac:dyDescent="0.3">
      <c r="A495">
        <v>2</v>
      </c>
      <c r="B495">
        <f>DATA!M495</f>
        <v>0</v>
      </c>
      <c r="H495" t="s">
        <v>23</v>
      </c>
      <c r="I495" s="12">
        <f>DATA!M487</f>
        <v>1</v>
      </c>
    </row>
    <row r="496" spans="1:9" x14ac:dyDescent="0.3">
      <c r="A496">
        <v>2</v>
      </c>
      <c r="B496">
        <f>DATA!M496</f>
        <v>1</v>
      </c>
      <c r="H496" t="s">
        <v>23</v>
      </c>
      <c r="I496" s="12">
        <f>DATA!M488</f>
        <v>1</v>
      </c>
    </row>
    <row r="497" spans="1:9" x14ac:dyDescent="0.3">
      <c r="A497">
        <v>3</v>
      </c>
      <c r="B497">
        <f>DATA!M497</f>
        <v>1</v>
      </c>
      <c r="H497" t="s">
        <v>23</v>
      </c>
      <c r="I497" s="12">
        <f>DATA!M492</f>
        <v>1</v>
      </c>
    </row>
    <row r="498" spans="1:9" x14ac:dyDescent="0.3">
      <c r="A498">
        <v>3</v>
      </c>
      <c r="B498">
        <f>DATA!M498</f>
        <v>0</v>
      </c>
      <c r="H498" t="s">
        <v>23</v>
      </c>
      <c r="I498" s="12">
        <f>DATA!M497</f>
        <v>1</v>
      </c>
    </row>
    <row r="499" spans="1:9" x14ac:dyDescent="0.3">
      <c r="A499">
        <v>3</v>
      </c>
      <c r="B499">
        <f>DATA!M499</f>
        <v>1</v>
      </c>
      <c r="H499" t="s">
        <v>23</v>
      </c>
      <c r="I499" s="12">
        <f>DATA!M498</f>
        <v>0</v>
      </c>
    </row>
    <row r="500" spans="1:9" x14ac:dyDescent="0.3">
      <c r="A500">
        <v>2</v>
      </c>
      <c r="B500">
        <f>DATA!M500</f>
        <v>1</v>
      </c>
      <c r="H500" t="s">
        <v>23</v>
      </c>
      <c r="I500" s="12">
        <f>DATA!M499</f>
        <v>1</v>
      </c>
    </row>
  </sheetData>
  <sortState xmlns:xlrd2="http://schemas.microsoft.com/office/spreadsheetml/2017/richdata2" ref="H2:I500">
    <sortCondition ref="H1:H500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5B44-50AF-4AD8-9973-4685CF8F6BC0}">
  <dimension ref="A1:V500"/>
  <sheetViews>
    <sheetView workbookViewId="0">
      <selection activeCell="E4" sqref="E4"/>
    </sheetView>
  </sheetViews>
  <sheetFormatPr defaultRowHeight="14.4" x14ac:dyDescent="0.3"/>
  <cols>
    <col min="4" max="4" width="9" customWidth="1"/>
    <col min="5" max="5" width="12" bestFit="1" customWidth="1"/>
    <col min="6" max="6" width="6.33203125" bestFit="1" customWidth="1"/>
    <col min="8" max="8" width="17.44140625" bestFit="1" customWidth="1"/>
    <col min="16" max="16" width="17.6640625" bestFit="1" customWidth="1"/>
  </cols>
  <sheetData>
    <row r="1" spans="1:22" s="10" customFormat="1" ht="15" thickBot="1" x14ac:dyDescent="0.35">
      <c r="A1" s="10" t="str" cm="1">
        <f t="array" ref="A1:A500">DATA!G1:G500</f>
        <v>Tenure</v>
      </c>
      <c r="B1" s="10" t="str">
        <f>DATA!M1</f>
        <v>Churn</v>
      </c>
      <c r="H1" s="10" t="s">
        <v>46</v>
      </c>
      <c r="I1" s="10" t="str">
        <f>DATA!M1</f>
        <v>Churn</v>
      </c>
      <c r="K1" s="10" t="s">
        <v>115</v>
      </c>
      <c r="L1" s="10" t="s">
        <v>116</v>
      </c>
      <c r="M1" s="10" t="s">
        <v>117</v>
      </c>
      <c r="N1" s="10" t="s">
        <v>118</v>
      </c>
      <c r="P1" t="s">
        <v>107</v>
      </c>
      <c r="Q1"/>
      <c r="R1"/>
      <c r="S1"/>
      <c r="T1"/>
      <c r="U1"/>
      <c r="V1"/>
    </row>
    <row r="2" spans="1:22" x14ac:dyDescent="0.3">
      <c r="A2">
        <v>7</v>
      </c>
      <c r="B2">
        <f>DATA!M2</f>
        <v>0</v>
      </c>
      <c r="D2" s="14"/>
      <c r="E2" s="14" t="s">
        <v>6</v>
      </c>
      <c r="F2" s="14" t="s">
        <v>27</v>
      </c>
      <c r="H2" t="s">
        <v>47</v>
      </c>
      <c r="I2" s="12">
        <f>DATA!M8</f>
        <v>0</v>
      </c>
      <c r="K2">
        <v>0</v>
      </c>
      <c r="L2">
        <v>0</v>
      </c>
      <c r="M2">
        <v>1</v>
      </c>
      <c r="N2">
        <v>0</v>
      </c>
    </row>
    <row r="3" spans="1:22" ht="15" thickBot="1" x14ac:dyDescent="0.35">
      <c r="A3">
        <v>3</v>
      </c>
      <c r="B3">
        <f>DATA!M3</f>
        <v>0</v>
      </c>
      <c r="D3" t="s">
        <v>6</v>
      </c>
      <c r="E3">
        <v>1</v>
      </c>
      <c r="H3" t="s">
        <v>47</v>
      </c>
      <c r="I3" s="12">
        <f>DATA!M12</f>
        <v>1</v>
      </c>
      <c r="K3">
        <v>0</v>
      </c>
      <c r="L3">
        <v>0</v>
      </c>
      <c r="M3">
        <v>1</v>
      </c>
      <c r="N3">
        <v>1</v>
      </c>
      <c r="P3" t="s">
        <v>108</v>
      </c>
    </row>
    <row r="4" spans="1:22" ht="15" thickBot="1" x14ac:dyDescent="0.35">
      <c r="A4">
        <v>6</v>
      </c>
      <c r="B4">
        <f>DATA!M4</f>
        <v>0</v>
      </c>
      <c r="D4" s="13" t="s">
        <v>27</v>
      </c>
      <c r="E4" s="30">
        <v>5.5986455884088369E-2</v>
      </c>
      <c r="F4" s="13">
        <v>1</v>
      </c>
      <c r="H4" t="s">
        <v>47</v>
      </c>
      <c r="I4" s="12">
        <f>DATA!M23</f>
        <v>0</v>
      </c>
      <c r="K4">
        <v>0</v>
      </c>
      <c r="L4">
        <v>0</v>
      </c>
      <c r="M4">
        <v>1</v>
      </c>
      <c r="N4">
        <v>0</v>
      </c>
      <c r="P4" s="14" t="s">
        <v>109</v>
      </c>
      <c r="Q4" s="14" t="s">
        <v>98</v>
      </c>
      <c r="R4" s="14" t="s">
        <v>97</v>
      </c>
      <c r="S4" s="14" t="s">
        <v>110</v>
      </c>
      <c r="T4" s="14" t="s">
        <v>100</v>
      </c>
    </row>
    <row r="5" spans="1:22" x14ac:dyDescent="0.3">
      <c r="A5">
        <v>0</v>
      </c>
      <c r="B5">
        <f>DATA!M5</f>
        <v>0</v>
      </c>
      <c r="H5" t="s">
        <v>47</v>
      </c>
      <c r="I5" s="12">
        <f>DATA!M30</f>
        <v>1</v>
      </c>
      <c r="K5">
        <v>0</v>
      </c>
      <c r="L5">
        <v>0</v>
      </c>
      <c r="M5">
        <v>1</v>
      </c>
      <c r="N5">
        <v>1</v>
      </c>
      <c r="P5" s="2" t="s">
        <v>115</v>
      </c>
      <c r="Q5" s="4">
        <v>43</v>
      </c>
      <c r="R5" s="4">
        <v>17</v>
      </c>
      <c r="S5" s="22">
        <v>0.39534883720930231</v>
      </c>
      <c r="T5" s="4">
        <v>0.24473975636766335</v>
      </c>
    </row>
    <row r="6" spans="1:22" x14ac:dyDescent="0.3">
      <c r="A6">
        <v>2</v>
      </c>
      <c r="B6">
        <f>DATA!M6</f>
        <v>0</v>
      </c>
      <c r="H6" t="s">
        <v>47</v>
      </c>
      <c r="I6" s="12">
        <f>DATA!M33</f>
        <v>1</v>
      </c>
      <c r="K6">
        <v>0</v>
      </c>
      <c r="L6">
        <v>0</v>
      </c>
      <c r="M6">
        <v>0</v>
      </c>
      <c r="N6">
        <v>1</v>
      </c>
      <c r="P6" s="2" t="s">
        <v>116</v>
      </c>
      <c r="Q6" s="4">
        <v>131</v>
      </c>
      <c r="R6" s="4">
        <v>64</v>
      </c>
      <c r="S6" s="22">
        <v>0.48854961832061067</v>
      </c>
      <c r="T6" s="4">
        <v>0.25179095713446864</v>
      </c>
    </row>
    <row r="7" spans="1:22" x14ac:dyDescent="0.3">
      <c r="A7">
        <v>0</v>
      </c>
      <c r="B7">
        <f>DATA!M7</f>
        <v>0</v>
      </c>
      <c r="H7" t="s">
        <v>47</v>
      </c>
      <c r="I7" s="12">
        <f>DATA!M36</f>
        <v>1</v>
      </c>
      <c r="K7">
        <v>1</v>
      </c>
      <c r="L7">
        <v>0</v>
      </c>
      <c r="M7">
        <v>1</v>
      </c>
      <c r="N7">
        <v>1</v>
      </c>
      <c r="P7" s="2" t="s">
        <v>117</v>
      </c>
      <c r="Q7" s="4">
        <v>178</v>
      </c>
      <c r="R7" s="4">
        <v>100</v>
      </c>
      <c r="S7" s="22">
        <v>0.5617977528089888</v>
      </c>
      <c r="T7" s="4">
        <v>0.24757189106836794</v>
      </c>
    </row>
    <row r="8" spans="1:22" ht="15" thickBot="1" x14ac:dyDescent="0.35">
      <c r="A8">
        <v>10</v>
      </c>
      <c r="B8">
        <f>DATA!M8</f>
        <v>0</v>
      </c>
      <c r="H8" t="s">
        <v>47</v>
      </c>
      <c r="I8" s="12">
        <f>DATA!M38</f>
        <v>0</v>
      </c>
      <c r="K8">
        <v>1</v>
      </c>
      <c r="L8">
        <v>1</v>
      </c>
      <c r="M8">
        <v>0</v>
      </c>
      <c r="N8">
        <v>0</v>
      </c>
      <c r="P8" s="26" t="s">
        <v>118</v>
      </c>
      <c r="Q8" s="16">
        <v>147</v>
      </c>
      <c r="R8" s="16">
        <v>83</v>
      </c>
      <c r="S8" s="27">
        <v>0.56462585034013602</v>
      </c>
      <c r="T8" s="16">
        <v>0.24750722206690895</v>
      </c>
    </row>
    <row r="9" spans="1:22" x14ac:dyDescent="0.3">
      <c r="A9">
        <v>5</v>
      </c>
      <c r="B9">
        <f>DATA!M9</f>
        <v>1</v>
      </c>
      <c r="H9" t="s">
        <v>47</v>
      </c>
      <c r="I9" s="12">
        <f>DATA!M39</f>
        <v>0</v>
      </c>
      <c r="K9">
        <v>0</v>
      </c>
      <c r="L9">
        <v>1</v>
      </c>
      <c r="M9">
        <v>1</v>
      </c>
      <c r="N9">
        <v>0</v>
      </c>
    </row>
    <row r="10" spans="1:22" x14ac:dyDescent="0.3">
      <c r="A10">
        <v>1</v>
      </c>
      <c r="B10">
        <f>DATA!M10</f>
        <v>1</v>
      </c>
      <c r="H10" t="s">
        <v>47</v>
      </c>
      <c r="I10" s="12">
        <f>DATA!M40</f>
        <v>1</v>
      </c>
      <c r="K10">
        <v>0</v>
      </c>
      <c r="L10">
        <v>1</v>
      </c>
      <c r="M10">
        <v>1</v>
      </c>
      <c r="N10">
        <v>1</v>
      </c>
    </row>
    <row r="11" spans="1:22" ht="15" thickBot="1" x14ac:dyDescent="0.35">
      <c r="A11">
        <v>7</v>
      </c>
      <c r="B11">
        <f>DATA!M11</f>
        <v>1</v>
      </c>
      <c r="H11" t="s">
        <v>47</v>
      </c>
      <c r="I11" s="12">
        <f>DATA!M43</f>
        <v>0</v>
      </c>
      <c r="K11">
        <v>0</v>
      </c>
      <c r="L11">
        <v>1</v>
      </c>
      <c r="M11">
        <v>0</v>
      </c>
      <c r="N11">
        <v>0</v>
      </c>
      <c r="P11" t="s">
        <v>70</v>
      </c>
    </row>
    <row r="12" spans="1:22" x14ac:dyDescent="0.3">
      <c r="A12">
        <v>10</v>
      </c>
      <c r="B12">
        <f>DATA!M12</f>
        <v>1</v>
      </c>
      <c r="H12" t="s">
        <v>47</v>
      </c>
      <c r="I12" s="12">
        <f>DATA!M45</f>
        <v>0</v>
      </c>
      <c r="K12">
        <v>0</v>
      </c>
      <c r="L12">
        <v>1</v>
      </c>
      <c r="M12">
        <v>1</v>
      </c>
      <c r="N12">
        <v>0</v>
      </c>
      <c r="P12" s="14" t="s">
        <v>111</v>
      </c>
      <c r="Q12" s="14" t="s">
        <v>76</v>
      </c>
      <c r="R12" s="14" t="s">
        <v>75</v>
      </c>
      <c r="S12" s="14" t="s">
        <v>77</v>
      </c>
      <c r="T12" s="14" t="s">
        <v>78</v>
      </c>
      <c r="U12" s="24" t="s">
        <v>82</v>
      </c>
      <c r="V12" s="14" t="s">
        <v>112</v>
      </c>
    </row>
    <row r="13" spans="1:22" x14ac:dyDescent="0.3">
      <c r="A13">
        <v>3</v>
      </c>
      <c r="B13">
        <f>DATA!M13</f>
        <v>1</v>
      </c>
      <c r="H13" t="s">
        <v>47</v>
      </c>
      <c r="I13" s="12">
        <f>DATA!M47</f>
        <v>1</v>
      </c>
      <c r="K13">
        <v>1</v>
      </c>
      <c r="L13">
        <v>0</v>
      </c>
      <c r="M13">
        <v>0</v>
      </c>
      <c r="N13">
        <v>1</v>
      </c>
      <c r="P13" t="s">
        <v>113</v>
      </c>
      <c r="Q13" s="4">
        <v>1.3604839788375926</v>
      </c>
      <c r="R13" s="4">
        <v>3</v>
      </c>
      <c r="S13" s="4">
        <v>0.45349465961253088</v>
      </c>
      <c r="T13" s="4">
        <v>1.825511841142905</v>
      </c>
      <c r="U13" s="21">
        <v>0.14154073633606115</v>
      </c>
      <c r="V13" s="4">
        <v>2.6229155943626448</v>
      </c>
    </row>
    <row r="14" spans="1:22" x14ac:dyDescent="0.3">
      <c r="A14">
        <v>2</v>
      </c>
      <c r="B14">
        <f>DATA!M14</f>
        <v>0</v>
      </c>
      <c r="H14" t="s">
        <v>47</v>
      </c>
      <c r="I14" s="12">
        <f>DATA!M50</f>
        <v>1</v>
      </c>
      <c r="K14">
        <v>1</v>
      </c>
      <c r="L14">
        <v>1</v>
      </c>
      <c r="M14">
        <v>0</v>
      </c>
      <c r="N14">
        <v>1</v>
      </c>
      <c r="P14" t="s">
        <v>114</v>
      </c>
      <c r="Q14" s="4">
        <v>122.96817333579268</v>
      </c>
      <c r="R14" s="4">
        <v>495</v>
      </c>
      <c r="S14" s="4">
        <v>0.24842055219352058</v>
      </c>
      <c r="T14" s="4"/>
      <c r="U14" s="4"/>
      <c r="V14" s="4"/>
    </row>
    <row r="15" spans="1:22" x14ac:dyDescent="0.3">
      <c r="A15">
        <v>3</v>
      </c>
      <c r="B15">
        <f>DATA!M15</f>
        <v>1</v>
      </c>
      <c r="H15" t="s">
        <v>47</v>
      </c>
      <c r="I15" s="12">
        <f>DATA!M51</f>
        <v>0</v>
      </c>
      <c r="K15">
        <v>1</v>
      </c>
      <c r="L15">
        <v>0</v>
      </c>
      <c r="M15">
        <v>0</v>
      </c>
      <c r="N15">
        <v>0</v>
      </c>
      <c r="Q15" s="4"/>
      <c r="R15" s="4"/>
      <c r="S15" s="4"/>
      <c r="T15" s="4"/>
      <c r="U15" s="4"/>
      <c r="V15" s="4"/>
    </row>
    <row r="16" spans="1:22" ht="15" thickBot="1" x14ac:dyDescent="0.35">
      <c r="A16">
        <v>2</v>
      </c>
      <c r="B16">
        <f>DATA!M16</f>
        <v>0</v>
      </c>
      <c r="H16" t="s">
        <v>47</v>
      </c>
      <c r="I16" s="12">
        <f>DATA!M52</f>
        <v>1</v>
      </c>
      <c r="K16">
        <v>1</v>
      </c>
      <c r="L16">
        <v>1</v>
      </c>
      <c r="M16">
        <v>1</v>
      </c>
      <c r="N16">
        <v>1</v>
      </c>
      <c r="P16" s="13" t="s">
        <v>73</v>
      </c>
      <c r="Q16" s="16">
        <v>124.32865731463028</v>
      </c>
      <c r="R16" s="16">
        <v>498</v>
      </c>
      <c r="S16" s="16"/>
      <c r="T16" s="16"/>
      <c r="U16" s="16"/>
      <c r="V16" s="16"/>
    </row>
    <row r="17" spans="1:14" x14ac:dyDescent="0.3">
      <c r="A17">
        <v>3</v>
      </c>
      <c r="B17">
        <f>DATA!M17</f>
        <v>1</v>
      </c>
      <c r="H17" t="s">
        <v>47</v>
      </c>
      <c r="I17" s="12">
        <f>DATA!M53</f>
        <v>0</v>
      </c>
      <c r="K17">
        <v>0</v>
      </c>
      <c r="L17">
        <v>1</v>
      </c>
      <c r="M17">
        <v>1</v>
      </c>
      <c r="N17">
        <v>0</v>
      </c>
    </row>
    <row r="18" spans="1:14" x14ac:dyDescent="0.3">
      <c r="A18">
        <v>7</v>
      </c>
      <c r="B18">
        <f>DATA!M18</f>
        <v>1</v>
      </c>
      <c r="H18" t="s">
        <v>47</v>
      </c>
      <c r="I18" s="12">
        <f>DATA!M68</f>
        <v>1</v>
      </c>
      <c r="K18">
        <v>0</v>
      </c>
      <c r="L18">
        <v>0</v>
      </c>
      <c r="M18">
        <v>1</v>
      </c>
      <c r="N18">
        <v>1</v>
      </c>
    </row>
    <row r="19" spans="1:14" x14ac:dyDescent="0.3">
      <c r="A19">
        <v>7</v>
      </c>
      <c r="B19">
        <f>DATA!M19</f>
        <v>0</v>
      </c>
      <c r="H19" t="s">
        <v>47</v>
      </c>
      <c r="I19" s="12">
        <f>DATA!M74</f>
        <v>0</v>
      </c>
      <c r="K19">
        <v>0</v>
      </c>
      <c r="L19">
        <v>1</v>
      </c>
      <c r="M19">
        <v>0</v>
      </c>
      <c r="N19">
        <v>0</v>
      </c>
    </row>
    <row r="20" spans="1:14" x14ac:dyDescent="0.3">
      <c r="A20">
        <v>1</v>
      </c>
      <c r="B20">
        <f>DATA!M20</f>
        <v>1</v>
      </c>
      <c r="H20" t="s">
        <v>47</v>
      </c>
      <c r="I20" s="12">
        <f>DATA!M75</f>
        <v>0</v>
      </c>
      <c r="K20">
        <v>0</v>
      </c>
      <c r="L20">
        <v>0</v>
      </c>
      <c r="M20">
        <v>0</v>
      </c>
      <c r="N20">
        <v>0</v>
      </c>
    </row>
    <row r="21" spans="1:14" x14ac:dyDescent="0.3">
      <c r="A21">
        <v>4</v>
      </c>
      <c r="B21">
        <f>DATA!M21</f>
        <v>0</v>
      </c>
      <c r="H21" t="s">
        <v>47</v>
      </c>
      <c r="I21" s="12">
        <f>DATA!M81</f>
        <v>0</v>
      </c>
      <c r="K21">
        <v>0</v>
      </c>
      <c r="L21">
        <v>1</v>
      </c>
      <c r="M21">
        <v>1</v>
      </c>
      <c r="N21">
        <v>0</v>
      </c>
    </row>
    <row r="22" spans="1:14" x14ac:dyDescent="0.3">
      <c r="A22">
        <v>6</v>
      </c>
      <c r="B22">
        <f>DATA!M22</f>
        <v>1</v>
      </c>
      <c r="H22" t="s">
        <v>47</v>
      </c>
      <c r="I22" s="12">
        <f>DATA!M82</f>
        <v>0</v>
      </c>
      <c r="K22">
        <v>1</v>
      </c>
      <c r="L22">
        <v>0</v>
      </c>
      <c r="M22">
        <v>1</v>
      </c>
      <c r="N22">
        <v>0</v>
      </c>
    </row>
    <row r="23" spans="1:14" x14ac:dyDescent="0.3">
      <c r="A23">
        <v>10</v>
      </c>
      <c r="B23">
        <f>DATA!M23</f>
        <v>0</v>
      </c>
      <c r="H23" t="s">
        <v>47</v>
      </c>
      <c r="I23" s="12">
        <f>DATA!M83</f>
        <v>1</v>
      </c>
      <c r="K23">
        <v>0</v>
      </c>
      <c r="L23">
        <v>1</v>
      </c>
      <c r="M23">
        <v>1</v>
      </c>
      <c r="N23">
        <v>1</v>
      </c>
    </row>
    <row r="24" spans="1:14" x14ac:dyDescent="0.3">
      <c r="A24">
        <v>7</v>
      </c>
      <c r="B24">
        <f>DATA!M24</f>
        <v>1</v>
      </c>
      <c r="H24" t="s">
        <v>47</v>
      </c>
      <c r="I24" s="12">
        <f>DATA!M84</f>
        <v>1</v>
      </c>
      <c r="K24">
        <v>1</v>
      </c>
      <c r="L24">
        <v>0</v>
      </c>
      <c r="M24">
        <v>0</v>
      </c>
      <c r="N24">
        <v>1</v>
      </c>
    </row>
    <row r="25" spans="1:14" x14ac:dyDescent="0.3">
      <c r="A25">
        <v>0</v>
      </c>
      <c r="B25">
        <f>DATA!M25</f>
        <v>0</v>
      </c>
      <c r="H25" t="s">
        <v>47</v>
      </c>
      <c r="I25" s="12">
        <f>DATA!M85</f>
        <v>0</v>
      </c>
      <c r="K25">
        <v>1</v>
      </c>
      <c r="L25">
        <v>0</v>
      </c>
      <c r="M25">
        <v>1</v>
      </c>
      <c r="N25">
        <v>0</v>
      </c>
    </row>
    <row r="26" spans="1:14" x14ac:dyDescent="0.3">
      <c r="A26">
        <v>0</v>
      </c>
      <c r="B26">
        <f>DATA!M26</f>
        <v>0</v>
      </c>
      <c r="H26" t="s">
        <v>47</v>
      </c>
      <c r="I26" s="12">
        <f>DATA!M89</f>
        <v>1</v>
      </c>
      <c r="K26">
        <v>1</v>
      </c>
      <c r="L26">
        <v>0</v>
      </c>
      <c r="M26">
        <v>0</v>
      </c>
      <c r="N26">
        <v>1</v>
      </c>
    </row>
    <row r="27" spans="1:14" x14ac:dyDescent="0.3">
      <c r="A27">
        <v>6</v>
      </c>
      <c r="B27">
        <f>DATA!M27</f>
        <v>0</v>
      </c>
      <c r="H27" t="s">
        <v>47</v>
      </c>
      <c r="I27" s="12">
        <f>DATA!M92</f>
        <v>0</v>
      </c>
      <c r="K27">
        <v>0</v>
      </c>
      <c r="L27">
        <v>1</v>
      </c>
      <c r="M27">
        <v>1</v>
      </c>
      <c r="N27">
        <v>0</v>
      </c>
    </row>
    <row r="28" spans="1:14" x14ac:dyDescent="0.3">
      <c r="A28">
        <v>4</v>
      </c>
      <c r="B28">
        <f>DATA!M28</f>
        <v>1</v>
      </c>
      <c r="H28" t="s">
        <v>47</v>
      </c>
      <c r="I28" s="12">
        <f>DATA!M95</f>
        <v>0</v>
      </c>
      <c r="K28">
        <v>0</v>
      </c>
      <c r="L28">
        <v>0</v>
      </c>
      <c r="M28">
        <v>1</v>
      </c>
      <c r="N28">
        <v>0</v>
      </c>
    </row>
    <row r="29" spans="1:14" x14ac:dyDescent="0.3">
      <c r="A29">
        <v>4</v>
      </c>
      <c r="B29">
        <f>DATA!M29</f>
        <v>0</v>
      </c>
      <c r="H29" t="s">
        <v>47</v>
      </c>
      <c r="I29" s="12">
        <f>DATA!M97</f>
        <v>1</v>
      </c>
      <c r="K29">
        <v>1</v>
      </c>
      <c r="L29">
        <v>1</v>
      </c>
      <c r="M29">
        <v>1</v>
      </c>
      <c r="N29">
        <v>1</v>
      </c>
    </row>
    <row r="30" spans="1:14" x14ac:dyDescent="0.3">
      <c r="A30">
        <v>10</v>
      </c>
      <c r="B30">
        <f>DATA!M30</f>
        <v>1</v>
      </c>
      <c r="H30" t="s">
        <v>47</v>
      </c>
      <c r="I30" s="12">
        <f>DATA!M103</f>
        <v>0</v>
      </c>
      <c r="K30">
        <v>0</v>
      </c>
      <c r="L30">
        <v>1</v>
      </c>
      <c r="M30">
        <v>0</v>
      </c>
      <c r="N30">
        <v>0</v>
      </c>
    </row>
    <row r="31" spans="1:14" x14ac:dyDescent="0.3">
      <c r="A31">
        <v>5</v>
      </c>
      <c r="B31">
        <f>DATA!M31</f>
        <v>1</v>
      </c>
      <c r="H31" t="s">
        <v>47</v>
      </c>
      <c r="I31" s="12">
        <f>DATA!M104</f>
        <v>1</v>
      </c>
      <c r="K31">
        <v>1</v>
      </c>
      <c r="L31">
        <v>1</v>
      </c>
      <c r="M31">
        <v>0</v>
      </c>
      <c r="N31">
        <v>1</v>
      </c>
    </row>
    <row r="32" spans="1:14" x14ac:dyDescent="0.3">
      <c r="A32">
        <v>1</v>
      </c>
      <c r="B32">
        <f>DATA!M32</f>
        <v>1</v>
      </c>
      <c r="H32" t="s">
        <v>47</v>
      </c>
      <c r="I32" s="12">
        <f>DATA!M105</f>
        <v>1</v>
      </c>
      <c r="K32">
        <v>0</v>
      </c>
      <c r="L32">
        <v>1</v>
      </c>
      <c r="M32">
        <v>1</v>
      </c>
      <c r="N32">
        <v>1</v>
      </c>
    </row>
    <row r="33" spans="1:14" x14ac:dyDescent="0.3">
      <c r="A33">
        <v>10</v>
      </c>
      <c r="B33">
        <f>DATA!M33</f>
        <v>1</v>
      </c>
      <c r="H33" t="s">
        <v>47</v>
      </c>
      <c r="I33" s="12">
        <f>DATA!M107</f>
        <v>1</v>
      </c>
      <c r="K33">
        <v>0</v>
      </c>
      <c r="L33">
        <v>1</v>
      </c>
      <c r="M33">
        <v>1</v>
      </c>
      <c r="N33">
        <v>1</v>
      </c>
    </row>
    <row r="34" spans="1:14" x14ac:dyDescent="0.3">
      <c r="A34">
        <v>2</v>
      </c>
      <c r="B34">
        <f>DATA!M34</f>
        <v>1</v>
      </c>
      <c r="H34" t="s">
        <v>47</v>
      </c>
      <c r="I34" s="12">
        <f>DATA!M108</f>
        <v>0</v>
      </c>
      <c r="K34">
        <v>1</v>
      </c>
      <c r="L34">
        <v>0</v>
      </c>
      <c r="M34">
        <v>0</v>
      </c>
      <c r="N34">
        <v>0</v>
      </c>
    </row>
    <row r="35" spans="1:14" x14ac:dyDescent="0.3">
      <c r="A35">
        <v>6</v>
      </c>
      <c r="B35">
        <f>DATA!M35</f>
        <v>0</v>
      </c>
      <c r="H35" t="s">
        <v>47</v>
      </c>
      <c r="I35" s="12">
        <f>DATA!M121</f>
        <v>1</v>
      </c>
      <c r="K35">
        <v>0</v>
      </c>
      <c r="L35">
        <v>1</v>
      </c>
      <c r="M35">
        <v>1</v>
      </c>
      <c r="N35">
        <v>1</v>
      </c>
    </row>
    <row r="36" spans="1:14" x14ac:dyDescent="0.3">
      <c r="A36">
        <v>8</v>
      </c>
      <c r="B36">
        <f>DATA!M36</f>
        <v>1</v>
      </c>
      <c r="H36" t="s">
        <v>47</v>
      </c>
      <c r="I36" s="12">
        <f>DATA!M126</f>
        <v>0</v>
      </c>
      <c r="K36">
        <v>0</v>
      </c>
      <c r="L36">
        <v>1</v>
      </c>
      <c r="M36">
        <v>1</v>
      </c>
      <c r="N36">
        <v>0</v>
      </c>
    </row>
    <row r="37" spans="1:14" x14ac:dyDescent="0.3">
      <c r="A37">
        <v>2</v>
      </c>
      <c r="B37">
        <f>DATA!M37</f>
        <v>1</v>
      </c>
      <c r="H37" t="s">
        <v>47</v>
      </c>
      <c r="I37" s="12">
        <f>DATA!M133</f>
        <v>0</v>
      </c>
      <c r="K37">
        <v>1</v>
      </c>
      <c r="L37">
        <v>0</v>
      </c>
      <c r="M37">
        <v>0</v>
      </c>
      <c r="N37">
        <v>0</v>
      </c>
    </row>
    <row r="38" spans="1:14" x14ac:dyDescent="0.3">
      <c r="A38">
        <v>10</v>
      </c>
      <c r="B38">
        <f>DATA!M38</f>
        <v>0</v>
      </c>
      <c r="H38" t="s">
        <v>47</v>
      </c>
      <c r="I38" s="12">
        <f>DATA!M137</f>
        <v>1</v>
      </c>
      <c r="K38">
        <v>0</v>
      </c>
      <c r="L38">
        <v>0</v>
      </c>
      <c r="M38">
        <v>0</v>
      </c>
      <c r="N38">
        <v>1</v>
      </c>
    </row>
    <row r="39" spans="1:14" x14ac:dyDescent="0.3">
      <c r="A39">
        <v>9</v>
      </c>
      <c r="B39">
        <f>DATA!M39</f>
        <v>0</v>
      </c>
      <c r="H39" t="s">
        <v>47</v>
      </c>
      <c r="I39" s="12">
        <f>DATA!M139</f>
        <v>1</v>
      </c>
      <c r="K39">
        <v>1</v>
      </c>
      <c r="L39">
        <v>1</v>
      </c>
      <c r="M39">
        <v>0</v>
      </c>
      <c r="N39">
        <v>1</v>
      </c>
    </row>
    <row r="40" spans="1:14" x14ac:dyDescent="0.3">
      <c r="A40">
        <v>9</v>
      </c>
      <c r="B40">
        <f>DATA!M40</f>
        <v>1</v>
      </c>
      <c r="H40" t="s">
        <v>47</v>
      </c>
      <c r="I40" s="12">
        <f>DATA!M140</f>
        <v>0</v>
      </c>
      <c r="K40">
        <v>0</v>
      </c>
      <c r="L40">
        <v>0</v>
      </c>
      <c r="M40">
        <v>1</v>
      </c>
      <c r="N40">
        <v>0</v>
      </c>
    </row>
    <row r="41" spans="1:14" x14ac:dyDescent="0.3">
      <c r="A41">
        <v>5</v>
      </c>
      <c r="B41">
        <f>DATA!M41</f>
        <v>0</v>
      </c>
      <c r="H41" t="s">
        <v>47</v>
      </c>
      <c r="I41" s="12">
        <f>DATA!M141</f>
        <v>1</v>
      </c>
      <c r="K41">
        <v>1</v>
      </c>
      <c r="L41">
        <v>1</v>
      </c>
      <c r="M41">
        <v>0</v>
      </c>
      <c r="N41">
        <v>1</v>
      </c>
    </row>
    <row r="42" spans="1:14" x14ac:dyDescent="0.3">
      <c r="A42">
        <v>5</v>
      </c>
      <c r="B42">
        <f>DATA!M42</f>
        <v>1</v>
      </c>
      <c r="H42" t="s">
        <v>47</v>
      </c>
      <c r="I42" s="12">
        <f>DATA!M142</f>
        <v>1</v>
      </c>
      <c r="K42">
        <v>0</v>
      </c>
      <c r="L42">
        <v>0</v>
      </c>
      <c r="M42">
        <v>1</v>
      </c>
      <c r="N42">
        <v>1</v>
      </c>
    </row>
    <row r="43" spans="1:14" x14ac:dyDescent="0.3">
      <c r="A43">
        <v>8</v>
      </c>
      <c r="B43">
        <f>DATA!M43</f>
        <v>0</v>
      </c>
      <c r="H43" t="s">
        <v>47</v>
      </c>
      <c r="I43" s="12">
        <f>DATA!M144</f>
        <v>1</v>
      </c>
      <c r="K43">
        <v>0</v>
      </c>
      <c r="L43">
        <v>1</v>
      </c>
      <c r="M43">
        <v>1</v>
      </c>
      <c r="N43">
        <v>1</v>
      </c>
    </row>
    <row r="44" spans="1:14" x14ac:dyDescent="0.3">
      <c r="A44">
        <v>5</v>
      </c>
      <c r="B44">
        <f>DATA!M44</f>
        <v>1</v>
      </c>
      <c r="H44" t="s">
        <v>47</v>
      </c>
      <c r="I44" s="12">
        <f>DATA!M146</f>
        <v>0</v>
      </c>
      <c r="K44">
        <v>1</v>
      </c>
      <c r="L44">
        <v>0</v>
      </c>
      <c r="M44">
        <v>1</v>
      </c>
      <c r="N44">
        <v>0</v>
      </c>
    </row>
    <row r="45" spans="1:14" x14ac:dyDescent="0.3">
      <c r="A45">
        <v>9</v>
      </c>
      <c r="B45">
        <f>DATA!M45</f>
        <v>0</v>
      </c>
      <c r="H45" t="s">
        <v>47</v>
      </c>
      <c r="I45" s="12">
        <f>DATA!M147</f>
        <v>0</v>
      </c>
      <c r="L45">
        <v>0</v>
      </c>
      <c r="M45">
        <v>1</v>
      </c>
      <c r="N45">
        <v>0</v>
      </c>
    </row>
    <row r="46" spans="1:14" x14ac:dyDescent="0.3">
      <c r="A46">
        <v>1</v>
      </c>
      <c r="B46">
        <f>DATA!M46</f>
        <v>0</v>
      </c>
      <c r="H46" t="s">
        <v>47</v>
      </c>
      <c r="I46" s="12">
        <f>DATA!M155</f>
        <v>1</v>
      </c>
      <c r="L46">
        <v>1</v>
      </c>
      <c r="M46">
        <v>0</v>
      </c>
      <c r="N46">
        <v>1</v>
      </c>
    </row>
    <row r="47" spans="1:14" x14ac:dyDescent="0.3">
      <c r="A47">
        <v>9</v>
      </c>
      <c r="B47">
        <f>DATA!M47</f>
        <v>1</v>
      </c>
      <c r="H47" t="s">
        <v>47</v>
      </c>
      <c r="I47" s="12">
        <f>DATA!M159</f>
        <v>1</v>
      </c>
      <c r="L47">
        <v>0</v>
      </c>
      <c r="M47">
        <v>1</v>
      </c>
      <c r="N47">
        <v>1</v>
      </c>
    </row>
    <row r="48" spans="1:14" x14ac:dyDescent="0.3">
      <c r="A48">
        <v>4</v>
      </c>
      <c r="B48">
        <f>DATA!M48</f>
        <v>0</v>
      </c>
      <c r="H48" t="s">
        <v>47</v>
      </c>
      <c r="I48" s="12">
        <f>DATA!M160</f>
        <v>1</v>
      </c>
      <c r="L48">
        <v>1</v>
      </c>
      <c r="M48">
        <v>1</v>
      </c>
      <c r="N48">
        <v>1</v>
      </c>
    </row>
    <row r="49" spans="1:14" x14ac:dyDescent="0.3">
      <c r="A49">
        <v>6</v>
      </c>
      <c r="B49">
        <f>DATA!M49</f>
        <v>1</v>
      </c>
      <c r="H49" t="s">
        <v>47</v>
      </c>
      <c r="I49" s="12">
        <f>DATA!M165</f>
        <v>1</v>
      </c>
      <c r="L49">
        <v>1</v>
      </c>
      <c r="M49">
        <v>0</v>
      </c>
      <c r="N49">
        <v>1</v>
      </c>
    </row>
    <row r="50" spans="1:14" x14ac:dyDescent="0.3">
      <c r="A50">
        <v>9</v>
      </c>
      <c r="B50">
        <f>DATA!M50</f>
        <v>1</v>
      </c>
      <c r="H50" t="s">
        <v>47</v>
      </c>
      <c r="I50" s="12">
        <f>DATA!M167</f>
        <v>1</v>
      </c>
      <c r="L50">
        <v>0</v>
      </c>
      <c r="M50">
        <v>1</v>
      </c>
      <c r="N50">
        <v>1</v>
      </c>
    </row>
    <row r="51" spans="1:14" x14ac:dyDescent="0.3">
      <c r="A51">
        <v>10</v>
      </c>
      <c r="B51">
        <f>DATA!M51</f>
        <v>0</v>
      </c>
      <c r="H51" t="s">
        <v>47</v>
      </c>
      <c r="I51" s="12">
        <f>DATA!M174</f>
        <v>1</v>
      </c>
      <c r="L51">
        <v>1</v>
      </c>
      <c r="M51">
        <v>0</v>
      </c>
      <c r="N51">
        <v>1</v>
      </c>
    </row>
    <row r="52" spans="1:14" x14ac:dyDescent="0.3">
      <c r="A52">
        <v>8</v>
      </c>
      <c r="B52">
        <f>DATA!M52</f>
        <v>1</v>
      </c>
      <c r="H52" t="s">
        <v>47</v>
      </c>
      <c r="I52" s="12">
        <f>DATA!M178</f>
        <v>0</v>
      </c>
      <c r="L52">
        <v>0</v>
      </c>
      <c r="M52">
        <v>0</v>
      </c>
      <c r="N52">
        <v>0</v>
      </c>
    </row>
    <row r="53" spans="1:14" x14ac:dyDescent="0.3">
      <c r="A53">
        <v>10</v>
      </c>
      <c r="B53">
        <f>DATA!M53</f>
        <v>0</v>
      </c>
      <c r="H53" t="s">
        <v>47</v>
      </c>
      <c r="I53" s="12">
        <f>DATA!M179</f>
        <v>1</v>
      </c>
      <c r="L53">
        <v>0</v>
      </c>
      <c r="M53">
        <v>0</v>
      </c>
      <c r="N53">
        <v>1</v>
      </c>
    </row>
    <row r="54" spans="1:14" x14ac:dyDescent="0.3">
      <c r="A54">
        <v>0</v>
      </c>
      <c r="B54">
        <f>DATA!M54</f>
        <v>0</v>
      </c>
      <c r="H54" t="s">
        <v>47</v>
      </c>
      <c r="I54" s="12">
        <f>DATA!M180</f>
        <v>1</v>
      </c>
      <c r="L54">
        <v>1</v>
      </c>
      <c r="M54">
        <v>0</v>
      </c>
      <c r="N54">
        <v>1</v>
      </c>
    </row>
    <row r="55" spans="1:14" x14ac:dyDescent="0.3">
      <c r="A55">
        <v>5</v>
      </c>
      <c r="B55">
        <f>DATA!M55</f>
        <v>1</v>
      </c>
      <c r="H55" t="s">
        <v>47</v>
      </c>
      <c r="I55" s="12">
        <f>DATA!M181</f>
        <v>0</v>
      </c>
      <c r="L55">
        <v>0</v>
      </c>
      <c r="M55">
        <v>1</v>
      </c>
      <c r="N55">
        <v>0</v>
      </c>
    </row>
    <row r="56" spans="1:14" x14ac:dyDescent="0.3">
      <c r="A56">
        <v>6</v>
      </c>
      <c r="B56">
        <f>DATA!M56</f>
        <v>0</v>
      </c>
      <c r="H56" t="s">
        <v>47</v>
      </c>
      <c r="I56" s="12">
        <f>DATA!M182</f>
        <v>1</v>
      </c>
      <c r="L56">
        <v>1</v>
      </c>
      <c r="M56">
        <v>1</v>
      </c>
      <c r="N56">
        <v>1</v>
      </c>
    </row>
    <row r="57" spans="1:14" x14ac:dyDescent="0.3">
      <c r="A57">
        <v>0</v>
      </c>
      <c r="B57">
        <f>DATA!M57</f>
        <v>1</v>
      </c>
      <c r="H57" t="s">
        <v>47</v>
      </c>
      <c r="I57" s="12">
        <f>DATA!M185</f>
        <v>0</v>
      </c>
      <c r="L57">
        <v>1</v>
      </c>
      <c r="M57">
        <v>0</v>
      </c>
      <c r="N57">
        <v>0</v>
      </c>
    </row>
    <row r="58" spans="1:14" x14ac:dyDescent="0.3">
      <c r="A58">
        <v>6</v>
      </c>
      <c r="B58">
        <f>DATA!M58</f>
        <v>1</v>
      </c>
      <c r="H58" t="s">
        <v>47</v>
      </c>
      <c r="I58" s="12">
        <f>DATA!M194</f>
        <v>1</v>
      </c>
      <c r="L58">
        <v>1</v>
      </c>
      <c r="M58">
        <v>1</v>
      </c>
      <c r="N58">
        <v>1</v>
      </c>
    </row>
    <row r="59" spans="1:14" x14ac:dyDescent="0.3">
      <c r="A59">
        <v>0</v>
      </c>
      <c r="B59">
        <f>DATA!M59</f>
        <v>1</v>
      </c>
      <c r="H59" t="s">
        <v>47</v>
      </c>
      <c r="I59" s="12">
        <f>DATA!M195</f>
        <v>1</v>
      </c>
      <c r="L59">
        <v>0</v>
      </c>
      <c r="M59">
        <v>1</v>
      </c>
      <c r="N59">
        <v>1</v>
      </c>
    </row>
    <row r="60" spans="1:14" x14ac:dyDescent="0.3">
      <c r="A60">
        <v>6</v>
      </c>
      <c r="B60">
        <f>DATA!M60</f>
        <v>0</v>
      </c>
      <c r="H60" t="s">
        <v>47</v>
      </c>
      <c r="I60" s="12">
        <f>DATA!M197</f>
        <v>0</v>
      </c>
      <c r="L60">
        <v>1</v>
      </c>
      <c r="M60">
        <v>0</v>
      </c>
      <c r="N60">
        <v>0</v>
      </c>
    </row>
    <row r="61" spans="1:14" x14ac:dyDescent="0.3">
      <c r="A61">
        <v>7</v>
      </c>
      <c r="B61">
        <f>DATA!M61</f>
        <v>1</v>
      </c>
      <c r="H61" t="s">
        <v>47</v>
      </c>
      <c r="I61" s="12">
        <f>DATA!M208</f>
        <v>1</v>
      </c>
      <c r="L61">
        <v>0</v>
      </c>
      <c r="M61">
        <v>0</v>
      </c>
      <c r="N61">
        <v>1</v>
      </c>
    </row>
    <row r="62" spans="1:14" x14ac:dyDescent="0.3">
      <c r="A62">
        <v>1</v>
      </c>
      <c r="B62">
        <f>DATA!M62</f>
        <v>0</v>
      </c>
      <c r="H62" t="s">
        <v>47</v>
      </c>
      <c r="I62" s="12">
        <f>DATA!M209</f>
        <v>0</v>
      </c>
      <c r="L62">
        <v>1</v>
      </c>
      <c r="M62">
        <v>1</v>
      </c>
      <c r="N62">
        <v>0</v>
      </c>
    </row>
    <row r="63" spans="1:14" x14ac:dyDescent="0.3">
      <c r="A63">
        <v>1</v>
      </c>
      <c r="B63">
        <f>DATA!M63</f>
        <v>1</v>
      </c>
      <c r="H63" t="s">
        <v>47</v>
      </c>
      <c r="I63" s="12">
        <f>DATA!M213</f>
        <v>0</v>
      </c>
      <c r="L63">
        <v>1</v>
      </c>
      <c r="M63">
        <v>1</v>
      </c>
      <c r="N63">
        <v>0</v>
      </c>
    </row>
    <row r="64" spans="1:14" x14ac:dyDescent="0.3">
      <c r="A64">
        <v>5</v>
      </c>
      <c r="B64">
        <f>DATA!M64</f>
        <v>1</v>
      </c>
      <c r="H64" t="s">
        <v>47</v>
      </c>
      <c r="I64" s="12">
        <f>DATA!M215</f>
        <v>0</v>
      </c>
      <c r="L64">
        <v>0</v>
      </c>
      <c r="M64">
        <v>1</v>
      </c>
      <c r="N64">
        <v>0</v>
      </c>
    </row>
    <row r="65" spans="1:14" x14ac:dyDescent="0.3">
      <c r="A65">
        <v>0</v>
      </c>
      <c r="B65">
        <f>DATA!M65</f>
        <v>0</v>
      </c>
      <c r="H65" t="s">
        <v>47</v>
      </c>
      <c r="I65" s="12">
        <f>DATA!M216</f>
        <v>1</v>
      </c>
      <c r="L65">
        <v>1</v>
      </c>
      <c r="M65">
        <v>0</v>
      </c>
      <c r="N65">
        <v>1</v>
      </c>
    </row>
    <row r="66" spans="1:14" x14ac:dyDescent="0.3">
      <c r="A66">
        <v>6</v>
      </c>
      <c r="B66">
        <f>DATA!M66</f>
        <v>1</v>
      </c>
      <c r="H66" t="s">
        <v>47</v>
      </c>
      <c r="I66" s="12">
        <f>DATA!M225</f>
        <v>0</v>
      </c>
      <c r="L66">
        <v>0</v>
      </c>
      <c r="M66">
        <v>0</v>
      </c>
      <c r="N66">
        <v>0</v>
      </c>
    </row>
    <row r="67" spans="1:14" x14ac:dyDescent="0.3">
      <c r="A67">
        <v>4</v>
      </c>
      <c r="B67">
        <f>DATA!M67</f>
        <v>0</v>
      </c>
      <c r="H67" t="s">
        <v>47</v>
      </c>
      <c r="I67" s="12">
        <f>DATA!M226</f>
        <v>0</v>
      </c>
      <c r="L67">
        <v>1</v>
      </c>
      <c r="M67">
        <v>1</v>
      </c>
      <c r="N67">
        <v>0</v>
      </c>
    </row>
    <row r="68" spans="1:14" x14ac:dyDescent="0.3">
      <c r="A68">
        <v>10</v>
      </c>
      <c r="B68">
        <f>DATA!M68</f>
        <v>1</v>
      </c>
      <c r="H68" t="s">
        <v>47</v>
      </c>
      <c r="I68" s="12">
        <f>DATA!M229</f>
        <v>1</v>
      </c>
      <c r="L68">
        <v>0</v>
      </c>
      <c r="M68">
        <v>1</v>
      </c>
      <c r="N68">
        <v>1</v>
      </c>
    </row>
    <row r="69" spans="1:14" x14ac:dyDescent="0.3">
      <c r="A69">
        <v>4</v>
      </c>
      <c r="B69">
        <f>DATA!M69</f>
        <v>0</v>
      </c>
      <c r="H69" t="s">
        <v>47</v>
      </c>
      <c r="I69" s="12">
        <f>DATA!M230</f>
        <v>1</v>
      </c>
      <c r="L69">
        <v>1</v>
      </c>
      <c r="M69">
        <v>1</v>
      </c>
      <c r="N69">
        <v>1</v>
      </c>
    </row>
    <row r="70" spans="1:14" x14ac:dyDescent="0.3">
      <c r="A70">
        <v>7</v>
      </c>
      <c r="B70">
        <f>DATA!M70</f>
        <v>1</v>
      </c>
      <c r="H70" t="s">
        <v>47</v>
      </c>
      <c r="I70" s="12">
        <f>DATA!M231</f>
        <v>1</v>
      </c>
      <c r="L70">
        <v>1</v>
      </c>
      <c r="M70">
        <v>0</v>
      </c>
      <c r="N70">
        <v>1</v>
      </c>
    </row>
    <row r="71" spans="1:14" x14ac:dyDescent="0.3">
      <c r="A71">
        <v>2</v>
      </c>
      <c r="B71">
        <f>DATA!M71</f>
        <v>1</v>
      </c>
      <c r="H71" t="s">
        <v>47</v>
      </c>
      <c r="I71" s="12">
        <f>DATA!M234</f>
        <v>1</v>
      </c>
      <c r="L71">
        <v>1</v>
      </c>
      <c r="M71">
        <v>1</v>
      </c>
      <c r="N71">
        <v>1</v>
      </c>
    </row>
    <row r="72" spans="1:14" x14ac:dyDescent="0.3">
      <c r="A72">
        <v>1</v>
      </c>
      <c r="B72">
        <f>DATA!M72</f>
        <v>1</v>
      </c>
      <c r="H72" t="s">
        <v>47</v>
      </c>
      <c r="I72" s="12">
        <f>DATA!M241</f>
        <v>1</v>
      </c>
      <c r="L72">
        <v>0</v>
      </c>
      <c r="M72">
        <v>1</v>
      </c>
      <c r="N72">
        <v>1</v>
      </c>
    </row>
    <row r="73" spans="1:14" x14ac:dyDescent="0.3">
      <c r="A73">
        <v>4</v>
      </c>
      <c r="B73">
        <f>DATA!M73</f>
        <v>0</v>
      </c>
      <c r="H73" t="s">
        <v>47</v>
      </c>
      <c r="I73" s="12">
        <f>DATA!M246</f>
        <v>1</v>
      </c>
      <c r="L73">
        <v>0</v>
      </c>
      <c r="M73">
        <v>0</v>
      </c>
      <c r="N73">
        <v>1</v>
      </c>
    </row>
    <row r="74" spans="1:14" x14ac:dyDescent="0.3">
      <c r="A74">
        <v>9</v>
      </c>
      <c r="B74">
        <f>DATA!M74</f>
        <v>0</v>
      </c>
      <c r="H74" t="s">
        <v>47</v>
      </c>
      <c r="I74" s="12">
        <f>DATA!M248</f>
        <v>0</v>
      </c>
      <c r="L74">
        <v>0</v>
      </c>
      <c r="M74">
        <v>1</v>
      </c>
      <c r="N74">
        <v>0</v>
      </c>
    </row>
    <row r="75" spans="1:14" x14ac:dyDescent="0.3">
      <c r="A75">
        <v>8</v>
      </c>
      <c r="B75">
        <f>DATA!M75</f>
        <v>0</v>
      </c>
      <c r="H75" t="s">
        <v>47</v>
      </c>
      <c r="I75" s="12">
        <f>DATA!M251</f>
        <v>0</v>
      </c>
      <c r="L75">
        <v>0</v>
      </c>
      <c r="M75">
        <v>1</v>
      </c>
      <c r="N75">
        <v>0</v>
      </c>
    </row>
    <row r="76" spans="1:14" x14ac:dyDescent="0.3">
      <c r="A76">
        <v>4</v>
      </c>
      <c r="B76">
        <f>DATA!M76</f>
        <v>0</v>
      </c>
      <c r="H76" t="s">
        <v>47</v>
      </c>
      <c r="I76" s="12">
        <f>DATA!M254</f>
        <v>0</v>
      </c>
      <c r="L76">
        <v>0</v>
      </c>
      <c r="M76">
        <v>1</v>
      </c>
      <c r="N76">
        <v>0</v>
      </c>
    </row>
    <row r="77" spans="1:14" x14ac:dyDescent="0.3">
      <c r="A77">
        <v>4</v>
      </c>
      <c r="B77">
        <f>DATA!M77</f>
        <v>0</v>
      </c>
      <c r="H77" t="s">
        <v>47</v>
      </c>
      <c r="I77" s="12">
        <f>DATA!M255</f>
        <v>1</v>
      </c>
      <c r="L77">
        <v>0</v>
      </c>
      <c r="M77">
        <v>0</v>
      </c>
      <c r="N77">
        <v>1</v>
      </c>
    </row>
    <row r="78" spans="1:14" x14ac:dyDescent="0.3">
      <c r="A78">
        <v>7</v>
      </c>
      <c r="B78">
        <f>DATA!M78</f>
        <v>0</v>
      </c>
      <c r="H78" t="s">
        <v>47</v>
      </c>
      <c r="I78" s="12">
        <f>DATA!M256</f>
        <v>0</v>
      </c>
      <c r="L78">
        <v>0</v>
      </c>
      <c r="M78">
        <v>0</v>
      </c>
      <c r="N78">
        <v>0</v>
      </c>
    </row>
    <row r="79" spans="1:14" x14ac:dyDescent="0.3">
      <c r="A79">
        <v>0</v>
      </c>
      <c r="B79">
        <f>DATA!M79</f>
        <v>0</v>
      </c>
      <c r="H79" t="s">
        <v>47</v>
      </c>
      <c r="I79" s="12">
        <f>DATA!M258</f>
        <v>1</v>
      </c>
      <c r="L79">
        <v>1</v>
      </c>
      <c r="M79">
        <v>0</v>
      </c>
      <c r="N79">
        <v>1</v>
      </c>
    </row>
    <row r="80" spans="1:14" x14ac:dyDescent="0.3">
      <c r="A80">
        <v>7</v>
      </c>
      <c r="B80">
        <f>DATA!M80</f>
        <v>1</v>
      </c>
      <c r="H80" t="s">
        <v>47</v>
      </c>
      <c r="I80" s="12">
        <f>DATA!M263</f>
        <v>1</v>
      </c>
      <c r="L80">
        <v>0</v>
      </c>
      <c r="M80">
        <v>1</v>
      </c>
      <c r="N80">
        <v>1</v>
      </c>
    </row>
    <row r="81" spans="1:14" x14ac:dyDescent="0.3">
      <c r="A81">
        <v>10</v>
      </c>
      <c r="B81">
        <f>DATA!M81</f>
        <v>0</v>
      </c>
      <c r="H81" t="s">
        <v>47</v>
      </c>
      <c r="I81" s="12">
        <f>DATA!M268</f>
        <v>0</v>
      </c>
      <c r="L81">
        <v>0</v>
      </c>
      <c r="M81">
        <v>0</v>
      </c>
      <c r="N81">
        <v>0</v>
      </c>
    </row>
    <row r="82" spans="1:14" x14ac:dyDescent="0.3">
      <c r="A82">
        <v>8</v>
      </c>
      <c r="B82">
        <f>DATA!M82</f>
        <v>0</v>
      </c>
      <c r="H82" t="s">
        <v>47</v>
      </c>
      <c r="I82" s="12">
        <f>DATA!M274</f>
        <v>1</v>
      </c>
      <c r="L82">
        <v>1</v>
      </c>
      <c r="M82">
        <v>0</v>
      </c>
      <c r="N82">
        <v>1</v>
      </c>
    </row>
    <row r="83" spans="1:14" x14ac:dyDescent="0.3">
      <c r="A83">
        <v>9</v>
      </c>
      <c r="B83">
        <f>DATA!M83</f>
        <v>1</v>
      </c>
      <c r="H83" t="s">
        <v>47</v>
      </c>
      <c r="I83" s="12">
        <f>DATA!M277</f>
        <v>0</v>
      </c>
      <c r="L83">
        <v>1</v>
      </c>
      <c r="M83">
        <v>0</v>
      </c>
      <c r="N83">
        <v>0</v>
      </c>
    </row>
    <row r="84" spans="1:14" x14ac:dyDescent="0.3">
      <c r="A84">
        <v>9</v>
      </c>
      <c r="B84">
        <f>DATA!M84</f>
        <v>1</v>
      </c>
      <c r="H84" t="s">
        <v>47</v>
      </c>
      <c r="I84" s="12">
        <f>DATA!M280</f>
        <v>1</v>
      </c>
      <c r="L84">
        <v>0</v>
      </c>
      <c r="M84">
        <v>1</v>
      </c>
      <c r="N84">
        <v>1</v>
      </c>
    </row>
    <row r="85" spans="1:14" x14ac:dyDescent="0.3">
      <c r="A85">
        <v>10</v>
      </c>
      <c r="B85">
        <f>DATA!M85</f>
        <v>0</v>
      </c>
      <c r="H85" t="s">
        <v>47</v>
      </c>
      <c r="I85" s="12">
        <f>DATA!M282</f>
        <v>1</v>
      </c>
      <c r="L85">
        <v>0</v>
      </c>
      <c r="M85">
        <v>0</v>
      </c>
      <c r="N85">
        <v>1</v>
      </c>
    </row>
    <row r="86" spans="1:14" x14ac:dyDescent="0.3">
      <c r="A86">
        <v>5</v>
      </c>
      <c r="B86">
        <f>DATA!M86</f>
        <v>0</v>
      </c>
      <c r="H86" t="s">
        <v>47</v>
      </c>
      <c r="I86" s="12">
        <f>DATA!M283</f>
        <v>1</v>
      </c>
      <c r="L86">
        <v>1</v>
      </c>
      <c r="M86">
        <v>1</v>
      </c>
      <c r="N86">
        <v>1</v>
      </c>
    </row>
    <row r="87" spans="1:14" x14ac:dyDescent="0.3">
      <c r="A87">
        <v>2</v>
      </c>
      <c r="B87">
        <f>DATA!M87</f>
        <v>1</v>
      </c>
      <c r="H87" t="s">
        <v>47</v>
      </c>
      <c r="I87" s="12">
        <f>DATA!M293</f>
        <v>1</v>
      </c>
      <c r="L87">
        <v>0</v>
      </c>
      <c r="M87">
        <v>1</v>
      </c>
      <c r="N87">
        <v>1</v>
      </c>
    </row>
    <row r="88" spans="1:14" x14ac:dyDescent="0.3">
      <c r="A88">
        <v>6</v>
      </c>
      <c r="B88">
        <f>DATA!M88</f>
        <v>0</v>
      </c>
      <c r="H88" t="s">
        <v>47</v>
      </c>
      <c r="I88" s="12">
        <f>DATA!M294</f>
        <v>0</v>
      </c>
      <c r="L88">
        <v>1</v>
      </c>
      <c r="M88">
        <v>0</v>
      </c>
      <c r="N88">
        <v>0</v>
      </c>
    </row>
    <row r="89" spans="1:14" x14ac:dyDescent="0.3">
      <c r="A89">
        <v>9</v>
      </c>
      <c r="B89">
        <f>DATA!M89</f>
        <v>1</v>
      </c>
      <c r="H89" t="s">
        <v>47</v>
      </c>
      <c r="I89" s="12">
        <f>DATA!M297</f>
        <v>0</v>
      </c>
      <c r="L89">
        <v>1</v>
      </c>
      <c r="M89">
        <v>0</v>
      </c>
      <c r="N89">
        <v>0</v>
      </c>
    </row>
    <row r="90" spans="1:14" x14ac:dyDescent="0.3">
      <c r="A90">
        <v>5</v>
      </c>
      <c r="B90">
        <f>DATA!M90</f>
        <v>1</v>
      </c>
      <c r="H90" t="s">
        <v>47</v>
      </c>
      <c r="I90" s="12">
        <f>DATA!M301</f>
        <v>0</v>
      </c>
      <c r="L90">
        <v>0</v>
      </c>
      <c r="M90">
        <v>0</v>
      </c>
      <c r="N90">
        <v>0</v>
      </c>
    </row>
    <row r="91" spans="1:14" x14ac:dyDescent="0.3">
      <c r="A91">
        <v>6</v>
      </c>
      <c r="B91">
        <f>DATA!M91</f>
        <v>0</v>
      </c>
      <c r="H91" t="s">
        <v>47</v>
      </c>
      <c r="I91" s="12">
        <f>DATA!M305</f>
        <v>1</v>
      </c>
      <c r="L91">
        <v>0</v>
      </c>
      <c r="M91">
        <v>1</v>
      </c>
      <c r="N91">
        <v>1</v>
      </c>
    </row>
    <row r="92" spans="1:14" x14ac:dyDescent="0.3">
      <c r="A92">
        <v>10</v>
      </c>
      <c r="B92">
        <f>DATA!M92</f>
        <v>0</v>
      </c>
      <c r="H92" t="s">
        <v>47</v>
      </c>
      <c r="I92" s="12">
        <f>DATA!M310</f>
        <v>1</v>
      </c>
      <c r="L92">
        <v>1</v>
      </c>
      <c r="M92">
        <v>0</v>
      </c>
      <c r="N92">
        <v>1</v>
      </c>
    </row>
    <row r="93" spans="1:14" x14ac:dyDescent="0.3">
      <c r="A93">
        <v>5</v>
      </c>
      <c r="B93">
        <f>DATA!M93</f>
        <v>1</v>
      </c>
      <c r="H93" t="s">
        <v>47</v>
      </c>
      <c r="I93" s="12">
        <f>DATA!M312</f>
        <v>0</v>
      </c>
      <c r="L93">
        <v>0</v>
      </c>
      <c r="M93">
        <v>0</v>
      </c>
      <c r="N93">
        <v>0</v>
      </c>
    </row>
    <row r="94" spans="1:14" x14ac:dyDescent="0.3">
      <c r="A94">
        <v>3</v>
      </c>
      <c r="B94">
        <f>DATA!M94</f>
        <v>0</v>
      </c>
      <c r="H94" t="s">
        <v>47</v>
      </c>
      <c r="I94" s="12">
        <f>DATA!M317</f>
        <v>0</v>
      </c>
      <c r="L94">
        <v>0</v>
      </c>
      <c r="M94">
        <v>0</v>
      </c>
      <c r="N94">
        <v>0</v>
      </c>
    </row>
    <row r="95" spans="1:14" x14ac:dyDescent="0.3">
      <c r="A95">
        <v>10</v>
      </c>
      <c r="B95">
        <f>DATA!M95</f>
        <v>0</v>
      </c>
      <c r="H95" t="s">
        <v>47</v>
      </c>
      <c r="I95" s="12">
        <f>DATA!M320</f>
        <v>1</v>
      </c>
      <c r="L95">
        <v>1</v>
      </c>
      <c r="M95">
        <v>0</v>
      </c>
      <c r="N95">
        <v>1</v>
      </c>
    </row>
    <row r="96" spans="1:14" x14ac:dyDescent="0.3">
      <c r="A96">
        <v>3</v>
      </c>
      <c r="B96">
        <f>DATA!M96</f>
        <v>1</v>
      </c>
      <c r="H96" t="s">
        <v>47</v>
      </c>
      <c r="I96" s="12">
        <f>DATA!M325</f>
        <v>0</v>
      </c>
      <c r="L96">
        <v>1</v>
      </c>
      <c r="M96">
        <v>1</v>
      </c>
      <c r="N96">
        <v>0</v>
      </c>
    </row>
    <row r="97" spans="1:14" x14ac:dyDescent="0.3">
      <c r="A97">
        <v>10</v>
      </c>
      <c r="B97">
        <f>DATA!M97</f>
        <v>1</v>
      </c>
      <c r="H97" t="s">
        <v>47</v>
      </c>
      <c r="I97" s="12">
        <f>DATA!M327</f>
        <v>1</v>
      </c>
      <c r="L97">
        <v>0</v>
      </c>
      <c r="M97">
        <v>1</v>
      </c>
      <c r="N97">
        <v>1</v>
      </c>
    </row>
    <row r="98" spans="1:14" x14ac:dyDescent="0.3">
      <c r="A98">
        <v>0</v>
      </c>
      <c r="B98">
        <f>DATA!M98</f>
        <v>0</v>
      </c>
      <c r="H98" t="s">
        <v>47</v>
      </c>
      <c r="I98" s="12">
        <f>DATA!M328</f>
        <v>1</v>
      </c>
      <c r="L98">
        <v>0</v>
      </c>
      <c r="M98">
        <v>1</v>
      </c>
      <c r="N98">
        <v>1</v>
      </c>
    </row>
    <row r="99" spans="1:14" x14ac:dyDescent="0.3">
      <c r="A99">
        <v>3</v>
      </c>
      <c r="B99">
        <f>DATA!M99</f>
        <v>0</v>
      </c>
      <c r="H99" t="s">
        <v>47</v>
      </c>
      <c r="I99" s="12">
        <f>DATA!M331</f>
        <v>0</v>
      </c>
      <c r="L99">
        <v>1</v>
      </c>
      <c r="M99">
        <v>1</v>
      </c>
      <c r="N99">
        <v>0</v>
      </c>
    </row>
    <row r="100" spans="1:14" x14ac:dyDescent="0.3">
      <c r="A100">
        <v>4</v>
      </c>
      <c r="B100">
        <f>DATA!M100</f>
        <v>1</v>
      </c>
      <c r="H100" t="s">
        <v>47</v>
      </c>
      <c r="I100" s="12">
        <f>DATA!M332</f>
        <v>1</v>
      </c>
      <c r="L100">
        <v>1</v>
      </c>
      <c r="M100">
        <v>0</v>
      </c>
      <c r="N100">
        <v>1</v>
      </c>
    </row>
    <row r="101" spans="1:14" x14ac:dyDescent="0.3">
      <c r="A101">
        <v>1</v>
      </c>
      <c r="B101">
        <f>DATA!M101</f>
        <v>1</v>
      </c>
      <c r="H101" t="s">
        <v>47</v>
      </c>
      <c r="I101" s="12">
        <f>DATA!M333</f>
        <v>0</v>
      </c>
      <c r="L101">
        <v>0</v>
      </c>
      <c r="M101">
        <v>1</v>
      </c>
      <c r="N101">
        <v>0</v>
      </c>
    </row>
    <row r="102" spans="1:14" x14ac:dyDescent="0.3">
      <c r="A102">
        <v>0</v>
      </c>
      <c r="B102">
        <f>DATA!M102</f>
        <v>0</v>
      </c>
      <c r="H102" t="s">
        <v>47</v>
      </c>
      <c r="I102" s="12">
        <f>DATA!M341</f>
        <v>1</v>
      </c>
      <c r="L102">
        <v>0</v>
      </c>
      <c r="M102">
        <v>1</v>
      </c>
      <c r="N102">
        <v>1</v>
      </c>
    </row>
    <row r="103" spans="1:14" x14ac:dyDescent="0.3">
      <c r="A103">
        <v>10</v>
      </c>
      <c r="B103">
        <f>DATA!M103</f>
        <v>0</v>
      </c>
      <c r="H103" t="s">
        <v>47</v>
      </c>
      <c r="I103" s="12">
        <f>DATA!M343</f>
        <v>1</v>
      </c>
      <c r="L103">
        <v>1</v>
      </c>
      <c r="M103">
        <v>1</v>
      </c>
      <c r="N103">
        <v>1</v>
      </c>
    </row>
    <row r="104" spans="1:14" x14ac:dyDescent="0.3">
      <c r="A104">
        <v>9</v>
      </c>
      <c r="B104">
        <f>DATA!M104</f>
        <v>1</v>
      </c>
      <c r="H104" t="s">
        <v>47</v>
      </c>
      <c r="I104" s="12">
        <f>DATA!M352</f>
        <v>1</v>
      </c>
      <c r="L104">
        <v>1</v>
      </c>
      <c r="M104">
        <v>1</v>
      </c>
      <c r="N104">
        <v>1</v>
      </c>
    </row>
    <row r="105" spans="1:14" x14ac:dyDescent="0.3">
      <c r="A105">
        <v>9</v>
      </c>
      <c r="B105">
        <f>DATA!M105</f>
        <v>1</v>
      </c>
      <c r="H105" t="s">
        <v>47</v>
      </c>
      <c r="I105" s="12">
        <f>DATA!M357</f>
        <v>1</v>
      </c>
      <c r="L105">
        <v>1</v>
      </c>
      <c r="M105">
        <v>0</v>
      </c>
      <c r="N105">
        <v>1</v>
      </c>
    </row>
    <row r="106" spans="1:14" x14ac:dyDescent="0.3">
      <c r="A106">
        <v>3</v>
      </c>
      <c r="B106">
        <f>DATA!M106</f>
        <v>1</v>
      </c>
      <c r="H106" t="s">
        <v>47</v>
      </c>
      <c r="I106" s="12">
        <f>DATA!M361</f>
        <v>0</v>
      </c>
      <c r="L106">
        <v>1</v>
      </c>
      <c r="M106">
        <v>0</v>
      </c>
      <c r="N106">
        <v>0</v>
      </c>
    </row>
    <row r="107" spans="1:14" x14ac:dyDescent="0.3">
      <c r="A107">
        <v>9</v>
      </c>
      <c r="B107">
        <f>DATA!M107</f>
        <v>1</v>
      </c>
      <c r="H107" t="s">
        <v>47</v>
      </c>
      <c r="I107" s="12">
        <f>DATA!M362</f>
        <v>0</v>
      </c>
      <c r="L107">
        <v>0</v>
      </c>
      <c r="M107">
        <v>0</v>
      </c>
      <c r="N107">
        <v>0</v>
      </c>
    </row>
    <row r="108" spans="1:14" x14ac:dyDescent="0.3">
      <c r="A108">
        <v>10</v>
      </c>
      <c r="B108">
        <f>DATA!M108</f>
        <v>0</v>
      </c>
      <c r="H108" t="s">
        <v>47</v>
      </c>
      <c r="I108" s="12">
        <f>DATA!M363</f>
        <v>1</v>
      </c>
      <c r="L108">
        <v>1</v>
      </c>
      <c r="M108">
        <v>1</v>
      </c>
      <c r="N108">
        <v>1</v>
      </c>
    </row>
    <row r="109" spans="1:14" x14ac:dyDescent="0.3">
      <c r="A109">
        <v>3</v>
      </c>
      <c r="B109">
        <f>DATA!M109</f>
        <v>1</v>
      </c>
      <c r="H109" t="s">
        <v>47</v>
      </c>
      <c r="I109" s="12">
        <f>DATA!M365</f>
        <v>1</v>
      </c>
      <c r="L109">
        <v>0</v>
      </c>
      <c r="M109">
        <v>1</v>
      </c>
      <c r="N109">
        <v>1</v>
      </c>
    </row>
    <row r="110" spans="1:14" x14ac:dyDescent="0.3">
      <c r="A110">
        <v>4</v>
      </c>
      <c r="B110">
        <f>DATA!M110</f>
        <v>0</v>
      </c>
      <c r="H110" t="s">
        <v>47</v>
      </c>
      <c r="I110" s="12">
        <f>DATA!M368</f>
        <v>1</v>
      </c>
      <c r="L110">
        <v>1</v>
      </c>
      <c r="M110">
        <v>1</v>
      </c>
      <c r="N110">
        <v>1</v>
      </c>
    </row>
    <row r="111" spans="1:14" x14ac:dyDescent="0.3">
      <c r="A111">
        <v>6</v>
      </c>
      <c r="B111">
        <f>DATA!M111</f>
        <v>1</v>
      </c>
      <c r="H111" t="s">
        <v>47</v>
      </c>
      <c r="I111" s="12">
        <f>DATA!M369</f>
        <v>0</v>
      </c>
      <c r="L111">
        <v>0</v>
      </c>
      <c r="M111">
        <v>0</v>
      </c>
      <c r="N111">
        <v>0</v>
      </c>
    </row>
    <row r="112" spans="1:14" x14ac:dyDescent="0.3">
      <c r="A112">
        <v>5</v>
      </c>
      <c r="B112">
        <f>DATA!M112</f>
        <v>0</v>
      </c>
      <c r="H112" t="s">
        <v>47</v>
      </c>
      <c r="I112" s="12">
        <f>DATA!M375</f>
        <v>0</v>
      </c>
      <c r="L112">
        <v>0</v>
      </c>
      <c r="M112">
        <v>0</v>
      </c>
      <c r="N112">
        <v>0</v>
      </c>
    </row>
    <row r="113" spans="1:14" x14ac:dyDescent="0.3">
      <c r="A113">
        <v>7</v>
      </c>
      <c r="B113">
        <f>DATA!M113</f>
        <v>0</v>
      </c>
      <c r="H113" t="s">
        <v>47</v>
      </c>
      <c r="I113" s="12">
        <f>DATA!M377</f>
        <v>1</v>
      </c>
      <c r="L113">
        <v>0</v>
      </c>
      <c r="M113">
        <v>1</v>
      </c>
      <c r="N113">
        <v>1</v>
      </c>
    </row>
    <row r="114" spans="1:14" x14ac:dyDescent="0.3">
      <c r="A114">
        <v>1</v>
      </c>
      <c r="B114">
        <f>DATA!M114</f>
        <v>0</v>
      </c>
      <c r="H114" t="s">
        <v>47</v>
      </c>
      <c r="I114" s="12">
        <f>DATA!M381</f>
        <v>1</v>
      </c>
      <c r="L114">
        <v>0</v>
      </c>
      <c r="M114">
        <v>1</v>
      </c>
      <c r="N114">
        <v>1</v>
      </c>
    </row>
    <row r="115" spans="1:14" x14ac:dyDescent="0.3">
      <c r="A115">
        <v>5</v>
      </c>
      <c r="B115">
        <f>DATA!M115</f>
        <v>0</v>
      </c>
      <c r="H115" t="s">
        <v>47</v>
      </c>
      <c r="I115" s="12">
        <f>DATA!M384</f>
        <v>1</v>
      </c>
      <c r="L115">
        <v>1</v>
      </c>
      <c r="M115">
        <v>0</v>
      </c>
      <c r="N115">
        <v>1</v>
      </c>
    </row>
    <row r="116" spans="1:14" x14ac:dyDescent="0.3">
      <c r="A116">
        <v>7</v>
      </c>
      <c r="B116">
        <f>DATA!M116</f>
        <v>1</v>
      </c>
      <c r="H116" t="s">
        <v>47</v>
      </c>
      <c r="I116" s="12">
        <f>DATA!M386</f>
        <v>0</v>
      </c>
      <c r="L116">
        <v>1</v>
      </c>
      <c r="M116">
        <v>0</v>
      </c>
      <c r="N116">
        <v>0</v>
      </c>
    </row>
    <row r="117" spans="1:14" x14ac:dyDescent="0.3">
      <c r="A117">
        <v>6</v>
      </c>
      <c r="B117">
        <f>DATA!M117</f>
        <v>1</v>
      </c>
      <c r="H117" t="s">
        <v>47</v>
      </c>
      <c r="I117" s="12">
        <f>DATA!M387</f>
        <v>0</v>
      </c>
      <c r="L117">
        <v>1</v>
      </c>
      <c r="M117">
        <v>0</v>
      </c>
      <c r="N117">
        <v>0</v>
      </c>
    </row>
    <row r="118" spans="1:14" x14ac:dyDescent="0.3">
      <c r="A118">
        <v>6</v>
      </c>
      <c r="B118">
        <f>DATA!M118</f>
        <v>1</v>
      </c>
      <c r="H118" t="s">
        <v>47</v>
      </c>
      <c r="I118" s="12">
        <f>DATA!M388</f>
        <v>0</v>
      </c>
      <c r="L118">
        <v>0</v>
      </c>
      <c r="M118">
        <v>0</v>
      </c>
      <c r="N118">
        <v>0</v>
      </c>
    </row>
    <row r="119" spans="1:14" x14ac:dyDescent="0.3">
      <c r="A119">
        <v>6</v>
      </c>
      <c r="B119">
        <f>DATA!M119</f>
        <v>0</v>
      </c>
      <c r="H119" t="s">
        <v>47</v>
      </c>
      <c r="I119" s="12">
        <f>DATA!M390</f>
        <v>1</v>
      </c>
      <c r="L119">
        <v>0</v>
      </c>
      <c r="M119">
        <v>0</v>
      </c>
      <c r="N119">
        <v>1</v>
      </c>
    </row>
    <row r="120" spans="1:14" x14ac:dyDescent="0.3">
      <c r="A120">
        <v>1</v>
      </c>
      <c r="B120">
        <f>DATA!M120</f>
        <v>0</v>
      </c>
      <c r="H120" t="s">
        <v>47</v>
      </c>
      <c r="I120" s="12">
        <f>DATA!M398</f>
        <v>1</v>
      </c>
      <c r="L120">
        <v>1</v>
      </c>
      <c r="M120">
        <v>0</v>
      </c>
      <c r="N120">
        <v>1</v>
      </c>
    </row>
    <row r="121" spans="1:14" x14ac:dyDescent="0.3">
      <c r="A121">
        <v>8</v>
      </c>
      <c r="B121">
        <f>DATA!M121</f>
        <v>1</v>
      </c>
      <c r="H121" t="s">
        <v>47</v>
      </c>
      <c r="I121" s="12">
        <f>DATA!M401</f>
        <v>0</v>
      </c>
      <c r="L121">
        <v>1</v>
      </c>
      <c r="M121">
        <v>1</v>
      </c>
      <c r="N121">
        <v>0</v>
      </c>
    </row>
    <row r="122" spans="1:14" x14ac:dyDescent="0.3">
      <c r="A122">
        <v>4</v>
      </c>
      <c r="B122">
        <f>DATA!M122</f>
        <v>1</v>
      </c>
      <c r="H122" t="s">
        <v>47</v>
      </c>
      <c r="I122" s="12">
        <f>DATA!M404</f>
        <v>1</v>
      </c>
      <c r="L122">
        <v>0</v>
      </c>
      <c r="M122">
        <v>0</v>
      </c>
      <c r="N122">
        <v>1</v>
      </c>
    </row>
    <row r="123" spans="1:14" x14ac:dyDescent="0.3">
      <c r="A123">
        <v>2</v>
      </c>
      <c r="B123">
        <f>DATA!M123</f>
        <v>0</v>
      </c>
      <c r="H123" t="s">
        <v>47</v>
      </c>
      <c r="I123" s="12">
        <f>DATA!M409</f>
        <v>0</v>
      </c>
      <c r="L123">
        <v>1</v>
      </c>
      <c r="M123">
        <v>1</v>
      </c>
      <c r="N123">
        <v>0</v>
      </c>
    </row>
    <row r="124" spans="1:14" x14ac:dyDescent="0.3">
      <c r="A124">
        <v>0</v>
      </c>
      <c r="B124">
        <f>DATA!M124</f>
        <v>1</v>
      </c>
      <c r="H124" t="s">
        <v>47</v>
      </c>
      <c r="I124" s="12">
        <f>DATA!M419</f>
        <v>1</v>
      </c>
      <c r="L124">
        <v>1</v>
      </c>
      <c r="M124">
        <v>0</v>
      </c>
      <c r="N124">
        <v>1</v>
      </c>
    </row>
    <row r="125" spans="1:14" x14ac:dyDescent="0.3">
      <c r="A125">
        <v>2</v>
      </c>
      <c r="B125">
        <f>DATA!M125</f>
        <v>1</v>
      </c>
      <c r="H125" t="s">
        <v>47</v>
      </c>
      <c r="I125" s="12">
        <f>DATA!M424</f>
        <v>1</v>
      </c>
      <c r="L125">
        <v>0</v>
      </c>
      <c r="M125">
        <v>1</v>
      </c>
      <c r="N125">
        <v>1</v>
      </c>
    </row>
    <row r="126" spans="1:14" x14ac:dyDescent="0.3">
      <c r="A126">
        <v>8</v>
      </c>
      <c r="B126">
        <f>DATA!M126</f>
        <v>0</v>
      </c>
      <c r="H126" t="s">
        <v>47</v>
      </c>
      <c r="I126" s="12">
        <f>DATA!M425</f>
        <v>1</v>
      </c>
      <c r="L126">
        <v>0</v>
      </c>
      <c r="M126">
        <v>1</v>
      </c>
      <c r="N126">
        <v>1</v>
      </c>
    </row>
    <row r="127" spans="1:14" x14ac:dyDescent="0.3">
      <c r="A127">
        <v>3</v>
      </c>
      <c r="B127">
        <f>DATA!M127</f>
        <v>0</v>
      </c>
      <c r="H127" t="s">
        <v>47</v>
      </c>
      <c r="I127" s="12">
        <f>DATA!M430</f>
        <v>1</v>
      </c>
      <c r="L127">
        <v>1</v>
      </c>
      <c r="M127">
        <v>1</v>
      </c>
      <c r="N127">
        <v>1</v>
      </c>
    </row>
    <row r="128" spans="1:14" x14ac:dyDescent="0.3">
      <c r="A128">
        <v>7</v>
      </c>
      <c r="B128">
        <f>DATA!M128</f>
        <v>1</v>
      </c>
      <c r="H128" t="s">
        <v>47</v>
      </c>
      <c r="I128" s="12">
        <f>DATA!M437</f>
        <v>1</v>
      </c>
      <c r="L128">
        <v>0</v>
      </c>
      <c r="M128">
        <v>1</v>
      </c>
      <c r="N128">
        <v>1</v>
      </c>
    </row>
    <row r="129" spans="1:14" x14ac:dyDescent="0.3">
      <c r="A129">
        <v>2</v>
      </c>
      <c r="B129">
        <f>DATA!M129</f>
        <v>0</v>
      </c>
      <c r="H129" t="s">
        <v>47</v>
      </c>
      <c r="I129" s="12">
        <f>DATA!M439</f>
        <v>0</v>
      </c>
      <c r="L129">
        <v>0</v>
      </c>
      <c r="M129">
        <v>0</v>
      </c>
      <c r="N129">
        <v>0</v>
      </c>
    </row>
    <row r="130" spans="1:14" x14ac:dyDescent="0.3">
      <c r="A130">
        <v>1</v>
      </c>
      <c r="B130">
        <f>DATA!M130</f>
        <v>0</v>
      </c>
      <c r="H130" t="s">
        <v>47</v>
      </c>
      <c r="I130" s="12">
        <f>DATA!M443</f>
        <v>1</v>
      </c>
      <c r="L130">
        <v>0</v>
      </c>
      <c r="M130">
        <v>1</v>
      </c>
      <c r="N130">
        <v>1</v>
      </c>
    </row>
    <row r="131" spans="1:14" x14ac:dyDescent="0.3">
      <c r="A131">
        <v>4</v>
      </c>
      <c r="B131">
        <f>DATA!M131</f>
        <v>0</v>
      </c>
      <c r="H131" t="s">
        <v>47</v>
      </c>
      <c r="I131" s="12">
        <f>DATA!M444</f>
        <v>1</v>
      </c>
      <c r="L131">
        <v>1</v>
      </c>
      <c r="M131">
        <v>1</v>
      </c>
      <c r="N131">
        <v>1</v>
      </c>
    </row>
    <row r="132" spans="1:14" x14ac:dyDescent="0.3">
      <c r="A132">
        <v>4</v>
      </c>
      <c r="B132">
        <f>DATA!M132</f>
        <v>1</v>
      </c>
      <c r="H132" t="s">
        <v>47</v>
      </c>
      <c r="I132" s="12">
        <f>DATA!M445</f>
        <v>0</v>
      </c>
      <c r="L132">
        <v>0</v>
      </c>
      <c r="M132">
        <v>0</v>
      </c>
      <c r="N132">
        <v>0</v>
      </c>
    </row>
    <row r="133" spans="1:14" x14ac:dyDescent="0.3">
      <c r="A133">
        <v>10</v>
      </c>
      <c r="B133">
        <f>DATA!M133</f>
        <v>0</v>
      </c>
      <c r="H133" t="s">
        <v>47</v>
      </c>
      <c r="I133" s="12">
        <f>DATA!M450</f>
        <v>1</v>
      </c>
      <c r="M133">
        <v>1</v>
      </c>
      <c r="N133">
        <v>1</v>
      </c>
    </row>
    <row r="134" spans="1:14" x14ac:dyDescent="0.3">
      <c r="A134">
        <v>4</v>
      </c>
      <c r="B134">
        <f>DATA!M134</f>
        <v>1</v>
      </c>
      <c r="H134" t="s">
        <v>47</v>
      </c>
      <c r="I134" s="12">
        <f>DATA!M451</f>
        <v>0</v>
      </c>
      <c r="M134">
        <v>0</v>
      </c>
      <c r="N134">
        <v>0</v>
      </c>
    </row>
    <row r="135" spans="1:14" x14ac:dyDescent="0.3">
      <c r="A135">
        <v>2</v>
      </c>
      <c r="B135">
        <f>DATA!M135</f>
        <v>1</v>
      </c>
      <c r="H135" t="s">
        <v>47</v>
      </c>
      <c r="I135" s="12">
        <f>DATA!M453</f>
        <v>1</v>
      </c>
      <c r="M135">
        <v>1</v>
      </c>
      <c r="N135">
        <v>1</v>
      </c>
    </row>
    <row r="136" spans="1:14" x14ac:dyDescent="0.3">
      <c r="A136">
        <v>4</v>
      </c>
      <c r="B136">
        <f>DATA!M136</f>
        <v>1</v>
      </c>
      <c r="H136" t="s">
        <v>47</v>
      </c>
      <c r="I136" s="12">
        <f>DATA!M455</f>
        <v>0</v>
      </c>
      <c r="M136">
        <v>0</v>
      </c>
      <c r="N136">
        <v>0</v>
      </c>
    </row>
    <row r="137" spans="1:14" x14ac:dyDescent="0.3">
      <c r="A137">
        <v>8</v>
      </c>
      <c r="B137">
        <f>DATA!M137</f>
        <v>1</v>
      </c>
      <c r="H137" t="s">
        <v>47</v>
      </c>
      <c r="I137" s="12">
        <f>DATA!M469</f>
        <v>1</v>
      </c>
      <c r="M137">
        <v>1</v>
      </c>
      <c r="N137">
        <v>1</v>
      </c>
    </row>
    <row r="138" spans="1:14" x14ac:dyDescent="0.3">
      <c r="A138">
        <v>7</v>
      </c>
      <c r="B138">
        <f>DATA!M138</f>
        <v>0</v>
      </c>
      <c r="H138" t="s">
        <v>47</v>
      </c>
      <c r="I138" s="12">
        <f>DATA!M472</f>
        <v>1</v>
      </c>
      <c r="M138">
        <v>1</v>
      </c>
      <c r="N138">
        <v>1</v>
      </c>
    </row>
    <row r="139" spans="1:14" x14ac:dyDescent="0.3">
      <c r="A139">
        <v>10</v>
      </c>
      <c r="B139">
        <f>DATA!M139</f>
        <v>1</v>
      </c>
      <c r="H139" t="s">
        <v>47</v>
      </c>
      <c r="I139" s="12">
        <f>DATA!M473</f>
        <v>1</v>
      </c>
      <c r="M139">
        <v>1</v>
      </c>
      <c r="N139">
        <v>1</v>
      </c>
    </row>
    <row r="140" spans="1:14" x14ac:dyDescent="0.3">
      <c r="A140">
        <v>9</v>
      </c>
      <c r="B140">
        <f>DATA!M140</f>
        <v>0</v>
      </c>
      <c r="H140" t="s">
        <v>47</v>
      </c>
      <c r="I140" s="12">
        <f>DATA!M475</f>
        <v>1</v>
      </c>
      <c r="M140">
        <v>1</v>
      </c>
      <c r="N140">
        <v>1</v>
      </c>
    </row>
    <row r="141" spans="1:14" x14ac:dyDescent="0.3">
      <c r="A141">
        <v>8</v>
      </c>
      <c r="B141">
        <f>DATA!M141</f>
        <v>1</v>
      </c>
      <c r="H141" t="s">
        <v>47</v>
      </c>
      <c r="I141" s="12">
        <f>DATA!M476</f>
        <v>0</v>
      </c>
      <c r="M141">
        <v>1</v>
      </c>
      <c r="N141">
        <v>0</v>
      </c>
    </row>
    <row r="142" spans="1:14" x14ac:dyDescent="0.3">
      <c r="A142">
        <v>9</v>
      </c>
      <c r="B142">
        <f>DATA!M142</f>
        <v>1</v>
      </c>
      <c r="H142" t="s">
        <v>47</v>
      </c>
      <c r="I142" s="12">
        <f>DATA!M482</f>
        <v>0</v>
      </c>
      <c r="M142">
        <v>1</v>
      </c>
      <c r="N142">
        <v>0</v>
      </c>
    </row>
    <row r="143" spans="1:14" x14ac:dyDescent="0.3">
      <c r="A143">
        <v>5</v>
      </c>
      <c r="B143">
        <f>DATA!M143</f>
        <v>0</v>
      </c>
      <c r="H143" t="s">
        <v>47</v>
      </c>
      <c r="I143" s="12">
        <f>DATA!M488</f>
        <v>1</v>
      </c>
      <c r="M143">
        <v>0</v>
      </c>
      <c r="N143">
        <v>1</v>
      </c>
    </row>
    <row r="144" spans="1:14" x14ac:dyDescent="0.3">
      <c r="A144">
        <v>9</v>
      </c>
      <c r="B144">
        <f>DATA!M144</f>
        <v>1</v>
      </c>
      <c r="H144" t="s">
        <v>47</v>
      </c>
      <c r="I144" s="12">
        <f>DATA!M490</f>
        <v>0</v>
      </c>
      <c r="M144">
        <v>0</v>
      </c>
      <c r="N144">
        <v>0</v>
      </c>
    </row>
    <row r="145" spans="1:14" x14ac:dyDescent="0.3">
      <c r="A145">
        <v>1</v>
      </c>
      <c r="B145">
        <f>DATA!M145</f>
        <v>0</v>
      </c>
      <c r="H145" t="s">
        <v>47</v>
      </c>
      <c r="I145" s="12">
        <f>DATA!M493</f>
        <v>0</v>
      </c>
      <c r="M145">
        <v>0</v>
      </c>
      <c r="N145">
        <v>0</v>
      </c>
    </row>
    <row r="146" spans="1:14" x14ac:dyDescent="0.3">
      <c r="A146">
        <v>8</v>
      </c>
      <c r="B146">
        <f>DATA!M146</f>
        <v>0</v>
      </c>
      <c r="H146" t="s">
        <v>47</v>
      </c>
      <c r="I146" s="12">
        <f>DATA!M494</f>
        <v>0</v>
      </c>
      <c r="M146">
        <v>1</v>
      </c>
      <c r="N146">
        <v>0</v>
      </c>
    </row>
    <row r="147" spans="1:14" x14ac:dyDescent="0.3">
      <c r="A147">
        <v>8</v>
      </c>
      <c r="B147">
        <f>DATA!M147</f>
        <v>0</v>
      </c>
      <c r="H147" t="s">
        <v>47</v>
      </c>
      <c r="I147" s="12">
        <f>DATA!M498</f>
        <v>0</v>
      </c>
      <c r="M147">
        <v>1</v>
      </c>
      <c r="N147">
        <v>0</v>
      </c>
    </row>
    <row r="148" spans="1:14" x14ac:dyDescent="0.3">
      <c r="A148">
        <v>6</v>
      </c>
      <c r="B148">
        <f>DATA!M148</f>
        <v>1</v>
      </c>
      <c r="H148" t="s">
        <v>47</v>
      </c>
      <c r="I148" s="12">
        <f>DATA!M500</f>
        <v>1</v>
      </c>
      <c r="M148">
        <v>1</v>
      </c>
      <c r="N148">
        <v>1</v>
      </c>
    </row>
    <row r="149" spans="1:14" x14ac:dyDescent="0.3">
      <c r="A149">
        <v>0</v>
      </c>
      <c r="B149">
        <f>DATA!M149</f>
        <v>1</v>
      </c>
      <c r="H149" t="s">
        <v>50</v>
      </c>
      <c r="I149" s="12">
        <f>DATA!M3</f>
        <v>0</v>
      </c>
      <c r="M149">
        <v>1</v>
      </c>
    </row>
    <row r="150" spans="1:14" x14ac:dyDescent="0.3">
      <c r="A150">
        <v>0</v>
      </c>
      <c r="B150">
        <f>DATA!M150</f>
        <v>1</v>
      </c>
      <c r="H150" t="s">
        <v>50</v>
      </c>
      <c r="I150" s="12">
        <f>DATA!M4</f>
        <v>0</v>
      </c>
      <c r="M150">
        <v>1</v>
      </c>
    </row>
    <row r="151" spans="1:14" x14ac:dyDescent="0.3">
      <c r="A151">
        <v>2</v>
      </c>
      <c r="B151">
        <f>DATA!M151</f>
        <v>0</v>
      </c>
      <c r="H151" t="s">
        <v>50</v>
      </c>
      <c r="I151" s="12">
        <f>DATA!M5</f>
        <v>0</v>
      </c>
      <c r="M151">
        <v>1</v>
      </c>
    </row>
    <row r="152" spans="1:14" x14ac:dyDescent="0.3">
      <c r="A152">
        <v>3</v>
      </c>
      <c r="B152">
        <f>DATA!M152</f>
        <v>0</v>
      </c>
      <c r="H152" t="s">
        <v>50</v>
      </c>
      <c r="I152" s="12">
        <f>DATA!M6</f>
        <v>0</v>
      </c>
      <c r="M152">
        <v>0</v>
      </c>
    </row>
    <row r="153" spans="1:14" x14ac:dyDescent="0.3">
      <c r="A153">
        <v>2</v>
      </c>
      <c r="B153">
        <f>DATA!M153</f>
        <v>1</v>
      </c>
      <c r="H153" t="s">
        <v>50</v>
      </c>
      <c r="I153" s="12">
        <f>DATA!M7</f>
        <v>0</v>
      </c>
      <c r="M153">
        <v>1</v>
      </c>
    </row>
    <row r="154" spans="1:14" x14ac:dyDescent="0.3">
      <c r="A154">
        <v>1</v>
      </c>
      <c r="B154">
        <f>DATA!M154</f>
        <v>1</v>
      </c>
      <c r="H154" t="s">
        <v>50</v>
      </c>
      <c r="I154" s="12">
        <f>DATA!M8</f>
        <v>0</v>
      </c>
      <c r="M154">
        <v>1</v>
      </c>
    </row>
    <row r="155" spans="1:14" x14ac:dyDescent="0.3">
      <c r="A155">
        <v>9</v>
      </c>
      <c r="B155">
        <f>DATA!M155</f>
        <v>1</v>
      </c>
      <c r="H155" t="s">
        <v>50</v>
      </c>
      <c r="I155" s="12">
        <f>DATA!M9</f>
        <v>1</v>
      </c>
      <c r="M155">
        <v>1</v>
      </c>
    </row>
    <row r="156" spans="1:14" x14ac:dyDescent="0.3">
      <c r="A156">
        <v>5</v>
      </c>
      <c r="B156">
        <f>DATA!M156</f>
        <v>0</v>
      </c>
      <c r="H156" t="s">
        <v>50</v>
      </c>
      <c r="I156" s="12">
        <f>DATA!M10</f>
        <v>1</v>
      </c>
      <c r="M156">
        <v>0</v>
      </c>
    </row>
    <row r="157" spans="1:14" x14ac:dyDescent="0.3">
      <c r="A157">
        <v>6</v>
      </c>
      <c r="B157">
        <f>DATA!M157</f>
        <v>1</v>
      </c>
      <c r="H157" t="s">
        <v>50</v>
      </c>
      <c r="I157" s="12">
        <f>DATA!M11</f>
        <v>1</v>
      </c>
      <c r="M157">
        <v>1</v>
      </c>
    </row>
    <row r="158" spans="1:14" x14ac:dyDescent="0.3">
      <c r="A158">
        <v>1</v>
      </c>
      <c r="B158">
        <f>DATA!M158</f>
        <v>0</v>
      </c>
      <c r="H158" t="s">
        <v>50</v>
      </c>
      <c r="I158" s="12">
        <f>DATA!M12</f>
        <v>1</v>
      </c>
      <c r="M158">
        <v>0</v>
      </c>
    </row>
    <row r="159" spans="1:14" x14ac:dyDescent="0.3">
      <c r="A159">
        <v>10</v>
      </c>
      <c r="B159">
        <f>DATA!M159</f>
        <v>1</v>
      </c>
      <c r="H159" t="s">
        <v>50</v>
      </c>
      <c r="I159" s="12">
        <f>DATA!M13</f>
        <v>1</v>
      </c>
      <c r="M159">
        <v>0</v>
      </c>
    </row>
    <row r="160" spans="1:14" x14ac:dyDescent="0.3">
      <c r="A160">
        <v>8</v>
      </c>
      <c r="B160">
        <f>DATA!M160</f>
        <v>1</v>
      </c>
      <c r="H160" t="s">
        <v>50</v>
      </c>
      <c r="I160" s="12">
        <f>DATA!M14</f>
        <v>0</v>
      </c>
      <c r="M160">
        <v>0</v>
      </c>
    </row>
    <row r="161" spans="1:13" x14ac:dyDescent="0.3">
      <c r="A161">
        <v>7</v>
      </c>
      <c r="B161">
        <f>DATA!M161</f>
        <v>1</v>
      </c>
      <c r="H161" t="s">
        <v>50</v>
      </c>
      <c r="I161" s="12">
        <f>DATA!M15</f>
        <v>1</v>
      </c>
      <c r="M161">
        <v>1</v>
      </c>
    </row>
    <row r="162" spans="1:13" x14ac:dyDescent="0.3">
      <c r="A162">
        <v>7</v>
      </c>
      <c r="B162">
        <f>DATA!M162</f>
        <v>0</v>
      </c>
      <c r="H162" t="s">
        <v>50</v>
      </c>
      <c r="I162" s="12">
        <f>DATA!M16</f>
        <v>0</v>
      </c>
      <c r="M162">
        <v>0</v>
      </c>
    </row>
    <row r="163" spans="1:13" x14ac:dyDescent="0.3">
      <c r="A163">
        <v>3</v>
      </c>
      <c r="B163">
        <f>DATA!M163</f>
        <v>0</v>
      </c>
      <c r="H163" t="s">
        <v>50</v>
      </c>
      <c r="I163" s="12">
        <f>DATA!M17</f>
        <v>1</v>
      </c>
      <c r="M163">
        <v>1</v>
      </c>
    </row>
    <row r="164" spans="1:13" x14ac:dyDescent="0.3">
      <c r="A164">
        <v>4</v>
      </c>
      <c r="B164">
        <f>DATA!M164</f>
        <v>1</v>
      </c>
      <c r="H164" t="s">
        <v>50</v>
      </c>
      <c r="I164" s="12">
        <f>DATA!M18</f>
        <v>1</v>
      </c>
      <c r="M164">
        <v>0</v>
      </c>
    </row>
    <row r="165" spans="1:13" x14ac:dyDescent="0.3">
      <c r="A165">
        <v>9</v>
      </c>
      <c r="B165">
        <f>DATA!M165</f>
        <v>1</v>
      </c>
      <c r="H165" t="s">
        <v>50</v>
      </c>
      <c r="I165" s="12">
        <f>DATA!M19</f>
        <v>0</v>
      </c>
      <c r="M165">
        <v>0</v>
      </c>
    </row>
    <row r="166" spans="1:13" x14ac:dyDescent="0.3">
      <c r="A166">
        <v>6</v>
      </c>
      <c r="B166">
        <f>DATA!M166</f>
        <v>0</v>
      </c>
      <c r="H166" t="s">
        <v>50</v>
      </c>
      <c r="I166" s="12">
        <f>DATA!M20</f>
        <v>1</v>
      </c>
      <c r="M166">
        <v>1</v>
      </c>
    </row>
    <row r="167" spans="1:13" x14ac:dyDescent="0.3">
      <c r="A167">
        <v>9</v>
      </c>
      <c r="B167">
        <f>DATA!M167</f>
        <v>1</v>
      </c>
      <c r="H167" t="s">
        <v>50</v>
      </c>
      <c r="I167" s="12">
        <f>DATA!M21</f>
        <v>0</v>
      </c>
      <c r="M167">
        <v>1</v>
      </c>
    </row>
    <row r="168" spans="1:13" x14ac:dyDescent="0.3">
      <c r="A168">
        <v>6</v>
      </c>
      <c r="B168">
        <f>DATA!M168</f>
        <v>1</v>
      </c>
      <c r="H168" t="s">
        <v>50</v>
      </c>
      <c r="I168" s="12">
        <f>DATA!M22</f>
        <v>1</v>
      </c>
      <c r="M168">
        <v>1</v>
      </c>
    </row>
    <row r="169" spans="1:13" x14ac:dyDescent="0.3">
      <c r="A169">
        <v>4</v>
      </c>
      <c r="B169">
        <f>DATA!M169</f>
        <v>0</v>
      </c>
      <c r="H169" t="s">
        <v>50</v>
      </c>
      <c r="I169" s="12">
        <f>DATA!M23</f>
        <v>0</v>
      </c>
      <c r="M169">
        <v>0</v>
      </c>
    </row>
    <row r="170" spans="1:13" x14ac:dyDescent="0.3">
      <c r="A170">
        <v>1</v>
      </c>
      <c r="B170">
        <f>DATA!M170</f>
        <v>0</v>
      </c>
      <c r="H170" t="s">
        <v>50</v>
      </c>
      <c r="I170" s="12">
        <f>DATA!M24</f>
        <v>1</v>
      </c>
      <c r="M170">
        <v>1</v>
      </c>
    </row>
    <row r="171" spans="1:13" x14ac:dyDescent="0.3">
      <c r="A171">
        <v>2</v>
      </c>
      <c r="B171">
        <f>DATA!M171</f>
        <v>0</v>
      </c>
      <c r="H171" t="s">
        <v>50</v>
      </c>
      <c r="I171" s="12">
        <f>DATA!M25</f>
        <v>0</v>
      </c>
      <c r="M171">
        <v>1</v>
      </c>
    </row>
    <row r="172" spans="1:13" x14ac:dyDescent="0.3">
      <c r="A172">
        <v>0</v>
      </c>
      <c r="B172">
        <f>DATA!M172</f>
        <v>1</v>
      </c>
      <c r="H172" t="s">
        <v>50</v>
      </c>
      <c r="I172" s="12">
        <f>DATA!M26</f>
        <v>0</v>
      </c>
      <c r="M172">
        <v>0</v>
      </c>
    </row>
    <row r="173" spans="1:13" x14ac:dyDescent="0.3">
      <c r="A173">
        <v>0</v>
      </c>
      <c r="B173">
        <f>DATA!M173</f>
        <v>0</v>
      </c>
      <c r="H173" t="s">
        <v>50</v>
      </c>
      <c r="I173" s="12">
        <f>DATA!M27</f>
        <v>0</v>
      </c>
      <c r="M173">
        <v>1</v>
      </c>
    </row>
    <row r="174" spans="1:13" x14ac:dyDescent="0.3">
      <c r="A174">
        <v>10</v>
      </c>
      <c r="B174">
        <f>DATA!M174</f>
        <v>1</v>
      </c>
      <c r="H174" t="s">
        <v>50</v>
      </c>
      <c r="I174" s="12">
        <f>DATA!M28</f>
        <v>1</v>
      </c>
      <c r="M174">
        <v>0</v>
      </c>
    </row>
    <row r="175" spans="1:13" x14ac:dyDescent="0.3">
      <c r="A175">
        <v>7</v>
      </c>
      <c r="B175">
        <f>DATA!M175</f>
        <v>1</v>
      </c>
      <c r="H175" t="s">
        <v>50</v>
      </c>
      <c r="I175" s="12">
        <f>DATA!M29</f>
        <v>0</v>
      </c>
      <c r="M175">
        <v>0</v>
      </c>
    </row>
    <row r="176" spans="1:13" x14ac:dyDescent="0.3">
      <c r="A176">
        <v>6</v>
      </c>
      <c r="B176">
        <f>DATA!M176</f>
        <v>1</v>
      </c>
      <c r="H176" t="s">
        <v>50</v>
      </c>
      <c r="I176" s="12">
        <f>DATA!M30</f>
        <v>1</v>
      </c>
      <c r="M176">
        <v>1</v>
      </c>
    </row>
    <row r="177" spans="1:13" x14ac:dyDescent="0.3">
      <c r="A177">
        <v>2</v>
      </c>
      <c r="B177">
        <f>DATA!M177</f>
        <v>1</v>
      </c>
      <c r="H177" t="s">
        <v>50</v>
      </c>
      <c r="I177" s="12">
        <f>DATA!M31</f>
        <v>1</v>
      </c>
      <c r="M177">
        <v>0</v>
      </c>
    </row>
    <row r="178" spans="1:13" x14ac:dyDescent="0.3">
      <c r="A178">
        <v>10</v>
      </c>
      <c r="B178">
        <f>DATA!M178</f>
        <v>0</v>
      </c>
      <c r="H178" t="s">
        <v>50</v>
      </c>
      <c r="I178" s="12">
        <f>DATA!M32</f>
        <v>1</v>
      </c>
      <c r="M178">
        <v>1</v>
      </c>
    </row>
    <row r="179" spans="1:13" x14ac:dyDescent="0.3">
      <c r="A179">
        <v>9</v>
      </c>
      <c r="B179">
        <f>DATA!M179</f>
        <v>1</v>
      </c>
      <c r="H179" t="s">
        <v>50</v>
      </c>
      <c r="I179" s="12">
        <f>DATA!M33</f>
        <v>1</v>
      </c>
      <c r="M179">
        <v>1</v>
      </c>
    </row>
    <row r="180" spans="1:13" x14ac:dyDescent="0.3">
      <c r="A180">
        <v>10</v>
      </c>
      <c r="B180">
        <f>DATA!M180</f>
        <v>1</v>
      </c>
      <c r="H180" t="s">
        <v>50</v>
      </c>
      <c r="I180" s="12">
        <f>DATA!M34</f>
        <v>1</v>
      </c>
    </row>
    <row r="181" spans="1:13" x14ac:dyDescent="0.3">
      <c r="A181">
        <v>8</v>
      </c>
      <c r="B181">
        <f>DATA!M181</f>
        <v>0</v>
      </c>
      <c r="H181" t="s">
        <v>50</v>
      </c>
      <c r="I181" s="12">
        <f>DATA!M35</f>
        <v>0</v>
      </c>
    </row>
    <row r="182" spans="1:13" x14ac:dyDescent="0.3">
      <c r="A182">
        <v>8</v>
      </c>
      <c r="B182">
        <f>DATA!M182</f>
        <v>1</v>
      </c>
      <c r="H182" t="s">
        <v>50</v>
      </c>
      <c r="I182" s="12">
        <f>DATA!M36</f>
        <v>1</v>
      </c>
    </row>
    <row r="183" spans="1:13" x14ac:dyDescent="0.3">
      <c r="A183">
        <v>2</v>
      </c>
      <c r="B183">
        <f>DATA!M183</f>
        <v>0</v>
      </c>
      <c r="H183" t="s">
        <v>50</v>
      </c>
      <c r="I183" s="12">
        <f>DATA!M37</f>
        <v>1</v>
      </c>
    </row>
    <row r="184" spans="1:13" x14ac:dyDescent="0.3">
      <c r="A184">
        <v>1</v>
      </c>
      <c r="B184">
        <f>DATA!M184</f>
        <v>0</v>
      </c>
      <c r="H184" t="s">
        <v>50</v>
      </c>
      <c r="I184" s="12">
        <f>DATA!M38</f>
        <v>0</v>
      </c>
    </row>
    <row r="185" spans="1:13" x14ac:dyDescent="0.3">
      <c r="A185">
        <v>10</v>
      </c>
      <c r="B185">
        <f>DATA!M185</f>
        <v>0</v>
      </c>
      <c r="H185" t="s">
        <v>50</v>
      </c>
      <c r="I185" s="12">
        <f>DATA!M39</f>
        <v>0</v>
      </c>
    </row>
    <row r="186" spans="1:13" x14ac:dyDescent="0.3">
      <c r="A186">
        <v>2</v>
      </c>
      <c r="B186">
        <f>DATA!M186</f>
        <v>0</v>
      </c>
      <c r="H186" t="s">
        <v>50</v>
      </c>
      <c r="I186" s="12">
        <f>DATA!M40</f>
        <v>1</v>
      </c>
    </row>
    <row r="187" spans="1:13" x14ac:dyDescent="0.3">
      <c r="A187">
        <v>7</v>
      </c>
      <c r="B187">
        <f>DATA!M187</f>
        <v>1</v>
      </c>
      <c r="H187" t="s">
        <v>50</v>
      </c>
      <c r="I187" s="12">
        <f>DATA!M41</f>
        <v>0</v>
      </c>
    </row>
    <row r="188" spans="1:13" x14ac:dyDescent="0.3">
      <c r="A188">
        <v>6</v>
      </c>
      <c r="B188">
        <f>DATA!M188</f>
        <v>1</v>
      </c>
      <c r="H188" t="s">
        <v>50</v>
      </c>
      <c r="I188" s="12">
        <f>DATA!M42</f>
        <v>1</v>
      </c>
    </row>
    <row r="189" spans="1:13" x14ac:dyDescent="0.3">
      <c r="A189">
        <v>6</v>
      </c>
      <c r="B189">
        <f>DATA!M189</f>
        <v>0</v>
      </c>
      <c r="H189" t="s">
        <v>50</v>
      </c>
      <c r="I189" s="12">
        <f>DATA!M43</f>
        <v>0</v>
      </c>
    </row>
    <row r="190" spans="1:13" x14ac:dyDescent="0.3">
      <c r="A190">
        <v>2</v>
      </c>
      <c r="B190">
        <f>DATA!M190</f>
        <v>1</v>
      </c>
      <c r="H190" t="s">
        <v>50</v>
      </c>
      <c r="I190" s="12">
        <f>DATA!M44</f>
        <v>1</v>
      </c>
    </row>
    <row r="191" spans="1:13" x14ac:dyDescent="0.3">
      <c r="A191">
        <v>1</v>
      </c>
      <c r="B191">
        <f>DATA!M191</f>
        <v>1</v>
      </c>
      <c r="H191" t="s">
        <v>50</v>
      </c>
      <c r="I191" s="12">
        <f>DATA!M45</f>
        <v>0</v>
      </c>
    </row>
    <row r="192" spans="1:13" x14ac:dyDescent="0.3">
      <c r="A192">
        <v>5</v>
      </c>
      <c r="B192">
        <f>DATA!M192</f>
        <v>0</v>
      </c>
      <c r="H192" t="s">
        <v>50</v>
      </c>
      <c r="I192" s="12">
        <f>DATA!M46</f>
        <v>0</v>
      </c>
    </row>
    <row r="193" spans="1:9" x14ac:dyDescent="0.3">
      <c r="A193">
        <v>6</v>
      </c>
      <c r="B193">
        <f>DATA!M193</f>
        <v>0</v>
      </c>
      <c r="H193" t="s">
        <v>50</v>
      </c>
      <c r="I193" s="12">
        <f>DATA!M47</f>
        <v>1</v>
      </c>
    </row>
    <row r="194" spans="1:9" x14ac:dyDescent="0.3">
      <c r="A194">
        <v>9</v>
      </c>
      <c r="B194">
        <f>DATA!M194</f>
        <v>1</v>
      </c>
      <c r="H194" t="s">
        <v>50</v>
      </c>
      <c r="I194" s="12">
        <f>DATA!M48</f>
        <v>0</v>
      </c>
    </row>
    <row r="195" spans="1:9" x14ac:dyDescent="0.3">
      <c r="A195">
        <v>9</v>
      </c>
      <c r="B195">
        <f>DATA!M195</f>
        <v>1</v>
      </c>
      <c r="H195" t="s">
        <v>50</v>
      </c>
      <c r="I195" s="12">
        <f>DATA!M49</f>
        <v>1</v>
      </c>
    </row>
    <row r="196" spans="1:9" x14ac:dyDescent="0.3">
      <c r="A196">
        <v>3</v>
      </c>
      <c r="B196">
        <f>DATA!M196</f>
        <v>1</v>
      </c>
      <c r="H196" t="s">
        <v>50</v>
      </c>
      <c r="I196" s="12">
        <f>DATA!M50</f>
        <v>1</v>
      </c>
    </row>
    <row r="197" spans="1:9" x14ac:dyDescent="0.3">
      <c r="A197">
        <v>9</v>
      </c>
      <c r="B197">
        <f>DATA!M197</f>
        <v>0</v>
      </c>
      <c r="H197" t="s">
        <v>50</v>
      </c>
      <c r="I197" s="12">
        <f>DATA!M51</f>
        <v>0</v>
      </c>
    </row>
    <row r="198" spans="1:9" x14ac:dyDescent="0.3">
      <c r="A198">
        <v>4</v>
      </c>
      <c r="B198">
        <f>DATA!M198</f>
        <v>0</v>
      </c>
      <c r="H198" t="s">
        <v>50</v>
      </c>
      <c r="I198" s="12">
        <f>DATA!M52</f>
        <v>1</v>
      </c>
    </row>
    <row r="199" spans="1:9" x14ac:dyDescent="0.3">
      <c r="A199">
        <v>2</v>
      </c>
      <c r="B199">
        <f>DATA!M199</f>
        <v>1</v>
      </c>
      <c r="H199" t="s">
        <v>50</v>
      </c>
      <c r="I199" s="12">
        <f>DATA!M53</f>
        <v>0</v>
      </c>
    </row>
    <row r="200" spans="1:9" x14ac:dyDescent="0.3">
      <c r="A200">
        <v>1</v>
      </c>
      <c r="B200">
        <f>DATA!M200</f>
        <v>1</v>
      </c>
      <c r="H200" t="s">
        <v>50</v>
      </c>
      <c r="I200" s="12">
        <f>DATA!M54</f>
        <v>0</v>
      </c>
    </row>
    <row r="201" spans="1:9" x14ac:dyDescent="0.3">
      <c r="A201">
        <v>6</v>
      </c>
      <c r="B201">
        <f>DATA!M201</f>
        <v>1</v>
      </c>
      <c r="H201" t="s">
        <v>50</v>
      </c>
      <c r="I201" s="12">
        <f>DATA!M55</f>
        <v>1</v>
      </c>
    </row>
    <row r="202" spans="1:9" x14ac:dyDescent="0.3">
      <c r="A202">
        <v>0</v>
      </c>
      <c r="B202">
        <f>DATA!M202</f>
        <v>0</v>
      </c>
      <c r="H202" t="s">
        <v>50</v>
      </c>
      <c r="I202" s="12">
        <f>DATA!M56</f>
        <v>0</v>
      </c>
    </row>
    <row r="203" spans="1:9" x14ac:dyDescent="0.3">
      <c r="A203">
        <v>2</v>
      </c>
      <c r="B203">
        <f>DATA!M203</f>
        <v>1</v>
      </c>
      <c r="H203" t="s">
        <v>50</v>
      </c>
      <c r="I203" s="12">
        <f>DATA!M57</f>
        <v>1</v>
      </c>
    </row>
    <row r="204" spans="1:9" x14ac:dyDescent="0.3">
      <c r="A204">
        <v>6</v>
      </c>
      <c r="B204">
        <f>DATA!M204</f>
        <v>1</v>
      </c>
      <c r="H204" t="s">
        <v>50</v>
      </c>
      <c r="I204" s="12">
        <f>DATA!M58</f>
        <v>1</v>
      </c>
    </row>
    <row r="205" spans="1:9" x14ac:dyDescent="0.3">
      <c r="A205">
        <v>3</v>
      </c>
      <c r="B205">
        <f>DATA!M205</f>
        <v>0</v>
      </c>
      <c r="H205" t="s">
        <v>50</v>
      </c>
      <c r="I205" s="12">
        <f>DATA!M59</f>
        <v>1</v>
      </c>
    </row>
    <row r="206" spans="1:9" x14ac:dyDescent="0.3">
      <c r="A206">
        <v>7</v>
      </c>
      <c r="B206">
        <f>DATA!M206</f>
        <v>1</v>
      </c>
      <c r="H206" t="s">
        <v>50</v>
      </c>
      <c r="I206" s="12">
        <f>DATA!M60</f>
        <v>0</v>
      </c>
    </row>
    <row r="207" spans="1:9" x14ac:dyDescent="0.3">
      <c r="A207">
        <v>5</v>
      </c>
      <c r="B207">
        <f>DATA!M207</f>
        <v>1</v>
      </c>
      <c r="H207" t="s">
        <v>50</v>
      </c>
      <c r="I207" s="12">
        <f>DATA!M61</f>
        <v>1</v>
      </c>
    </row>
    <row r="208" spans="1:9" x14ac:dyDescent="0.3">
      <c r="A208">
        <v>10</v>
      </c>
      <c r="B208">
        <f>DATA!M208</f>
        <v>1</v>
      </c>
      <c r="H208" t="s">
        <v>50</v>
      </c>
      <c r="I208" s="12">
        <f>DATA!M62</f>
        <v>0</v>
      </c>
    </row>
    <row r="209" spans="1:9" x14ac:dyDescent="0.3">
      <c r="A209">
        <v>10</v>
      </c>
      <c r="B209">
        <f>DATA!M209</f>
        <v>0</v>
      </c>
      <c r="H209" t="s">
        <v>50</v>
      </c>
      <c r="I209" s="12">
        <f>DATA!M63</f>
        <v>1</v>
      </c>
    </row>
    <row r="210" spans="1:9" x14ac:dyDescent="0.3">
      <c r="A210">
        <v>2</v>
      </c>
      <c r="B210">
        <f>DATA!M210</f>
        <v>0</v>
      </c>
      <c r="H210" t="s">
        <v>50</v>
      </c>
      <c r="I210" s="12">
        <f>DATA!M64</f>
        <v>1</v>
      </c>
    </row>
    <row r="211" spans="1:9" x14ac:dyDescent="0.3">
      <c r="A211">
        <v>6</v>
      </c>
      <c r="B211">
        <f>DATA!M211</f>
        <v>0</v>
      </c>
      <c r="H211" t="s">
        <v>50</v>
      </c>
      <c r="I211" s="12">
        <f>DATA!M65</f>
        <v>0</v>
      </c>
    </row>
    <row r="212" spans="1:9" x14ac:dyDescent="0.3">
      <c r="A212">
        <v>6</v>
      </c>
      <c r="B212">
        <f>DATA!M212</f>
        <v>1</v>
      </c>
      <c r="H212" t="s">
        <v>50</v>
      </c>
      <c r="I212" s="12">
        <f>DATA!M66</f>
        <v>1</v>
      </c>
    </row>
    <row r="213" spans="1:9" x14ac:dyDescent="0.3">
      <c r="A213">
        <v>10</v>
      </c>
      <c r="B213">
        <f>DATA!M213</f>
        <v>0</v>
      </c>
      <c r="H213" t="s">
        <v>50</v>
      </c>
      <c r="I213" s="12">
        <f>DATA!M67</f>
        <v>0</v>
      </c>
    </row>
    <row r="214" spans="1:9" x14ac:dyDescent="0.3">
      <c r="A214">
        <v>1</v>
      </c>
      <c r="B214">
        <f>DATA!M214</f>
        <v>0</v>
      </c>
      <c r="H214" t="s">
        <v>50</v>
      </c>
      <c r="I214" s="12">
        <f>DATA!M68</f>
        <v>1</v>
      </c>
    </row>
    <row r="215" spans="1:9" x14ac:dyDescent="0.3">
      <c r="A215">
        <v>9</v>
      </c>
      <c r="B215">
        <f>DATA!M215</f>
        <v>0</v>
      </c>
      <c r="H215" t="s">
        <v>50</v>
      </c>
      <c r="I215" s="12">
        <f>DATA!M69</f>
        <v>0</v>
      </c>
    </row>
    <row r="216" spans="1:9" x14ac:dyDescent="0.3">
      <c r="A216">
        <v>10</v>
      </c>
      <c r="B216">
        <f>DATA!M216</f>
        <v>1</v>
      </c>
      <c r="H216" t="s">
        <v>50</v>
      </c>
      <c r="I216" s="12">
        <f>DATA!M70</f>
        <v>1</v>
      </c>
    </row>
    <row r="217" spans="1:9" x14ac:dyDescent="0.3">
      <c r="A217">
        <v>0</v>
      </c>
      <c r="B217">
        <f>DATA!M217</f>
        <v>0</v>
      </c>
      <c r="H217" t="s">
        <v>50</v>
      </c>
      <c r="I217" s="12">
        <f>DATA!M71</f>
        <v>1</v>
      </c>
    </row>
    <row r="218" spans="1:9" x14ac:dyDescent="0.3">
      <c r="A218">
        <v>1</v>
      </c>
      <c r="B218">
        <f>DATA!M218</f>
        <v>1</v>
      </c>
      <c r="H218" t="s">
        <v>50</v>
      </c>
      <c r="I218" s="12">
        <f>DATA!M72</f>
        <v>1</v>
      </c>
    </row>
    <row r="219" spans="1:9" x14ac:dyDescent="0.3">
      <c r="A219">
        <v>3</v>
      </c>
      <c r="B219">
        <f>DATA!M219</f>
        <v>1</v>
      </c>
      <c r="H219" t="s">
        <v>50</v>
      </c>
      <c r="I219" s="12">
        <f>DATA!M73</f>
        <v>0</v>
      </c>
    </row>
    <row r="220" spans="1:9" x14ac:dyDescent="0.3">
      <c r="A220">
        <v>3</v>
      </c>
      <c r="B220">
        <f>DATA!M220</f>
        <v>0</v>
      </c>
      <c r="H220" t="s">
        <v>50</v>
      </c>
      <c r="I220" s="12">
        <f>DATA!M74</f>
        <v>0</v>
      </c>
    </row>
    <row r="221" spans="1:9" x14ac:dyDescent="0.3">
      <c r="A221">
        <v>1</v>
      </c>
      <c r="B221">
        <f>DATA!M221</f>
        <v>0</v>
      </c>
      <c r="H221" t="s">
        <v>50</v>
      </c>
      <c r="I221" s="12">
        <f>DATA!M75</f>
        <v>0</v>
      </c>
    </row>
    <row r="222" spans="1:9" x14ac:dyDescent="0.3">
      <c r="A222">
        <v>3</v>
      </c>
      <c r="B222">
        <f>DATA!M222</f>
        <v>0</v>
      </c>
      <c r="H222" t="s">
        <v>50</v>
      </c>
      <c r="I222" s="12">
        <f>DATA!M76</f>
        <v>0</v>
      </c>
    </row>
    <row r="223" spans="1:9" x14ac:dyDescent="0.3">
      <c r="A223">
        <v>4</v>
      </c>
      <c r="B223">
        <f>DATA!M223</f>
        <v>1</v>
      </c>
      <c r="H223" t="s">
        <v>50</v>
      </c>
      <c r="I223" s="12">
        <f>DATA!M77</f>
        <v>0</v>
      </c>
    </row>
    <row r="224" spans="1:9" x14ac:dyDescent="0.3">
      <c r="A224">
        <v>3</v>
      </c>
      <c r="B224">
        <f>DATA!M224</f>
        <v>0</v>
      </c>
      <c r="H224" t="s">
        <v>50</v>
      </c>
      <c r="I224" s="12">
        <f>DATA!M78</f>
        <v>0</v>
      </c>
    </row>
    <row r="225" spans="1:9" x14ac:dyDescent="0.3">
      <c r="A225">
        <v>9</v>
      </c>
      <c r="B225">
        <f>DATA!M225</f>
        <v>0</v>
      </c>
      <c r="H225" t="s">
        <v>50</v>
      </c>
      <c r="I225" s="12">
        <f>DATA!M79</f>
        <v>0</v>
      </c>
    </row>
    <row r="226" spans="1:9" x14ac:dyDescent="0.3">
      <c r="A226">
        <v>9</v>
      </c>
      <c r="B226">
        <f>DATA!M226</f>
        <v>0</v>
      </c>
      <c r="H226" t="s">
        <v>50</v>
      </c>
      <c r="I226" s="12">
        <f>DATA!M80</f>
        <v>1</v>
      </c>
    </row>
    <row r="227" spans="1:9" x14ac:dyDescent="0.3">
      <c r="A227">
        <v>5</v>
      </c>
      <c r="B227">
        <f>DATA!M227</f>
        <v>0</v>
      </c>
      <c r="H227" t="s">
        <v>50</v>
      </c>
      <c r="I227" s="12">
        <f>DATA!M81</f>
        <v>0</v>
      </c>
    </row>
    <row r="228" spans="1:9" x14ac:dyDescent="0.3">
      <c r="A228">
        <v>6</v>
      </c>
      <c r="B228">
        <f>DATA!M228</f>
        <v>1</v>
      </c>
      <c r="H228" t="s">
        <v>50</v>
      </c>
      <c r="I228" s="12">
        <f>DATA!M82</f>
        <v>0</v>
      </c>
    </row>
    <row r="229" spans="1:9" x14ac:dyDescent="0.3">
      <c r="A229">
        <v>8</v>
      </c>
      <c r="B229">
        <f>DATA!M229</f>
        <v>1</v>
      </c>
      <c r="H229" t="s">
        <v>50</v>
      </c>
      <c r="I229" s="12">
        <f>DATA!M83</f>
        <v>1</v>
      </c>
    </row>
    <row r="230" spans="1:9" x14ac:dyDescent="0.3">
      <c r="A230">
        <v>10</v>
      </c>
      <c r="B230">
        <f>DATA!M230</f>
        <v>1</v>
      </c>
      <c r="H230" t="s">
        <v>50</v>
      </c>
      <c r="I230" s="12">
        <f>DATA!M84</f>
        <v>1</v>
      </c>
    </row>
    <row r="231" spans="1:9" x14ac:dyDescent="0.3">
      <c r="A231">
        <v>9</v>
      </c>
      <c r="B231">
        <f>DATA!M231</f>
        <v>1</v>
      </c>
      <c r="H231" t="s">
        <v>50</v>
      </c>
      <c r="I231" s="12">
        <f>DATA!M85</f>
        <v>0</v>
      </c>
    </row>
    <row r="232" spans="1:9" x14ac:dyDescent="0.3">
      <c r="A232">
        <v>5</v>
      </c>
      <c r="B232">
        <f>DATA!M232</f>
        <v>0</v>
      </c>
      <c r="H232" t="s">
        <v>50</v>
      </c>
      <c r="I232" s="12">
        <f>DATA!M86</f>
        <v>0</v>
      </c>
    </row>
    <row r="233" spans="1:9" x14ac:dyDescent="0.3">
      <c r="A233">
        <v>5</v>
      </c>
      <c r="B233">
        <f>DATA!M233</f>
        <v>1</v>
      </c>
      <c r="H233" t="s">
        <v>50</v>
      </c>
      <c r="I233" s="12">
        <f>DATA!M87</f>
        <v>1</v>
      </c>
    </row>
    <row r="234" spans="1:9" x14ac:dyDescent="0.3">
      <c r="A234">
        <v>8</v>
      </c>
      <c r="B234">
        <f>DATA!M234</f>
        <v>1</v>
      </c>
      <c r="H234" t="s">
        <v>50</v>
      </c>
      <c r="I234" s="12">
        <f>DATA!M88</f>
        <v>0</v>
      </c>
    </row>
    <row r="235" spans="1:9" x14ac:dyDescent="0.3">
      <c r="A235">
        <v>4</v>
      </c>
      <c r="B235">
        <f>DATA!M235</f>
        <v>1</v>
      </c>
      <c r="H235" t="s">
        <v>50</v>
      </c>
      <c r="I235" s="12">
        <f>DATA!M89</f>
        <v>1</v>
      </c>
    </row>
    <row r="236" spans="1:9" x14ac:dyDescent="0.3">
      <c r="A236">
        <v>5</v>
      </c>
      <c r="B236">
        <f>DATA!M236</f>
        <v>1</v>
      </c>
      <c r="H236" t="s">
        <v>50</v>
      </c>
      <c r="I236" s="12">
        <f>DATA!M90</f>
        <v>1</v>
      </c>
    </row>
    <row r="237" spans="1:9" x14ac:dyDescent="0.3">
      <c r="A237">
        <v>0</v>
      </c>
      <c r="B237">
        <f>DATA!M237</f>
        <v>0</v>
      </c>
      <c r="H237" t="s">
        <v>50</v>
      </c>
      <c r="I237" s="12">
        <f>DATA!M91</f>
        <v>0</v>
      </c>
    </row>
    <row r="238" spans="1:9" x14ac:dyDescent="0.3">
      <c r="A238">
        <v>3</v>
      </c>
      <c r="B238">
        <f>DATA!M238</f>
        <v>0</v>
      </c>
      <c r="H238" t="s">
        <v>50</v>
      </c>
      <c r="I238" s="12">
        <f>DATA!M92</f>
        <v>0</v>
      </c>
    </row>
    <row r="239" spans="1:9" x14ac:dyDescent="0.3">
      <c r="A239">
        <v>1</v>
      </c>
      <c r="B239">
        <f>DATA!M239</f>
        <v>0</v>
      </c>
      <c r="H239" t="s">
        <v>50</v>
      </c>
      <c r="I239" s="12">
        <f>DATA!M93</f>
        <v>1</v>
      </c>
    </row>
    <row r="240" spans="1:9" x14ac:dyDescent="0.3">
      <c r="A240">
        <v>6</v>
      </c>
      <c r="B240">
        <f>DATA!M240</f>
        <v>1</v>
      </c>
      <c r="H240" t="s">
        <v>50</v>
      </c>
      <c r="I240" s="12">
        <f>DATA!M94</f>
        <v>0</v>
      </c>
    </row>
    <row r="241" spans="1:9" x14ac:dyDescent="0.3">
      <c r="A241">
        <v>8</v>
      </c>
      <c r="B241">
        <f>DATA!M241</f>
        <v>1</v>
      </c>
      <c r="H241" t="s">
        <v>50</v>
      </c>
      <c r="I241" s="12">
        <f>DATA!M95</f>
        <v>0</v>
      </c>
    </row>
    <row r="242" spans="1:9" x14ac:dyDescent="0.3">
      <c r="A242">
        <v>6</v>
      </c>
      <c r="B242">
        <f>DATA!M242</f>
        <v>1</v>
      </c>
      <c r="H242" t="s">
        <v>50</v>
      </c>
      <c r="I242" s="12">
        <f>DATA!M96</f>
        <v>1</v>
      </c>
    </row>
    <row r="243" spans="1:9" x14ac:dyDescent="0.3">
      <c r="A243">
        <v>3</v>
      </c>
      <c r="B243">
        <f>DATA!M243</f>
        <v>0</v>
      </c>
      <c r="H243" t="s">
        <v>50</v>
      </c>
      <c r="I243" s="12">
        <f>DATA!M97</f>
        <v>1</v>
      </c>
    </row>
    <row r="244" spans="1:9" x14ac:dyDescent="0.3">
      <c r="A244">
        <v>4</v>
      </c>
      <c r="B244">
        <f>DATA!M244</f>
        <v>0</v>
      </c>
      <c r="H244" t="s">
        <v>50</v>
      </c>
      <c r="I244" s="12">
        <f>DATA!M98</f>
        <v>0</v>
      </c>
    </row>
    <row r="245" spans="1:9" x14ac:dyDescent="0.3">
      <c r="A245">
        <v>5</v>
      </c>
      <c r="B245">
        <f>DATA!M245</f>
        <v>1</v>
      </c>
      <c r="H245" t="s">
        <v>50</v>
      </c>
      <c r="I245" s="12">
        <f>DATA!M99</f>
        <v>0</v>
      </c>
    </row>
    <row r="246" spans="1:9" x14ac:dyDescent="0.3">
      <c r="A246">
        <v>8</v>
      </c>
      <c r="B246">
        <f>DATA!M246</f>
        <v>1</v>
      </c>
      <c r="H246" t="s">
        <v>50</v>
      </c>
      <c r="I246" s="12">
        <f>DATA!M100</f>
        <v>1</v>
      </c>
    </row>
    <row r="247" spans="1:9" x14ac:dyDescent="0.3">
      <c r="A247">
        <v>2</v>
      </c>
      <c r="B247">
        <f>DATA!M247</f>
        <v>0</v>
      </c>
      <c r="H247" t="s">
        <v>50</v>
      </c>
      <c r="I247" s="12">
        <f>DATA!M101</f>
        <v>1</v>
      </c>
    </row>
    <row r="248" spans="1:9" x14ac:dyDescent="0.3">
      <c r="A248">
        <v>9</v>
      </c>
      <c r="B248">
        <f>DATA!M248</f>
        <v>0</v>
      </c>
      <c r="H248" t="s">
        <v>50</v>
      </c>
      <c r="I248" s="12">
        <f>DATA!M102</f>
        <v>0</v>
      </c>
    </row>
    <row r="249" spans="1:9" x14ac:dyDescent="0.3">
      <c r="A249">
        <v>3</v>
      </c>
      <c r="B249">
        <f>DATA!M249</f>
        <v>0</v>
      </c>
      <c r="H249" t="s">
        <v>50</v>
      </c>
      <c r="I249" s="12">
        <f>DATA!M103</f>
        <v>0</v>
      </c>
    </row>
    <row r="250" spans="1:9" x14ac:dyDescent="0.3">
      <c r="A250">
        <v>2</v>
      </c>
      <c r="B250">
        <f>DATA!M250</f>
        <v>0</v>
      </c>
      <c r="H250" t="s">
        <v>50</v>
      </c>
      <c r="I250" s="12">
        <f>DATA!M104</f>
        <v>1</v>
      </c>
    </row>
    <row r="251" spans="1:9" x14ac:dyDescent="0.3">
      <c r="A251">
        <v>9</v>
      </c>
      <c r="B251">
        <f>DATA!M251</f>
        <v>0</v>
      </c>
      <c r="H251" t="s">
        <v>50</v>
      </c>
      <c r="I251" s="12">
        <f>DATA!M105</f>
        <v>1</v>
      </c>
    </row>
    <row r="252" spans="1:9" x14ac:dyDescent="0.3">
      <c r="A252">
        <v>1</v>
      </c>
      <c r="B252">
        <f>DATA!M252</f>
        <v>0</v>
      </c>
      <c r="H252" t="s">
        <v>50</v>
      </c>
      <c r="I252" s="12">
        <f>DATA!M106</f>
        <v>1</v>
      </c>
    </row>
    <row r="253" spans="1:9" x14ac:dyDescent="0.3">
      <c r="A253">
        <v>1</v>
      </c>
      <c r="B253">
        <f>DATA!M253</f>
        <v>1</v>
      </c>
      <c r="H253" t="s">
        <v>50</v>
      </c>
      <c r="I253" s="12">
        <f>DATA!M107</f>
        <v>1</v>
      </c>
    </row>
    <row r="254" spans="1:9" x14ac:dyDescent="0.3">
      <c r="A254">
        <v>10</v>
      </c>
      <c r="B254">
        <f>DATA!M254</f>
        <v>0</v>
      </c>
      <c r="H254" t="s">
        <v>50</v>
      </c>
      <c r="I254" s="12">
        <f>DATA!M108</f>
        <v>0</v>
      </c>
    </row>
    <row r="255" spans="1:9" x14ac:dyDescent="0.3">
      <c r="A255">
        <v>8</v>
      </c>
      <c r="B255">
        <f>DATA!M255</f>
        <v>1</v>
      </c>
      <c r="H255" t="s">
        <v>50</v>
      </c>
      <c r="I255" s="12">
        <f>DATA!M109</f>
        <v>1</v>
      </c>
    </row>
    <row r="256" spans="1:9" x14ac:dyDescent="0.3">
      <c r="A256">
        <v>10</v>
      </c>
      <c r="B256">
        <f>DATA!M256</f>
        <v>0</v>
      </c>
      <c r="H256" t="s">
        <v>50</v>
      </c>
      <c r="I256" s="12">
        <f>DATA!M110</f>
        <v>0</v>
      </c>
    </row>
    <row r="257" spans="1:9" x14ac:dyDescent="0.3">
      <c r="A257">
        <v>6</v>
      </c>
      <c r="B257">
        <f>DATA!M257</f>
        <v>1</v>
      </c>
      <c r="H257" t="s">
        <v>50</v>
      </c>
      <c r="I257" s="12">
        <f>DATA!M111</f>
        <v>1</v>
      </c>
    </row>
    <row r="258" spans="1:9" x14ac:dyDescent="0.3">
      <c r="A258">
        <v>10</v>
      </c>
      <c r="B258">
        <f>DATA!M258</f>
        <v>1</v>
      </c>
      <c r="H258" t="s">
        <v>50</v>
      </c>
      <c r="I258" s="12">
        <f>DATA!M112</f>
        <v>0</v>
      </c>
    </row>
    <row r="259" spans="1:9" x14ac:dyDescent="0.3">
      <c r="A259">
        <v>3</v>
      </c>
      <c r="B259">
        <f>DATA!M259</f>
        <v>1</v>
      </c>
      <c r="H259" t="s">
        <v>50</v>
      </c>
      <c r="I259" s="12">
        <f>DATA!M113</f>
        <v>0</v>
      </c>
    </row>
    <row r="260" spans="1:9" x14ac:dyDescent="0.3">
      <c r="A260">
        <v>2</v>
      </c>
      <c r="B260">
        <f>DATA!M260</f>
        <v>1</v>
      </c>
      <c r="H260" t="s">
        <v>50</v>
      </c>
      <c r="I260" s="12">
        <f>DATA!M114</f>
        <v>0</v>
      </c>
    </row>
    <row r="261" spans="1:9" x14ac:dyDescent="0.3">
      <c r="A261">
        <v>2</v>
      </c>
      <c r="B261">
        <f>DATA!M261</f>
        <v>0</v>
      </c>
      <c r="H261" t="s">
        <v>50</v>
      </c>
      <c r="I261" s="12">
        <f>DATA!M115</f>
        <v>0</v>
      </c>
    </row>
    <row r="262" spans="1:9" x14ac:dyDescent="0.3">
      <c r="A262">
        <v>4</v>
      </c>
      <c r="B262">
        <f>DATA!M262</f>
        <v>1</v>
      </c>
      <c r="H262" t="s">
        <v>50</v>
      </c>
      <c r="I262" s="12">
        <f>DATA!M116</f>
        <v>1</v>
      </c>
    </row>
    <row r="263" spans="1:9" x14ac:dyDescent="0.3">
      <c r="A263">
        <v>10</v>
      </c>
      <c r="B263">
        <f>DATA!M263</f>
        <v>1</v>
      </c>
      <c r="H263" t="s">
        <v>50</v>
      </c>
      <c r="I263" s="12">
        <f>DATA!M117</f>
        <v>1</v>
      </c>
    </row>
    <row r="264" spans="1:9" x14ac:dyDescent="0.3">
      <c r="A264">
        <v>7</v>
      </c>
      <c r="B264">
        <f>DATA!M264</f>
        <v>0</v>
      </c>
      <c r="H264" t="s">
        <v>50</v>
      </c>
      <c r="I264" s="12">
        <f>DATA!M118</f>
        <v>1</v>
      </c>
    </row>
    <row r="265" spans="1:9" x14ac:dyDescent="0.3">
      <c r="A265">
        <v>2</v>
      </c>
      <c r="B265">
        <f>DATA!M265</f>
        <v>1</v>
      </c>
      <c r="H265" t="s">
        <v>50</v>
      </c>
      <c r="I265" s="12">
        <f>DATA!M119</f>
        <v>0</v>
      </c>
    </row>
    <row r="266" spans="1:9" x14ac:dyDescent="0.3">
      <c r="A266">
        <v>4</v>
      </c>
      <c r="B266">
        <f>DATA!M266</f>
        <v>0</v>
      </c>
      <c r="H266" t="s">
        <v>50</v>
      </c>
      <c r="I266" s="12">
        <f>DATA!M120</f>
        <v>0</v>
      </c>
    </row>
    <row r="267" spans="1:9" x14ac:dyDescent="0.3">
      <c r="A267">
        <v>4</v>
      </c>
      <c r="B267">
        <f>DATA!M267</f>
        <v>1</v>
      </c>
      <c r="H267" t="s">
        <v>50</v>
      </c>
      <c r="I267" s="12">
        <f>DATA!M121</f>
        <v>1</v>
      </c>
    </row>
    <row r="268" spans="1:9" x14ac:dyDescent="0.3">
      <c r="A268">
        <v>9</v>
      </c>
      <c r="B268">
        <f>DATA!M268</f>
        <v>0</v>
      </c>
      <c r="H268" t="s">
        <v>50</v>
      </c>
      <c r="I268" s="12">
        <f>DATA!M122</f>
        <v>1</v>
      </c>
    </row>
    <row r="269" spans="1:9" x14ac:dyDescent="0.3">
      <c r="A269">
        <v>1</v>
      </c>
      <c r="B269">
        <f>DATA!M269</f>
        <v>1</v>
      </c>
      <c r="H269" t="s">
        <v>50</v>
      </c>
      <c r="I269" s="12">
        <f>DATA!M123</f>
        <v>0</v>
      </c>
    </row>
    <row r="270" spans="1:9" x14ac:dyDescent="0.3">
      <c r="A270">
        <v>5</v>
      </c>
      <c r="B270">
        <f>DATA!M270</f>
        <v>1</v>
      </c>
      <c r="H270" t="s">
        <v>50</v>
      </c>
      <c r="I270" s="12">
        <f>DATA!M124</f>
        <v>1</v>
      </c>
    </row>
    <row r="271" spans="1:9" x14ac:dyDescent="0.3">
      <c r="A271">
        <v>3</v>
      </c>
      <c r="B271">
        <f>DATA!M271</f>
        <v>1</v>
      </c>
      <c r="H271" t="s">
        <v>50</v>
      </c>
      <c r="I271" s="12">
        <f>DATA!M125</f>
        <v>1</v>
      </c>
    </row>
    <row r="272" spans="1:9" x14ac:dyDescent="0.3">
      <c r="A272">
        <v>7</v>
      </c>
      <c r="B272">
        <f>DATA!M272</f>
        <v>1</v>
      </c>
      <c r="H272" t="s">
        <v>50</v>
      </c>
      <c r="I272" s="12">
        <f>DATA!M126</f>
        <v>0</v>
      </c>
    </row>
    <row r="273" spans="1:9" x14ac:dyDescent="0.3">
      <c r="A273">
        <v>4</v>
      </c>
      <c r="B273">
        <f>DATA!M273</f>
        <v>1</v>
      </c>
      <c r="H273" t="s">
        <v>50</v>
      </c>
      <c r="I273" s="12">
        <f>DATA!M127</f>
        <v>0</v>
      </c>
    </row>
    <row r="274" spans="1:9" x14ac:dyDescent="0.3">
      <c r="A274">
        <v>10</v>
      </c>
      <c r="B274">
        <f>DATA!M274</f>
        <v>1</v>
      </c>
      <c r="H274" t="s">
        <v>50</v>
      </c>
      <c r="I274" s="12">
        <f>DATA!M128</f>
        <v>1</v>
      </c>
    </row>
    <row r="275" spans="1:9" x14ac:dyDescent="0.3">
      <c r="A275">
        <v>2</v>
      </c>
      <c r="B275">
        <f>DATA!M275</f>
        <v>0</v>
      </c>
      <c r="H275" t="s">
        <v>50</v>
      </c>
      <c r="I275" s="12">
        <f>DATA!M129</f>
        <v>0</v>
      </c>
    </row>
    <row r="276" spans="1:9" x14ac:dyDescent="0.3">
      <c r="A276">
        <v>0</v>
      </c>
      <c r="B276">
        <f>DATA!M276</f>
        <v>0</v>
      </c>
      <c r="H276" t="s">
        <v>50</v>
      </c>
      <c r="I276" s="12">
        <f>DATA!M130</f>
        <v>0</v>
      </c>
    </row>
    <row r="277" spans="1:9" x14ac:dyDescent="0.3">
      <c r="A277">
        <v>9</v>
      </c>
      <c r="B277">
        <f>DATA!M277</f>
        <v>0</v>
      </c>
      <c r="H277" t="s">
        <v>50</v>
      </c>
      <c r="I277" s="12">
        <f>DATA!M131</f>
        <v>0</v>
      </c>
    </row>
    <row r="278" spans="1:9" x14ac:dyDescent="0.3">
      <c r="A278">
        <v>2</v>
      </c>
      <c r="B278">
        <f>DATA!M278</f>
        <v>1</v>
      </c>
      <c r="H278" t="s">
        <v>50</v>
      </c>
      <c r="I278" s="12">
        <f>DATA!M132</f>
        <v>1</v>
      </c>
    </row>
    <row r="279" spans="1:9" x14ac:dyDescent="0.3">
      <c r="A279">
        <v>2</v>
      </c>
      <c r="B279">
        <f>DATA!M279</f>
        <v>1</v>
      </c>
      <c r="H279" t="s">
        <v>50</v>
      </c>
      <c r="I279" s="12">
        <f>DATA!M133</f>
        <v>0</v>
      </c>
    </row>
    <row r="280" spans="1:9" x14ac:dyDescent="0.3">
      <c r="A280">
        <v>9</v>
      </c>
      <c r="B280">
        <f>DATA!M280</f>
        <v>1</v>
      </c>
      <c r="H280" t="s">
        <v>48</v>
      </c>
      <c r="I280" s="12">
        <f>DATA!M134</f>
        <v>1</v>
      </c>
    </row>
    <row r="281" spans="1:9" x14ac:dyDescent="0.3">
      <c r="A281">
        <v>6</v>
      </c>
      <c r="B281">
        <f>DATA!M281</f>
        <v>1</v>
      </c>
      <c r="H281" t="s">
        <v>48</v>
      </c>
      <c r="I281" s="12">
        <f>DATA!M135</f>
        <v>1</v>
      </c>
    </row>
    <row r="282" spans="1:9" x14ac:dyDescent="0.3">
      <c r="A282">
        <v>8</v>
      </c>
      <c r="B282">
        <f>DATA!M282</f>
        <v>1</v>
      </c>
      <c r="H282" t="s">
        <v>48</v>
      </c>
      <c r="I282" s="12">
        <f>DATA!M136</f>
        <v>1</v>
      </c>
    </row>
    <row r="283" spans="1:9" x14ac:dyDescent="0.3">
      <c r="A283">
        <v>9</v>
      </c>
      <c r="B283">
        <f>DATA!M283</f>
        <v>1</v>
      </c>
      <c r="H283" t="s">
        <v>48</v>
      </c>
      <c r="I283" s="12">
        <f>DATA!M137</f>
        <v>1</v>
      </c>
    </row>
    <row r="284" spans="1:9" x14ac:dyDescent="0.3">
      <c r="A284">
        <v>1</v>
      </c>
      <c r="B284">
        <f>DATA!M284</f>
        <v>0</v>
      </c>
      <c r="H284" t="s">
        <v>48</v>
      </c>
      <c r="I284" s="12">
        <f>DATA!M138</f>
        <v>0</v>
      </c>
    </row>
    <row r="285" spans="1:9" x14ac:dyDescent="0.3">
      <c r="A285">
        <v>1</v>
      </c>
      <c r="B285">
        <f>DATA!M285</f>
        <v>1</v>
      </c>
      <c r="H285" t="s">
        <v>48</v>
      </c>
      <c r="I285" s="12">
        <f>DATA!M139</f>
        <v>1</v>
      </c>
    </row>
    <row r="286" spans="1:9" x14ac:dyDescent="0.3">
      <c r="A286">
        <v>1</v>
      </c>
      <c r="B286">
        <f>DATA!M286</f>
        <v>1</v>
      </c>
      <c r="H286" t="s">
        <v>48</v>
      </c>
      <c r="I286" s="12">
        <f>DATA!M140</f>
        <v>0</v>
      </c>
    </row>
    <row r="287" spans="1:9" x14ac:dyDescent="0.3">
      <c r="A287">
        <v>0</v>
      </c>
      <c r="B287">
        <f>DATA!M287</f>
        <v>1</v>
      </c>
      <c r="H287" t="s">
        <v>48</v>
      </c>
      <c r="I287" s="12">
        <f>DATA!M141</f>
        <v>1</v>
      </c>
    </row>
    <row r="288" spans="1:9" x14ac:dyDescent="0.3">
      <c r="A288">
        <v>1</v>
      </c>
      <c r="B288">
        <f>DATA!M288</f>
        <v>0</v>
      </c>
      <c r="H288" t="s">
        <v>48</v>
      </c>
      <c r="I288" s="12">
        <f>DATA!M142</f>
        <v>1</v>
      </c>
    </row>
    <row r="289" spans="1:9" x14ac:dyDescent="0.3">
      <c r="A289">
        <v>7</v>
      </c>
      <c r="B289">
        <f>DATA!M289</f>
        <v>1</v>
      </c>
      <c r="H289" t="s">
        <v>48</v>
      </c>
      <c r="I289" s="12">
        <f>DATA!M143</f>
        <v>0</v>
      </c>
    </row>
    <row r="290" spans="1:9" x14ac:dyDescent="0.3">
      <c r="A290">
        <v>0</v>
      </c>
      <c r="B290">
        <f>DATA!M290</f>
        <v>0</v>
      </c>
      <c r="H290" t="s">
        <v>48</v>
      </c>
      <c r="I290" s="12">
        <f>DATA!M144</f>
        <v>1</v>
      </c>
    </row>
    <row r="291" spans="1:9" x14ac:dyDescent="0.3">
      <c r="A291">
        <v>6</v>
      </c>
      <c r="B291">
        <f>DATA!M291</f>
        <v>0</v>
      </c>
      <c r="H291" t="s">
        <v>48</v>
      </c>
      <c r="I291" s="12">
        <f>DATA!M145</f>
        <v>0</v>
      </c>
    </row>
    <row r="292" spans="1:9" x14ac:dyDescent="0.3">
      <c r="A292">
        <v>5</v>
      </c>
      <c r="B292">
        <f>DATA!M292</f>
        <v>0</v>
      </c>
      <c r="H292" t="s">
        <v>48</v>
      </c>
      <c r="I292" s="12">
        <f>DATA!M146</f>
        <v>0</v>
      </c>
    </row>
    <row r="293" spans="1:9" x14ac:dyDescent="0.3">
      <c r="A293">
        <v>9</v>
      </c>
      <c r="B293">
        <f>DATA!M293</f>
        <v>1</v>
      </c>
      <c r="H293" t="s">
        <v>48</v>
      </c>
      <c r="I293" s="12">
        <f>DATA!M147</f>
        <v>0</v>
      </c>
    </row>
    <row r="294" spans="1:9" x14ac:dyDescent="0.3">
      <c r="A294">
        <v>8</v>
      </c>
      <c r="B294">
        <f>DATA!M294</f>
        <v>0</v>
      </c>
      <c r="H294" t="s">
        <v>48</v>
      </c>
      <c r="I294" s="12">
        <f>DATA!M148</f>
        <v>1</v>
      </c>
    </row>
    <row r="295" spans="1:9" x14ac:dyDescent="0.3">
      <c r="A295">
        <v>5</v>
      </c>
      <c r="B295">
        <f>DATA!M295</f>
        <v>1</v>
      </c>
      <c r="H295" t="s">
        <v>48</v>
      </c>
      <c r="I295" s="12">
        <f>DATA!M149</f>
        <v>1</v>
      </c>
    </row>
    <row r="296" spans="1:9" x14ac:dyDescent="0.3">
      <c r="A296">
        <v>6</v>
      </c>
      <c r="B296">
        <f>DATA!M296</f>
        <v>0</v>
      </c>
      <c r="H296" t="s">
        <v>48</v>
      </c>
      <c r="I296" s="12">
        <f>DATA!M150</f>
        <v>1</v>
      </c>
    </row>
    <row r="297" spans="1:9" x14ac:dyDescent="0.3">
      <c r="A297">
        <v>8</v>
      </c>
      <c r="B297">
        <f>DATA!M297</f>
        <v>0</v>
      </c>
      <c r="H297" t="s">
        <v>48</v>
      </c>
      <c r="I297" s="12">
        <f>DATA!M151</f>
        <v>0</v>
      </c>
    </row>
    <row r="298" spans="1:9" x14ac:dyDescent="0.3">
      <c r="A298">
        <v>1</v>
      </c>
      <c r="B298">
        <f>DATA!M298</f>
        <v>1</v>
      </c>
      <c r="H298" t="s">
        <v>48</v>
      </c>
      <c r="I298" s="12">
        <f>DATA!M152</f>
        <v>0</v>
      </c>
    </row>
    <row r="299" spans="1:9" x14ac:dyDescent="0.3">
      <c r="A299">
        <v>4</v>
      </c>
      <c r="B299">
        <f>DATA!M299</f>
        <v>1</v>
      </c>
      <c r="H299" t="s">
        <v>48</v>
      </c>
      <c r="I299" s="12">
        <f>DATA!M153</f>
        <v>1</v>
      </c>
    </row>
    <row r="300" spans="1:9" x14ac:dyDescent="0.3">
      <c r="A300">
        <v>5</v>
      </c>
      <c r="B300">
        <f>DATA!M300</f>
        <v>1</v>
      </c>
      <c r="H300" t="s">
        <v>48</v>
      </c>
      <c r="I300" s="12">
        <f>DATA!M154</f>
        <v>1</v>
      </c>
    </row>
    <row r="301" spans="1:9" x14ac:dyDescent="0.3">
      <c r="A301">
        <v>9</v>
      </c>
      <c r="B301">
        <f>DATA!M301</f>
        <v>0</v>
      </c>
      <c r="H301" t="s">
        <v>48</v>
      </c>
      <c r="I301" s="12">
        <f>DATA!M155</f>
        <v>1</v>
      </c>
    </row>
    <row r="302" spans="1:9" x14ac:dyDescent="0.3">
      <c r="A302">
        <v>0</v>
      </c>
      <c r="B302">
        <f>DATA!M302</f>
        <v>1</v>
      </c>
      <c r="H302" t="s">
        <v>48</v>
      </c>
      <c r="I302" s="12">
        <f>DATA!M156</f>
        <v>0</v>
      </c>
    </row>
    <row r="303" spans="1:9" x14ac:dyDescent="0.3">
      <c r="A303">
        <v>5</v>
      </c>
      <c r="B303">
        <f>DATA!M303</f>
        <v>1</v>
      </c>
      <c r="H303" t="s">
        <v>48</v>
      </c>
      <c r="I303" s="12">
        <f>DATA!M157</f>
        <v>1</v>
      </c>
    </row>
    <row r="304" spans="1:9" x14ac:dyDescent="0.3">
      <c r="A304">
        <v>6</v>
      </c>
      <c r="B304">
        <f>DATA!M304</f>
        <v>0</v>
      </c>
      <c r="H304" t="s">
        <v>48</v>
      </c>
      <c r="I304" s="12">
        <f>DATA!M158</f>
        <v>0</v>
      </c>
    </row>
    <row r="305" spans="1:9" x14ac:dyDescent="0.3">
      <c r="A305">
        <v>9</v>
      </c>
      <c r="B305">
        <f>DATA!M305</f>
        <v>1</v>
      </c>
      <c r="H305" t="s">
        <v>48</v>
      </c>
      <c r="I305" s="12">
        <f>DATA!M159</f>
        <v>1</v>
      </c>
    </row>
    <row r="306" spans="1:9" x14ac:dyDescent="0.3">
      <c r="A306">
        <v>1</v>
      </c>
      <c r="B306">
        <f>DATA!M306</f>
        <v>0</v>
      </c>
      <c r="H306" t="s">
        <v>48</v>
      </c>
      <c r="I306" s="12">
        <f>DATA!M160</f>
        <v>1</v>
      </c>
    </row>
    <row r="307" spans="1:9" x14ac:dyDescent="0.3">
      <c r="A307">
        <v>1</v>
      </c>
      <c r="B307">
        <f>DATA!M307</f>
        <v>0</v>
      </c>
      <c r="H307" t="s">
        <v>48</v>
      </c>
      <c r="I307" s="12">
        <f>DATA!M161</f>
        <v>1</v>
      </c>
    </row>
    <row r="308" spans="1:9" x14ac:dyDescent="0.3">
      <c r="A308">
        <v>3</v>
      </c>
      <c r="B308">
        <f>DATA!M308</f>
        <v>1</v>
      </c>
      <c r="H308" t="s">
        <v>48</v>
      </c>
      <c r="I308" s="12">
        <f>DATA!M162</f>
        <v>0</v>
      </c>
    </row>
    <row r="309" spans="1:9" x14ac:dyDescent="0.3">
      <c r="A309">
        <v>1</v>
      </c>
      <c r="B309">
        <f>DATA!M309</f>
        <v>0</v>
      </c>
      <c r="H309" t="s">
        <v>48</v>
      </c>
      <c r="I309" s="12">
        <f>DATA!M163</f>
        <v>0</v>
      </c>
    </row>
    <row r="310" spans="1:9" x14ac:dyDescent="0.3">
      <c r="A310">
        <v>10</v>
      </c>
      <c r="B310">
        <f>DATA!M310</f>
        <v>1</v>
      </c>
      <c r="H310" t="s">
        <v>48</v>
      </c>
      <c r="I310" s="12">
        <f>DATA!M164</f>
        <v>1</v>
      </c>
    </row>
    <row r="311" spans="1:9" x14ac:dyDescent="0.3">
      <c r="A311">
        <v>6</v>
      </c>
      <c r="B311">
        <f>DATA!M311</f>
        <v>1</v>
      </c>
      <c r="H311" t="s">
        <v>48</v>
      </c>
      <c r="I311" s="12">
        <f>DATA!M165</f>
        <v>1</v>
      </c>
    </row>
    <row r="312" spans="1:9" x14ac:dyDescent="0.3">
      <c r="A312">
        <v>10</v>
      </c>
      <c r="B312">
        <f>DATA!M312</f>
        <v>0</v>
      </c>
      <c r="H312" t="s">
        <v>48</v>
      </c>
      <c r="I312" s="12">
        <f>DATA!M166</f>
        <v>0</v>
      </c>
    </row>
    <row r="313" spans="1:9" x14ac:dyDescent="0.3">
      <c r="A313">
        <v>0</v>
      </c>
      <c r="B313">
        <f>DATA!M313</f>
        <v>1</v>
      </c>
      <c r="H313" t="s">
        <v>48</v>
      </c>
      <c r="I313" s="12">
        <f>DATA!M167</f>
        <v>1</v>
      </c>
    </row>
    <row r="314" spans="1:9" x14ac:dyDescent="0.3">
      <c r="A314">
        <v>7</v>
      </c>
      <c r="B314">
        <f>DATA!M314</f>
        <v>1</v>
      </c>
      <c r="H314" t="s">
        <v>48</v>
      </c>
      <c r="I314" s="12">
        <f>DATA!M168</f>
        <v>1</v>
      </c>
    </row>
    <row r="315" spans="1:9" x14ac:dyDescent="0.3">
      <c r="A315">
        <v>6</v>
      </c>
      <c r="B315">
        <f>DATA!M315</f>
        <v>1</v>
      </c>
      <c r="H315" t="s">
        <v>48</v>
      </c>
      <c r="I315" s="12">
        <f>DATA!M169</f>
        <v>0</v>
      </c>
    </row>
    <row r="316" spans="1:9" x14ac:dyDescent="0.3">
      <c r="A316">
        <v>4</v>
      </c>
      <c r="B316">
        <f>DATA!M316</f>
        <v>0</v>
      </c>
      <c r="H316" t="s">
        <v>48</v>
      </c>
      <c r="I316" s="12">
        <f>DATA!M170</f>
        <v>0</v>
      </c>
    </row>
    <row r="317" spans="1:9" x14ac:dyDescent="0.3">
      <c r="A317">
        <v>9</v>
      </c>
      <c r="B317">
        <f>DATA!M317</f>
        <v>0</v>
      </c>
      <c r="H317" t="s">
        <v>48</v>
      </c>
      <c r="I317" s="12">
        <f>DATA!M171</f>
        <v>0</v>
      </c>
    </row>
    <row r="318" spans="1:9" x14ac:dyDescent="0.3">
      <c r="A318">
        <v>2</v>
      </c>
      <c r="B318">
        <f>DATA!M318</f>
        <v>1</v>
      </c>
      <c r="H318" t="s">
        <v>48</v>
      </c>
      <c r="I318" s="12">
        <f>DATA!M172</f>
        <v>1</v>
      </c>
    </row>
    <row r="319" spans="1:9" x14ac:dyDescent="0.3">
      <c r="A319">
        <v>3</v>
      </c>
      <c r="B319">
        <f>DATA!M319</f>
        <v>1</v>
      </c>
      <c r="H319" t="s">
        <v>48</v>
      </c>
      <c r="I319" s="12">
        <f>DATA!M173</f>
        <v>0</v>
      </c>
    </row>
    <row r="320" spans="1:9" x14ac:dyDescent="0.3">
      <c r="A320">
        <v>10</v>
      </c>
      <c r="B320">
        <f>DATA!M320</f>
        <v>1</v>
      </c>
      <c r="H320" t="s">
        <v>48</v>
      </c>
      <c r="I320" s="12">
        <f>DATA!M174</f>
        <v>1</v>
      </c>
    </row>
    <row r="321" spans="1:9" x14ac:dyDescent="0.3">
      <c r="A321">
        <v>6</v>
      </c>
      <c r="B321">
        <f>DATA!M321</f>
        <v>1</v>
      </c>
      <c r="H321" t="s">
        <v>48</v>
      </c>
      <c r="I321" s="12">
        <f>DATA!M175</f>
        <v>1</v>
      </c>
    </row>
    <row r="322" spans="1:9" x14ac:dyDescent="0.3">
      <c r="A322">
        <v>6</v>
      </c>
      <c r="B322">
        <f>DATA!M322</f>
        <v>0</v>
      </c>
      <c r="H322" t="s">
        <v>48</v>
      </c>
      <c r="I322" s="12">
        <f>DATA!M176</f>
        <v>1</v>
      </c>
    </row>
    <row r="323" spans="1:9" x14ac:dyDescent="0.3">
      <c r="A323">
        <v>2</v>
      </c>
      <c r="B323">
        <f>DATA!M323</f>
        <v>1</v>
      </c>
      <c r="H323" t="s">
        <v>48</v>
      </c>
      <c r="I323" s="12">
        <f>DATA!M177</f>
        <v>1</v>
      </c>
    </row>
    <row r="324" spans="1:9" x14ac:dyDescent="0.3">
      <c r="A324">
        <v>1</v>
      </c>
      <c r="B324">
        <f>DATA!M324</f>
        <v>1</v>
      </c>
      <c r="H324" t="s">
        <v>48</v>
      </c>
      <c r="I324" s="12">
        <f>DATA!M178</f>
        <v>0</v>
      </c>
    </row>
    <row r="325" spans="1:9" x14ac:dyDescent="0.3">
      <c r="A325">
        <v>10</v>
      </c>
      <c r="B325">
        <f>DATA!M325</f>
        <v>0</v>
      </c>
      <c r="H325" t="s">
        <v>48</v>
      </c>
      <c r="I325" s="12">
        <f>DATA!M179</f>
        <v>1</v>
      </c>
    </row>
    <row r="326" spans="1:9" x14ac:dyDescent="0.3">
      <c r="A326">
        <v>7</v>
      </c>
      <c r="B326">
        <f>DATA!M326</f>
        <v>1</v>
      </c>
      <c r="H326" t="s">
        <v>48</v>
      </c>
      <c r="I326" s="12">
        <f>DATA!M180</f>
        <v>1</v>
      </c>
    </row>
    <row r="327" spans="1:9" x14ac:dyDescent="0.3">
      <c r="A327">
        <v>8</v>
      </c>
      <c r="B327">
        <f>DATA!M327</f>
        <v>1</v>
      </c>
      <c r="H327" t="s">
        <v>48</v>
      </c>
      <c r="I327" s="12">
        <f>DATA!M181</f>
        <v>0</v>
      </c>
    </row>
    <row r="328" spans="1:9" x14ac:dyDescent="0.3">
      <c r="A328">
        <v>8</v>
      </c>
      <c r="B328">
        <f>DATA!M328</f>
        <v>1</v>
      </c>
      <c r="H328" t="s">
        <v>48</v>
      </c>
      <c r="I328" s="12">
        <f>DATA!M182</f>
        <v>1</v>
      </c>
    </row>
    <row r="329" spans="1:9" x14ac:dyDescent="0.3">
      <c r="A329">
        <v>4</v>
      </c>
      <c r="B329">
        <f>DATA!M329</f>
        <v>0</v>
      </c>
      <c r="H329" t="s">
        <v>48</v>
      </c>
      <c r="I329" s="12">
        <f>DATA!M183</f>
        <v>0</v>
      </c>
    </row>
    <row r="330" spans="1:9" x14ac:dyDescent="0.3">
      <c r="A330">
        <v>2</v>
      </c>
      <c r="B330">
        <f>DATA!M330</f>
        <v>0</v>
      </c>
      <c r="H330" t="s">
        <v>48</v>
      </c>
      <c r="I330" s="12">
        <f>DATA!M184</f>
        <v>0</v>
      </c>
    </row>
    <row r="331" spans="1:9" x14ac:dyDescent="0.3">
      <c r="A331">
        <v>9</v>
      </c>
      <c r="B331">
        <f>DATA!M331</f>
        <v>0</v>
      </c>
      <c r="H331" t="s">
        <v>48</v>
      </c>
      <c r="I331" s="12">
        <f>DATA!M185</f>
        <v>0</v>
      </c>
    </row>
    <row r="332" spans="1:9" x14ac:dyDescent="0.3">
      <c r="A332">
        <v>8</v>
      </c>
      <c r="B332">
        <f>DATA!M332</f>
        <v>1</v>
      </c>
      <c r="H332" t="s">
        <v>48</v>
      </c>
      <c r="I332" s="12">
        <f>DATA!M186</f>
        <v>0</v>
      </c>
    </row>
    <row r="333" spans="1:9" x14ac:dyDescent="0.3">
      <c r="A333">
        <v>10</v>
      </c>
      <c r="B333">
        <f>DATA!M333</f>
        <v>0</v>
      </c>
      <c r="H333" t="s">
        <v>48</v>
      </c>
      <c r="I333" s="12">
        <f>DATA!M187</f>
        <v>1</v>
      </c>
    </row>
    <row r="334" spans="1:9" x14ac:dyDescent="0.3">
      <c r="A334">
        <v>0</v>
      </c>
      <c r="B334">
        <f>DATA!M334</f>
        <v>1</v>
      </c>
      <c r="H334" t="s">
        <v>48</v>
      </c>
      <c r="I334" s="12">
        <f>DATA!M188</f>
        <v>1</v>
      </c>
    </row>
    <row r="335" spans="1:9" x14ac:dyDescent="0.3">
      <c r="A335">
        <v>3</v>
      </c>
      <c r="B335">
        <f>DATA!M335</f>
        <v>1</v>
      </c>
      <c r="H335" t="s">
        <v>48</v>
      </c>
      <c r="I335" s="12">
        <f>DATA!M189</f>
        <v>0</v>
      </c>
    </row>
    <row r="336" spans="1:9" x14ac:dyDescent="0.3">
      <c r="A336">
        <v>0</v>
      </c>
      <c r="B336">
        <f>DATA!M336</f>
        <v>0</v>
      </c>
      <c r="H336" t="s">
        <v>48</v>
      </c>
      <c r="I336" s="12">
        <f>DATA!M190</f>
        <v>1</v>
      </c>
    </row>
    <row r="337" spans="1:9" x14ac:dyDescent="0.3">
      <c r="A337">
        <v>5</v>
      </c>
      <c r="B337">
        <f>DATA!M337</f>
        <v>1</v>
      </c>
      <c r="H337" t="s">
        <v>48</v>
      </c>
      <c r="I337" s="12">
        <f>DATA!M191</f>
        <v>1</v>
      </c>
    </row>
    <row r="338" spans="1:9" x14ac:dyDescent="0.3">
      <c r="A338">
        <v>7</v>
      </c>
      <c r="B338">
        <f>DATA!M338</f>
        <v>1</v>
      </c>
      <c r="H338" t="s">
        <v>48</v>
      </c>
      <c r="I338" s="12">
        <f>DATA!M192</f>
        <v>0</v>
      </c>
    </row>
    <row r="339" spans="1:9" x14ac:dyDescent="0.3">
      <c r="A339">
        <v>7</v>
      </c>
      <c r="B339">
        <f>DATA!M339</f>
        <v>1</v>
      </c>
      <c r="H339" t="s">
        <v>48</v>
      </c>
      <c r="I339" s="12">
        <f>DATA!M193</f>
        <v>0</v>
      </c>
    </row>
    <row r="340" spans="1:9" x14ac:dyDescent="0.3">
      <c r="A340">
        <v>4</v>
      </c>
      <c r="B340">
        <f>DATA!M340</f>
        <v>1</v>
      </c>
      <c r="H340" t="s">
        <v>48</v>
      </c>
      <c r="I340" s="12">
        <f>DATA!M194</f>
        <v>1</v>
      </c>
    </row>
    <row r="341" spans="1:9" x14ac:dyDescent="0.3">
      <c r="A341">
        <v>8</v>
      </c>
      <c r="B341">
        <f>DATA!M341</f>
        <v>1</v>
      </c>
      <c r="H341" t="s">
        <v>48</v>
      </c>
      <c r="I341" s="12">
        <f>DATA!M195</f>
        <v>1</v>
      </c>
    </row>
    <row r="342" spans="1:9" x14ac:dyDescent="0.3">
      <c r="A342">
        <v>2</v>
      </c>
      <c r="B342">
        <f>DATA!M342</f>
        <v>0</v>
      </c>
      <c r="H342" t="s">
        <v>48</v>
      </c>
      <c r="I342" s="12">
        <f>DATA!M196</f>
        <v>1</v>
      </c>
    </row>
    <row r="343" spans="1:9" x14ac:dyDescent="0.3">
      <c r="A343">
        <v>9</v>
      </c>
      <c r="B343">
        <f>DATA!M343</f>
        <v>1</v>
      </c>
      <c r="H343" t="s">
        <v>48</v>
      </c>
      <c r="I343" s="12">
        <f>DATA!M197</f>
        <v>0</v>
      </c>
    </row>
    <row r="344" spans="1:9" x14ac:dyDescent="0.3">
      <c r="A344">
        <v>5</v>
      </c>
      <c r="B344">
        <f>DATA!M344</f>
        <v>1</v>
      </c>
      <c r="H344" t="s">
        <v>48</v>
      </c>
      <c r="I344" s="12">
        <f>DATA!M198</f>
        <v>0</v>
      </c>
    </row>
    <row r="345" spans="1:9" x14ac:dyDescent="0.3">
      <c r="A345">
        <v>1</v>
      </c>
      <c r="B345">
        <f>DATA!M345</f>
        <v>1</v>
      </c>
      <c r="H345" t="s">
        <v>48</v>
      </c>
      <c r="I345" s="12">
        <f>DATA!M199</f>
        <v>1</v>
      </c>
    </row>
    <row r="346" spans="1:9" x14ac:dyDescent="0.3">
      <c r="A346">
        <v>7</v>
      </c>
      <c r="B346">
        <f>DATA!M346</f>
        <v>0</v>
      </c>
      <c r="H346" t="s">
        <v>48</v>
      </c>
      <c r="I346" s="12">
        <f>DATA!M200</f>
        <v>1</v>
      </c>
    </row>
    <row r="347" spans="1:9" x14ac:dyDescent="0.3">
      <c r="A347">
        <v>7</v>
      </c>
      <c r="B347">
        <f>DATA!M347</f>
        <v>0</v>
      </c>
      <c r="H347" t="s">
        <v>48</v>
      </c>
      <c r="I347" s="12">
        <f>DATA!M201</f>
        <v>1</v>
      </c>
    </row>
    <row r="348" spans="1:9" x14ac:dyDescent="0.3">
      <c r="A348">
        <v>1</v>
      </c>
      <c r="B348">
        <f>DATA!M348</f>
        <v>0</v>
      </c>
      <c r="H348" t="s">
        <v>48</v>
      </c>
      <c r="I348" s="12">
        <f>DATA!M202</f>
        <v>0</v>
      </c>
    </row>
    <row r="349" spans="1:9" x14ac:dyDescent="0.3">
      <c r="A349">
        <v>5</v>
      </c>
      <c r="B349">
        <f>DATA!M349</f>
        <v>0</v>
      </c>
      <c r="H349" t="s">
        <v>48</v>
      </c>
      <c r="I349" s="12">
        <f>DATA!M203</f>
        <v>1</v>
      </c>
    </row>
    <row r="350" spans="1:9" x14ac:dyDescent="0.3">
      <c r="A350">
        <v>0</v>
      </c>
      <c r="B350">
        <f>DATA!M350</f>
        <v>0</v>
      </c>
      <c r="H350" t="s">
        <v>48</v>
      </c>
      <c r="I350" s="12">
        <f>DATA!M204</f>
        <v>1</v>
      </c>
    </row>
    <row r="351" spans="1:9" x14ac:dyDescent="0.3">
      <c r="A351">
        <v>7</v>
      </c>
      <c r="B351">
        <f>DATA!M351</f>
        <v>0</v>
      </c>
      <c r="H351" t="s">
        <v>48</v>
      </c>
      <c r="I351" s="12">
        <f>DATA!M205</f>
        <v>0</v>
      </c>
    </row>
    <row r="352" spans="1:9" x14ac:dyDescent="0.3">
      <c r="A352">
        <v>8</v>
      </c>
      <c r="B352">
        <f>DATA!M352</f>
        <v>1</v>
      </c>
      <c r="H352" t="s">
        <v>48</v>
      </c>
      <c r="I352" s="12">
        <f>DATA!M206</f>
        <v>1</v>
      </c>
    </row>
    <row r="353" spans="1:9" x14ac:dyDescent="0.3">
      <c r="A353">
        <v>4</v>
      </c>
      <c r="B353">
        <f>DATA!M353</f>
        <v>1</v>
      </c>
      <c r="H353" t="s">
        <v>48</v>
      </c>
      <c r="I353" s="12">
        <f>DATA!M207</f>
        <v>1</v>
      </c>
    </row>
    <row r="354" spans="1:9" x14ac:dyDescent="0.3">
      <c r="A354">
        <v>5</v>
      </c>
      <c r="B354">
        <f>DATA!M354</f>
        <v>0</v>
      </c>
      <c r="H354" t="s">
        <v>48</v>
      </c>
      <c r="I354" s="12">
        <f>DATA!M208</f>
        <v>1</v>
      </c>
    </row>
    <row r="355" spans="1:9" x14ac:dyDescent="0.3">
      <c r="A355">
        <v>2</v>
      </c>
      <c r="B355">
        <f>DATA!M355</f>
        <v>1</v>
      </c>
      <c r="H355" t="s">
        <v>48</v>
      </c>
      <c r="I355" s="12">
        <f>DATA!M209</f>
        <v>0</v>
      </c>
    </row>
    <row r="356" spans="1:9" x14ac:dyDescent="0.3">
      <c r="A356">
        <v>0</v>
      </c>
      <c r="B356">
        <f>DATA!M356</f>
        <v>1</v>
      </c>
      <c r="H356" t="s">
        <v>48</v>
      </c>
      <c r="I356" s="12">
        <f>DATA!M210</f>
        <v>0</v>
      </c>
    </row>
    <row r="357" spans="1:9" x14ac:dyDescent="0.3">
      <c r="A357">
        <v>8</v>
      </c>
      <c r="B357">
        <f>DATA!M357</f>
        <v>1</v>
      </c>
      <c r="H357" t="s">
        <v>48</v>
      </c>
      <c r="I357" s="12">
        <f>DATA!M211</f>
        <v>0</v>
      </c>
    </row>
    <row r="358" spans="1:9" x14ac:dyDescent="0.3">
      <c r="A358">
        <v>6</v>
      </c>
      <c r="B358">
        <f>DATA!M358</f>
        <v>1</v>
      </c>
      <c r="H358" t="s">
        <v>48</v>
      </c>
      <c r="I358" s="12">
        <f>DATA!M212</f>
        <v>1</v>
      </c>
    </row>
    <row r="359" spans="1:9" x14ac:dyDescent="0.3">
      <c r="A359">
        <v>5</v>
      </c>
      <c r="B359">
        <f>DATA!M359</f>
        <v>0</v>
      </c>
      <c r="H359" t="s">
        <v>48</v>
      </c>
      <c r="I359" s="12">
        <f>DATA!M213</f>
        <v>0</v>
      </c>
    </row>
    <row r="360" spans="1:9" x14ac:dyDescent="0.3">
      <c r="A360">
        <v>3</v>
      </c>
      <c r="B360">
        <f>DATA!M360</f>
        <v>1</v>
      </c>
      <c r="H360" t="s">
        <v>48</v>
      </c>
      <c r="I360" s="12">
        <f>DATA!M214</f>
        <v>0</v>
      </c>
    </row>
    <row r="361" spans="1:9" x14ac:dyDescent="0.3">
      <c r="A361">
        <v>8</v>
      </c>
      <c r="B361">
        <f>DATA!M361</f>
        <v>0</v>
      </c>
      <c r="H361" t="s">
        <v>48</v>
      </c>
      <c r="I361" s="12">
        <f>DATA!M215</f>
        <v>0</v>
      </c>
    </row>
    <row r="362" spans="1:9" x14ac:dyDescent="0.3">
      <c r="A362">
        <v>10</v>
      </c>
      <c r="B362">
        <f>DATA!M362</f>
        <v>0</v>
      </c>
      <c r="H362" t="s">
        <v>48</v>
      </c>
      <c r="I362" s="12">
        <f>DATA!M216</f>
        <v>1</v>
      </c>
    </row>
    <row r="363" spans="1:9" x14ac:dyDescent="0.3">
      <c r="A363">
        <v>9</v>
      </c>
      <c r="B363">
        <f>DATA!M363</f>
        <v>1</v>
      </c>
      <c r="H363" t="s">
        <v>48</v>
      </c>
      <c r="I363" s="12">
        <f>DATA!M217</f>
        <v>0</v>
      </c>
    </row>
    <row r="364" spans="1:9" x14ac:dyDescent="0.3">
      <c r="A364">
        <v>0</v>
      </c>
      <c r="B364">
        <f>DATA!M364</f>
        <v>0</v>
      </c>
      <c r="H364" t="s">
        <v>48</v>
      </c>
      <c r="I364" s="12">
        <f>DATA!M218</f>
        <v>1</v>
      </c>
    </row>
    <row r="365" spans="1:9" x14ac:dyDescent="0.3">
      <c r="A365">
        <v>10</v>
      </c>
      <c r="B365">
        <f>DATA!M365</f>
        <v>1</v>
      </c>
      <c r="H365" t="s">
        <v>48</v>
      </c>
      <c r="I365" s="12">
        <f>DATA!M219</f>
        <v>1</v>
      </c>
    </row>
    <row r="366" spans="1:9" x14ac:dyDescent="0.3">
      <c r="A366">
        <v>7</v>
      </c>
      <c r="B366">
        <f>DATA!M366</f>
        <v>0</v>
      </c>
      <c r="H366" t="s">
        <v>48</v>
      </c>
      <c r="I366" s="12">
        <f>DATA!M220</f>
        <v>0</v>
      </c>
    </row>
    <row r="367" spans="1:9" x14ac:dyDescent="0.3">
      <c r="A367">
        <v>2</v>
      </c>
      <c r="B367">
        <f>DATA!M367</f>
        <v>1</v>
      </c>
      <c r="H367" t="s">
        <v>48</v>
      </c>
      <c r="I367" s="12">
        <f>DATA!M221</f>
        <v>0</v>
      </c>
    </row>
    <row r="368" spans="1:9" x14ac:dyDescent="0.3">
      <c r="A368">
        <v>10</v>
      </c>
      <c r="B368">
        <f>DATA!M368</f>
        <v>1</v>
      </c>
      <c r="H368" t="s">
        <v>48</v>
      </c>
      <c r="I368" s="12">
        <f>DATA!M222</f>
        <v>0</v>
      </c>
    </row>
    <row r="369" spans="1:9" x14ac:dyDescent="0.3">
      <c r="A369">
        <v>8</v>
      </c>
      <c r="B369">
        <f>DATA!M369</f>
        <v>0</v>
      </c>
      <c r="H369" t="s">
        <v>48</v>
      </c>
      <c r="I369" s="12">
        <f>DATA!M223</f>
        <v>1</v>
      </c>
    </row>
    <row r="370" spans="1:9" x14ac:dyDescent="0.3">
      <c r="A370">
        <v>7</v>
      </c>
      <c r="B370">
        <f>DATA!M370</f>
        <v>1</v>
      </c>
      <c r="H370" t="s">
        <v>48</v>
      </c>
      <c r="I370" s="12">
        <f>DATA!M224</f>
        <v>0</v>
      </c>
    </row>
    <row r="371" spans="1:9" x14ac:dyDescent="0.3">
      <c r="A371">
        <v>6</v>
      </c>
      <c r="B371">
        <f>DATA!M371</f>
        <v>0</v>
      </c>
      <c r="H371" t="s">
        <v>48</v>
      </c>
      <c r="I371" s="12">
        <f>DATA!M225</f>
        <v>0</v>
      </c>
    </row>
    <row r="372" spans="1:9" x14ac:dyDescent="0.3">
      <c r="A372">
        <v>0</v>
      </c>
      <c r="B372">
        <f>DATA!M372</f>
        <v>1</v>
      </c>
      <c r="H372" t="s">
        <v>48</v>
      </c>
      <c r="I372" s="12">
        <f>DATA!M226</f>
        <v>0</v>
      </c>
    </row>
    <row r="373" spans="1:9" x14ac:dyDescent="0.3">
      <c r="A373">
        <v>5</v>
      </c>
      <c r="B373">
        <f>DATA!M373</f>
        <v>0</v>
      </c>
      <c r="H373" t="s">
        <v>48</v>
      </c>
      <c r="I373" s="12">
        <f>DATA!M227</f>
        <v>0</v>
      </c>
    </row>
    <row r="374" spans="1:9" x14ac:dyDescent="0.3">
      <c r="A374">
        <v>2</v>
      </c>
      <c r="B374">
        <f>DATA!M374</f>
        <v>0</v>
      </c>
      <c r="H374" t="s">
        <v>48</v>
      </c>
      <c r="I374" s="12">
        <f>DATA!M228</f>
        <v>1</v>
      </c>
    </row>
    <row r="375" spans="1:9" x14ac:dyDescent="0.3">
      <c r="A375">
        <v>10</v>
      </c>
      <c r="B375">
        <f>DATA!M375</f>
        <v>0</v>
      </c>
      <c r="H375" t="s">
        <v>48</v>
      </c>
      <c r="I375" s="12">
        <f>DATA!M229</f>
        <v>1</v>
      </c>
    </row>
    <row r="376" spans="1:9" x14ac:dyDescent="0.3">
      <c r="A376">
        <v>6</v>
      </c>
      <c r="B376">
        <f>DATA!M376</f>
        <v>0</v>
      </c>
      <c r="H376" t="s">
        <v>48</v>
      </c>
      <c r="I376" s="12">
        <f>DATA!M230</f>
        <v>1</v>
      </c>
    </row>
    <row r="377" spans="1:9" x14ac:dyDescent="0.3">
      <c r="A377">
        <v>8</v>
      </c>
      <c r="B377">
        <f>DATA!M377</f>
        <v>1</v>
      </c>
      <c r="H377" t="s">
        <v>48</v>
      </c>
      <c r="I377" s="12">
        <f>DATA!M231</f>
        <v>1</v>
      </c>
    </row>
    <row r="378" spans="1:9" x14ac:dyDescent="0.3">
      <c r="A378">
        <v>4</v>
      </c>
      <c r="B378">
        <f>DATA!M378</f>
        <v>0</v>
      </c>
      <c r="H378" t="s">
        <v>48</v>
      </c>
      <c r="I378" s="12">
        <f>DATA!M232</f>
        <v>0</v>
      </c>
    </row>
    <row r="379" spans="1:9" x14ac:dyDescent="0.3">
      <c r="A379">
        <v>0</v>
      </c>
      <c r="B379">
        <f>DATA!M379</f>
        <v>0</v>
      </c>
      <c r="H379" t="s">
        <v>48</v>
      </c>
      <c r="I379" s="12">
        <f>DATA!M233</f>
        <v>1</v>
      </c>
    </row>
    <row r="380" spans="1:9" x14ac:dyDescent="0.3">
      <c r="A380">
        <v>3</v>
      </c>
      <c r="B380">
        <f>DATA!M380</f>
        <v>1</v>
      </c>
      <c r="H380" t="s">
        <v>48</v>
      </c>
      <c r="I380" s="12">
        <f>DATA!M234</f>
        <v>1</v>
      </c>
    </row>
    <row r="381" spans="1:9" x14ac:dyDescent="0.3">
      <c r="A381">
        <v>10</v>
      </c>
      <c r="B381">
        <f>DATA!M381</f>
        <v>1</v>
      </c>
      <c r="H381" t="s">
        <v>48</v>
      </c>
      <c r="I381" s="12">
        <f>DATA!M235</f>
        <v>1</v>
      </c>
    </row>
    <row r="382" spans="1:9" x14ac:dyDescent="0.3">
      <c r="A382">
        <v>4</v>
      </c>
      <c r="B382">
        <f>DATA!M382</f>
        <v>1</v>
      </c>
      <c r="H382" t="s">
        <v>48</v>
      </c>
      <c r="I382" s="12">
        <f>DATA!M236</f>
        <v>1</v>
      </c>
    </row>
    <row r="383" spans="1:9" x14ac:dyDescent="0.3">
      <c r="A383">
        <v>1</v>
      </c>
      <c r="B383">
        <f>DATA!M383</f>
        <v>1</v>
      </c>
      <c r="H383" t="s">
        <v>48</v>
      </c>
      <c r="I383" s="12">
        <f>DATA!M237</f>
        <v>0</v>
      </c>
    </row>
    <row r="384" spans="1:9" x14ac:dyDescent="0.3">
      <c r="A384">
        <v>8</v>
      </c>
      <c r="B384">
        <f>DATA!M384</f>
        <v>1</v>
      </c>
      <c r="H384" t="s">
        <v>48</v>
      </c>
      <c r="I384" s="12">
        <f>DATA!M238</f>
        <v>0</v>
      </c>
    </row>
    <row r="385" spans="1:9" x14ac:dyDescent="0.3">
      <c r="A385">
        <v>2</v>
      </c>
      <c r="B385">
        <f>DATA!M385</f>
        <v>0</v>
      </c>
      <c r="H385" t="s">
        <v>48</v>
      </c>
      <c r="I385" s="12">
        <f>DATA!M239</f>
        <v>0</v>
      </c>
    </row>
    <row r="386" spans="1:9" x14ac:dyDescent="0.3">
      <c r="A386">
        <v>8</v>
      </c>
      <c r="B386">
        <f>DATA!M386</f>
        <v>0</v>
      </c>
      <c r="H386" t="s">
        <v>48</v>
      </c>
      <c r="I386" s="12">
        <f>DATA!M240</f>
        <v>1</v>
      </c>
    </row>
    <row r="387" spans="1:9" x14ac:dyDescent="0.3">
      <c r="A387">
        <v>9</v>
      </c>
      <c r="B387">
        <f>DATA!M387</f>
        <v>0</v>
      </c>
      <c r="H387" t="s">
        <v>48</v>
      </c>
      <c r="I387" s="12">
        <f>DATA!M241</f>
        <v>1</v>
      </c>
    </row>
    <row r="388" spans="1:9" x14ac:dyDescent="0.3">
      <c r="A388">
        <v>8</v>
      </c>
      <c r="B388">
        <f>DATA!M388</f>
        <v>0</v>
      </c>
      <c r="H388" t="s">
        <v>48</v>
      </c>
      <c r="I388" s="12">
        <f>DATA!M242</f>
        <v>1</v>
      </c>
    </row>
    <row r="389" spans="1:9" x14ac:dyDescent="0.3">
      <c r="A389">
        <v>7</v>
      </c>
      <c r="B389">
        <f>DATA!M389</f>
        <v>0</v>
      </c>
      <c r="H389" t="s">
        <v>48</v>
      </c>
      <c r="I389" s="12">
        <f>DATA!M243</f>
        <v>0</v>
      </c>
    </row>
    <row r="390" spans="1:9" x14ac:dyDescent="0.3">
      <c r="A390">
        <v>9</v>
      </c>
      <c r="B390">
        <f>DATA!M390</f>
        <v>1</v>
      </c>
      <c r="H390" t="s">
        <v>48</v>
      </c>
      <c r="I390" s="12">
        <f>DATA!M244</f>
        <v>0</v>
      </c>
    </row>
    <row r="391" spans="1:9" x14ac:dyDescent="0.3">
      <c r="A391">
        <v>3</v>
      </c>
      <c r="B391">
        <f>DATA!M391</f>
        <v>1</v>
      </c>
      <c r="H391" t="s">
        <v>48</v>
      </c>
      <c r="I391" s="12">
        <f>DATA!M245</f>
        <v>1</v>
      </c>
    </row>
    <row r="392" spans="1:9" x14ac:dyDescent="0.3">
      <c r="A392">
        <v>6</v>
      </c>
      <c r="B392">
        <f>DATA!M392</f>
        <v>1</v>
      </c>
      <c r="H392" t="s">
        <v>48</v>
      </c>
      <c r="I392" s="12">
        <f>DATA!M246</f>
        <v>1</v>
      </c>
    </row>
    <row r="393" spans="1:9" x14ac:dyDescent="0.3">
      <c r="A393">
        <v>3</v>
      </c>
      <c r="B393">
        <f>DATA!M393</f>
        <v>1</v>
      </c>
      <c r="H393" t="s">
        <v>48</v>
      </c>
      <c r="I393" s="12">
        <f>DATA!M247</f>
        <v>0</v>
      </c>
    </row>
    <row r="394" spans="1:9" x14ac:dyDescent="0.3">
      <c r="A394">
        <v>7</v>
      </c>
      <c r="B394">
        <f>DATA!M394</f>
        <v>0</v>
      </c>
      <c r="H394" t="s">
        <v>48</v>
      </c>
      <c r="I394" s="12">
        <f>DATA!M248</f>
        <v>0</v>
      </c>
    </row>
    <row r="395" spans="1:9" x14ac:dyDescent="0.3">
      <c r="A395">
        <v>7</v>
      </c>
      <c r="B395">
        <f>DATA!M395</f>
        <v>1</v>
      </c>
      <c r="H395" t="s">
        <v>48</v>
      </c>
      <c r="I395" s="12">
        <f>DATA!M249</f>
        <v>0</v>
      </c>
    </row>
    <row r="396" spans="1:9" x14ac:dyDescent="0.3">
      <c r="A396">
        <v>2</v>
      </c>
      <c r="B396">
        <f>DATA!M396</f>
        <v>1</v>
      </c>
      <c r="H396" t="s">
        <v>48</v>
      </c>
      <c r="I396" s="12">
        <f>DATA!M250</f>
        <v>0</v>
      </c>
    </row>
    <row r="397" spans="1:9" x14ac:dyDescent="0.3">
      <c r="A397">
        <v>7</v>
      </c>
      <c r="B397">
        <f>DATA!M397</f>
        <v>0</v>
      </c>
      <c r="H397" t="s">
        <v>48</v>
      </c>
      <c r="I397" s="12">
        <f>DATA!M251</f>
        <v>0</v>
      </c>
    </row>
    <row r="398" spans="1:9" x14ac:dyDescent="0.3">
      <c r="A398">
        <v>8</v>
      </c>
      <c r="B398">
        <f>DATA!M398</f>
        <v>1</v>
      </c>
      <c r="H398" t="s">
        <v>48</v>
      </c>
      <c r="I398" s="12">
        <f>DATA!M252</f>
        <v>0</v>
      </c>
    </row>
    <row r="399" spans="1:9" x14ac:dyDescent="0.3">
      <c r="A399">
        <v>4</v>
      </c>
      <c r="B399">
        <f>DATA!M399</f>
        <v>0</v>
      </c>
      <c r="H399" t="s">
        <v>48</v>
      </c>
      <c r="I399" s="12">
        <f>DATA!M253</f>
        <v>1</v>
      </c>
    </row>
    <row r="400" spans="1:9" x14ac:dyDescent="0.3">
      <c r="A400">
        <v>3</v>
      </c>
      <c r="B400">
        <f>DATA!M400</f>
        <v>1</v>
      </c>
      <c r="H400" t="s">
        <v>48</v>
      </c>
      <c r="I400" s="12">
        <f>DATA!M254</f>
        <v>0</v>
      </c>
    </row>
    <row r="401" spans="1:9" x14ac:dyDescent="0.3">
      <c r="A401">
        <v>10</v>
      </c>
      <c r="B401">
        <f>DATA!M401</f>
        <v>0</v>
      </c>
      <c r="H401" t="s">
        <v>48</v>
      </c>
      <c r="I401" s="12">
        <f>DATA!M255</f>
        <v>1</v>
      </c>
    </row>
    <row r="402" spans="1:9" x14ac:dyDescent="0.3">
      <c r="A402">
        <v>0</v>
      </c>
      <c r="B402">
        <f>DATA!M402</f>
        <v>0</v>
      </c>
      <c r="H402" t="s">
        <v>48</v>
      </c>
      <c r="I402" s="12">
        <f>DATA!M256</f>
        <v>0</v>
      </c>
    </row>
    <row r="403" spans="1:9" x14ac:dyDescent="0.3">
      <c r="A403">
        <v>2</v>
      </c>
      <c r="B403">
        <f>DATA!M403</f>
        <v>1</v>
      </c>
      <c r="H403" t="s">
        <v>48</v>
      </c>
      <c r="I403" s="12">
        <f>DATA!M257</f>
        <v>1</v>
      </c>
    </row>
    <row r="404" spans="1:9" x14ac:dyDescent="0.3">
      <c r="A404">
        <v>10</v>
      </c>
      <c r="B404">
        <f>DATA!M404</f>
        <v>1</v>
      </c>
      <c r="H404" t="s">
        <v>48</v>
      </c>
      <c r="I404" s="12">
        <f>DATA!M258</f>
        <v>1</v>
      </c>
    </row>
    <row r="405" spans="1:9" x14ac:dyDescent="0.3">
      <c r="A405">
        <v>5</v>
      </c>
      <c r="B405">
        <f>DATA!M405</f>
        <v>1</v>
      </c>
      <c r="H405" t="s">
        <v>48</v>
      </c>
      <c r="I405" s="12">
        <f>DATA!M259</f>
        <v>1</v>
      </c>
    </row>
    <row r="406" spans="1:9" x14ac:dyDescent="0.3">
      <c r="A406">
        <v>4</v>
      </c>
      <c r="B406">
        <f>DATA!M406</f>
        <v>1</v>
      </c>
      <c r="H406" t="s">
        <v>48</v>
      </c>
      <c r="I406" s="12">
        <f>DATA!M260</f>
        <v>1</v>
      </c>
    </row>
    <row r="407" spans="1:9" x14ac:dyDescent="0.3">
      <c r="A407">
        <v>2</v>
      </c>
      <c r="B407">
        <f>DATA!M407</f>
        <v>1</v>
      </c>
      <c r="H407" t="s">
        <v>48</v>
      </c>
      <c r="I407" s="12">
        <f>DATA!M261</f>
        <v>0</v>
      </c>
    </row>
    <row r="408" spans="1:9" x14ac:dyDescent="0.3">
      <c r="A408">
        <v>7</v>
      </c>
      <c r="B408">
        <f>DATA!M408</f>
        <v>0</v>
      </c>
      <c r="H408" t="s">
        <v>48</v>
      </c>
      <c r="I408" s="12">
        <f>DATA!M262</f>
        <v>1</v>
      </c>
    </row>
    <row r="409" spans="1:9" x14ac:dyDescent="0.3">
      <c r="A409">
        <v>10</v>
      </c>
      <c r="B409">
        <f>DATA!M409</f>
        <v>0</v>
      </c>
      <c r="H409" t="s">
        <v>48</v>
      </c>
      <c r="I409" s="12">
        <f>DATA!M263</f>
        <v>1</v>
      </c>
    </row>
    <row r="410" spans="1:9" x14ac:dyDescent="0.3">
      <c r="A410">
        <v>3</v>
      </c>
      <c r="B410">
        <f>DATA!M410</f>
        <v>1</v>
      </c>
      <c r="H410" t="s">
        <v>48</v>
      </c>
      <c r="I410" s="12">
        <f>DATA!M264</f>
        <v>0</v>
      </c>
    </row>
    <row r="411" spans="1:9" x14ac:dyDescent="0.3">
      <c r="A411">
        <v>7</v>
      </c>
      <c r="B411">
        <f>DATA!M411</f>
        <v>1</v>
      </c>
      <c r="H411" t="s">
        <v>48</v>
      </c>
      <c r="I411" s="12">
        <f>DATA!M265</f>
        <v>1</v>
      </c>
    </row>
    <row r="412" spans="1:9" x14ac:dyDescent="0.3">
      <c r="A412">
        <v>3</v>
      </c>
      <c r="B412">
        <f>DATA!M412</f>
        <v>1</v>
      </c>
      <c r="H412" t="s">
        <v>48</v>
      </c>
      <c r="I412" s="12">
        <f>DATA!M266</f>
        <v>0</v>
      </c>
    </row>
    <row r="413" spans="1:9" x14ac:dyDescent="0.3">
      <c r="A413">
        <v>1</v>
      </c>
      <c r="B413">
        <f>DATA!M413</f>
        <v>1</v>
      </c>
      <c r="H413" t="s">
        <v>48</v>
      </c>
      <c r="I413" s="12">
        <f>DATA!M267</f>
        <v>1</v>
      </c>
    </row>
    <row r="414" spans="1:9" x14ac:dyDescent="0.3">
      <c r="A414">
        <v>4</v>
      </c>
      <c r="B414">
        <f>DATA!M414</f>
        <v>0</v>
      </c>
      <c r="H414" t="s">
        <v>48</v>
      </c>
      <c r="I414" s="12">
        <f>DATA!M268</f>
        <v>0</v>
      </c>
    </row>
    <row r="415" spans="1:9" x14ac:dyDescent="0.3">
      <c r="A415">
        <v>5</v>
      </c>
      <c r="B415">
        <f>DATA!M415</f>
        <v>1</v>
      </c>
      <c r="H415" t="s">
        <v>48</v>
      </c>
      <c r="I415" s="12">
        <f>DATA!M269</f>
        <v>1</v>
      </c>
    </row>
    <row r="416" spans="1:9" x14ac:dyDescent="0.3">
      <c r="A416">
        <v>3</v>
      </c>
      <c r="B416">
        <f>DATA!M416</f>
        <v>1</v>
      </c>
      <c r="H416" t="s">
        <v>48</v>
      </c>
      <c r="I416" s="12">
        <f>DATA!M270</f>
        <v>1</v>
      </c>
    </row>
    <row r="417" spans="1:9" x14ac:dyDescent="0.3">
      <c r="A417">
        <v>2</v>
      </c>
      <c r="B417">
        <f>DATA!M417</f>
        <v>1</v>
      </c>
      <c r="H417" t="s">
        <v>48</v>
      </c>
      <c r="I417" s="12">
        <f>DATA!M271</f>
        <v>1</v>
      </c>
    </row>
    <row r="418" spans="1:9" x14ac:dyDescent="0.3">
      <c r="A418">
        <v>1</v>
      </c>
      <c r="B418">
        <f>DATA!M418</f>
        <v>1</v>
      </c>
      <c r="H418" t="s">
        <v>48</v>
      </c>
      <c r="I418" s="12">
        <f>DATA!M272</f>
        <v>1</v>
      </c>
    </row>
    <row r="419" spans="1:9" x14ac:dyDescent="0.3">
      <c r="A419">
        <v>10</v>
      </c>
      <c r="B419">
        <f>DATA!M419</f>
        <v>1</v>
      </c>
      <c r="H419" t="s">
        <v>48</v>
      </c>
      <c r="I419" s="12">
        <f>DATA!M273</f>
        <v>1</v>
      </c>
    </row>
    <row r="420" spans="1:9" x14ac:dyDescent="0.3">
      <c r="A420">
        <v>3</v>
      </c>
      <c r="B420">
        <f>DATA!M420</f>
        <v>0</v>
      </c>
      <c r="H420" t="s">
        <v>48</v>
      </c>
      <c r="I420" s="12">
        <f>DATA!M274</f>
        <v>1</v>
      </c>
    </row>
    <row r="421" spans="1:9" x14ac:dyDescent="0.3">
      <c r="A421">
        <v>4</v>
      </c>
      <c r="B421">
        <f>DATA!M421</f>
        <v>0</v>
      </c>
      <c r="H421" t="s">
        <v>48</v>
      </c>
      <c r="I421" s="12">
        <f>DATA!M275</f>
        <v>0</v>
      </c>
    </row>
    <row r="422" spans="1:9" x14ac:dyDescent="0.3">
      <c r="A422">
        <v>4</v>
      </c>
      <c r="B422">
        <f>DATA!M422</f>
        <v>0</v>
      </c>
      <c r="H422" t="s">
        <v>48</v>
      </c>
      <c r="I422" s="12">
        <f>DATA!M276</f>
        <v>0</v>
      </c>
    </row>
    <row r="423" spans="1:9" x14ac:dyDescent="0.3">
      <c r="A423">
        <v>6</v>
      </c>
      <c r="B423">
        <f>DATA!M423</f>
        <v>1</v>
      </c>
      <c r="H423" t="s">
        <v>48</v>
      </c>
      <c r="I423" s="12">
        <f>DATA!M277</f>
        <v>0</v>
      </c>
    </row>
    <row r="424" spans="1:9" x14ac:dyDescent="0.3">
      <c r="A424">
        <v>9</v>
      </c>
      <c r="B424">
        <f>DATA!M424</f>
        <v>1</v>
      </c>
      <c r="H424" t="s">
        <v>48</v>
      </c>
      <c r="I424" s="12">
        <f>DATA!M278</f>
        <v>1</v>
      </c>
    </row>
    <row r="425" spans="1:9" x14ac:dyDescent="0.3">
      <c r="A425">
        <v>9</v>
      </c>
      <c r="B425">
        <f>DATA!M425</f>
        <v>1</v>
      </c>
      <c r="H425" t="s">
        <v>48</v>
      </c>
      <c r="I425" s="12">
        <f>DATA!M279</f>
        <v>1</v>
      </c>
    </row>
    <row r="426" spans="1:9" x14ac:dyDescent="0.3">
      <c r="A426">
        <v>3</v>
      </c>
      <c r="B426">
        <f>DATA!M426</f>
        <v>1</v>
      </c>
      <c r="H426" t="s">
        <v>48</v>
      </c>
      <c r="I426" s="12">
        <f>DATA!M280</f>
        <v>1</v>
      </c>
    </row>
    <row r="427" spans="1:9" x14ac:dyDescent="0.3">
      <c r="A427">
        <v>7</v>
      </c>
      <c r="B427">
        <f>DATA!M427</f>
        <v>1</v>
      </c>
      <c r="H427" t="s">
        <v>48</v>
      </c>
      <c r="I427" s="12">
        <f>DATA!M281</f>
        <v>1</v>
      </c>
    </row>
    <row r="428" spans="1:9" x14ac:dyDescent="0.3">
      <c r="A428">
        <v>4</v>
      </c>
      <c r="B428">
        <f>DATA!M428</f>
        <v>0</v>
      </c>
      <c r="H428" t="s">
        <v>48</v>
      </c>
      <c r="I428" s="12">
        <f>DATA!M282</f>
        <v>1</v>
      </c>
    </row>
    <row r="429" spans="1:9" x14ac:dyDescent="0.3">
      <c r="A429">
        <v>0</v>
      </c>
      <c r="B429">
        <f>DATA!M429</f>
        <v>1</v>
      </c>
      <c r="H429" t="s">
        <v>48</v>
      </c>
      <c r="I429" s="12">
        <f>DATA!M283</f>
        <v>1</v>
      </c>
    </row>
    <row r="430" spans="1:9" x14ac:dyDescent="0.3">
      <c r="A430">
        <v>10</v>
      </c>
      <c r="B430">
        <f>DATA!M430</f>
        <v>1</v>
      </c>
      <c r="H430" t="s">
        <v>48</v>
      </c>
      <c r="I430" s="12">
        <f>DATA!M284</f>
        <v>0</v>
      </c>
    </row>
    <row r="431" spans="1:9" x14ac:dyDescent="0.3">
      <c r="A431">
        <v>0</v>
      </c>
      <c r="B431">
        <f>DATA!M431</f>
        <v>0</v>
      </c>
      <c r="H431" t="s">
        <v>48</v>
      </c>
      <c r="I431" s="12">
        <f>DATA!M285</f>
        <v>1</v>
      </c>
    </row>
    <row r="432" spans="1:9" x14ac:dyDescent="0.3">
      <c r="A432">
        <v>0</v>
      </c>
      <c r="B432">
        <f>DATA!M432</f>
        <v>0</v>
      </c>
      <c r="H432" t="s">
        <v>48</v>
      </c>
      <c r="I432" s="12">
        <f>DATA!M286</f>
        <v>1</v>
      </c>
    </row>
    <row r="433" spans="1:9" x14ac:dyDescent="0.3">
      <c r="A433">
        <v>0</v>
      </c>
      <c r="B433">
        <f>DATA!M433</f>
        <v>1</v>
      </c>
      <c r="H433" t="s">
        <v>48</v>
      </c>
      <c r="I433" s="12">
        <f>DATA!M287</f>
        <v>1</v>
      </c>
    </row>
    <row r="434" spans="1:9" x14ac:dyDescent="0.3">
      <c r="A434">
        <v>4</v>
      </c>
      <c r="B434">
        <f>DATA!M434</f>
        <v>1</v>
      </c>
      <c r="H434" t="s">
        <v>48</v>
      </c>
      <c r="I434" s="12">
        <f>DATA!M288</f>
        <v>0</v>
      </c>
    </row>
    <row r="435" spans="1:9" x14ac:dyDescent="0.3">
      <c r="A435">
        <v>5</v>
      </c>
      <c r="B435">
        <f>DATA!M435</f>
        <v>1</v>
      </c>
      <c r="H435" t="s">
        <v>48</v>
      </c>
      <c r="I435" s="12">
        <f>DATA!M289</f>
        <v>1</v>
      </c>
    </row>
    <row r="436" spans="1:9" x14ac:dyDescent="0.3">
      <c r="A436">
        <v>5</v>
      </c>
      <c r="B436">
        <f>DATA!M436</f>
        <v>1</v>
      </c>
      <c r="H436" t="s">
        <v>48</v>
      </c>
      <c r="I436" s="12">
        <f>DATA!M290</f>
        <v>0</v>
      </c>
    </row>
    <row r="437" spans="1:9" x14ac:dyDescent="0.3">
      <c r="A437">
        <v>9</v>
      </c>
      <c r="B437">
        <f>DATA!M437</f>
        <v>1</v>
      </c>
      <c r="H437" t="s">
        <v>48</v>
      </c>
      <c r="I437" s="12">
        <f>DATA!M291</f>
        <v>0</v>
      </c>
    </row>
    <row r="438" spans="1:9" x14ac:dyDescent="0.3">
      <c r="A438">
        <v>2</v>
      </c>
      <c r="B438">
        <f>DATA!M438</f>
        <v>0</v>
      </c>
      <c r="H438" t="s">
        <v>48</v>
      </c>
      <c r="I438" s="12">
        <f>DATA!M292</f>
        <v>0</v>
      </c>
    </row>
    <row r="439" spans="1:9" x14ac:dyDescent="0.3">
      <c r="A439">
        <v>10</v>
      </c>
      <c r="B439">
        <f>DATA!M439</f>
        <v>0</v>
      </c>
      <c r="H439" t="s">
        <v>48</v>
      </c>
      <c r="I439" s="12">
        <f>DATA!M293</f>
        <v>1</v>
      </c>
    </row>
    <row r="440" spans="1:9" x14ac:dyDescent="0.3">
      <c r="A440">
        <v>0</v>
      </c>
      <c r="B440">
        <f>DATA!M440</f>
        <v>0</v>
      </c>
      <c r="H440" t="s">
        <v>48</v>
      </c>
      <c r="I440" s="12">
        <f>DATA!M294</f>
        <v>0</v>
      </c>
    </row>
    <row r="441" spans="1:9" x14ac:dyDescent="0.3">
      <c r="A441">
        <v>7</v>
      </c>
      <c r="B441">
        <f>DATA!M441</f>
        <v>1</v>
      </c>
      <c r="H441" t="s">
        <v>48</v>
      </c>
      <c r="I441" s="12">
        <f>DATA!M295</f>
        <v>1</v>
      </c>
    </row>
    <row r="442" spans="1:9" x14ac:dyDescent="0.3">
      <c r="A442">
        <v>1</v>
      </c>
      <c r="B442">
        <f>DATA!M442</f>
        <v>1</v>
      </c>
      <c r="H442" t="s">
        <v>48</v>
      </c>
      <c r="I442" s="12">
        <f>DATA!M296</f>
        <v>0</v>
      </c>
    </row>
    <row r="443" spans="1:9" x14ac:dyDescent="0.3">
      <c r="A443">
        <v>9</v>
      </c>
      <c r="B443">
        <f>DATA!M443</f>
        <v>1</v>
      </c>
      <c r="H443" t="s">
        <v>48</v>
      </c>
      <c r="I443" s="12">
        <f>DATA!M297</f>
        <v>0</v>
      </c>
    </row>
    <row r="444" spans="1:9" x14ac:dyDescent="0.3">
      <c r="A444">
        <v>9</v>
      </c>
      <c r="B444">
        <f>DATA!M444</f>
        <v>1</v>
      </c>
      <c r="H444" t="s">
        <v>48</v>
      </c>
      <c r="I444" s="12">
        <f>DATA!M298</f>
        <v>1</v>
      </c>
    </row>
    <row r="445" spans="1:9" x14ac:dyDescent="0.3">
      <c r="A445">
        <v>10</v>
      </c>
      <c r="B445">
        <f>DATA!M445</f>
        <v>0</v>
      </c>
      <c r="H445" t="s">
        <v>48</v>
      </c>
      <c r="I445" s="12">
        <f>DATA!M299</f>
        <v>1</v>
      </c>
    </row>
    <row r="446" spans="1:9" x14ac:dyDescent="0.3">
      <c r="A446">
        <v>0</v>
      </c>
      <c r="B446">
        <f>DATA!M446</f>
        <v>1</v>
      </c>
      <c r="H446" t="s">
        <v>48</v>
      </c>
      <c r="I446" s="12">
        <f>DATA!M300</f>
        <v>1</v>
      </c>
    </row>
    <row r="447" spans="1:9" x14ac:dyDescent="0.3">
      <c r="A447">
        <v>7</v>
      </c>
      <c r="B447">
        <f>DATA!M447</f>
        <v>1</v>
      </c>
      <c r="H447" t="s">
        <v>48</v>
      </c>
      <c r="I447" s="12">
        <f>DATA!M301</f>
        <v>0</v>
      </c>
    </row>
    <row r="448" spans="1:9" x14ac:dyDescent="0.3">
      <c r="A448">
        <v>6</v>
      </c>
      <c r="B448">
        <f>DATA!M448</f>
        <v>1</v>
      </c>
      <c r="H448" t="s">
        <v>48</v>
      </c>
      <c r="I448" s="12">
        <f>DATA!M302</f>
        <v>1</v>
      </c>
    </row>
    <row r="449" spans="1:9" x14ac:dyDescent="0.3">
      <c r="A449">
        <v>7</v>
      </c>
      <c r="B449">
        <f>DATA!M449</f>
        <v>0</v>
      </c>
      <c r="H449" t="s">
        <v>48</v>
      </c>
      <c r="I449" s="12">
        <f>DATA!M303</f>
        <v>1</v>
      </c>
    </row>
    <row r="450" spans="1:9" x14ac:dyDescent="0.3">
      <c r="A450">
        <v>10</v>
      </c>
      <c r="B450">
        <f>DATA!M450</f>
        <v>1</v>
      </c>
      <c r="H450" t="s">
        <v>48</v>
      </c>
      <c r="I450" s="12">
        <f>DATA!M304</f>
        <v>0</v>
      </c>
    </row>
    <row r="451" spans="1:9" x14ac:dyDescent="0.3">
      <c r="A451">
        <v>9</v>
      </c>
      <c r="B451">
        <f>DATA!M451</f>
        <v>0</v>
      </c>
      <c r="H451" t="s">
        <v>48</v>
      </c>
      <c r="I451" s="12">
        <f>DATA!M305</f>
        <v>1</v>
      </c>
    </row>
    <row r="452" spans="1:9" x14ac:dyDescent="0.3">
      <c r="A452">
        <v>0</v>
      </c>
      <c r="B452">
        <f>DATA!M452</f>
        <v>0</v>
      </c>
      <c r="H452" t="s">
        <v>48</v>
      </c>
      <c r="I452" s="12">
        <f>DATA!M306</f>
        <v>0</v>
      </c>
    </row>
    <row r="453" spans="1:9" x14ac:dyDescent="0.3">
      <c r="A453">
        <v>9</v>
      </c>
      <c r="B453">
        <f>DATA!M453</f>
        <v>1</v>
      </c>
      <c r="H453" t="s">
        <v>48</v>
      </c>
      <c r="I453" s="12">
        <f>DATA!M307</f>
        <v>0</v>
      </c>
    </row>
    <row r="454" spans="1:9" x14ac:dyDescent="0.3">
      <c r="A454">
        <v>4</v>
      </c>
      <c r="B454">
        <f>DATA!M454</f>
        <v>1</v>
      </c>
      <c r="H454" t="s">
        <v>48</v>
      </c>
      <c r="I454" s="12">
        <f>DATA!M308</f>
        <v>1</v>
      </c>
    </row>
    <row r="455" spans="1:9" x14ac:dyDescent="0.3">
      <c r="A455">
        <v>8</v>
      </c>
      <c r="B455">
        <f>DATA!M455</f>
        <v>0</v>
      </c>
      <c r="H455" t="s">
        <v>48</v>
      </c>
      <c r="I455" s="12">
        <f>DATA!M309</f>
        <v>0</v>
      </c>
    </row>
    <row r="456" spans="1:9" x14ac:dyDescent="0.3">
      <c r="A456">
        <v>5</v>
      </c>
      <c r="B456">
        <f>DATA!M456</f>
        <v>0</v>
      </c>
      <c r="H456" t="s">
        <v>48</v>
      </c>
      <c r="I456" s="12">
        <f>DATA!M310</f>
        <v>1</v>
      </c>
    </row>
    <row r="457" spans="1:9" x14ac:dyDescent="0.3">
      <c r="A457">
        <v>2</v>
      </c>
      <c r="B457">
        <f>DATA!M457</f>
        <v>0</v>
      </c>
      <c r="H457" t="s">
        <v>48</v>
      </c>
      <c r="I457" s="12">
        <f>DATA!M311</f>
        <v>1</v>
      </c>
    </row>
    <row r="458" spans="1:9" x14ac:dyDescent="0.3">
      <c r="A458">
        <v>5</v>
      </c>
      <c r="B458">
        <f>DATA!M458</f>
        <v>0</v>
      </c>
      <c r="H458" t="s">
        <v>49</v>
      </c>
      <c r="I458" s="12">
        <f>DATA!M312</f>
        <v>0</v>
      </c>
    </row>
    <row r="459" spans="1:9" x14ac:dyDescent="0.3">
      <c r="A459">
        <v>4</v>
      </c>
      <c r="B459">
        <f>DATA!M459</f>
        <v>1</v>
      </c>
      <c r="H459" t="s">
        <v>49</v>
      </c>
      <c r="I459" s="12">
        <f>DATA!M313</f>
        <v>1</v>
      </c>
    </row>
    <row r="460" spans="1:9" x14ac:dyDescent="0.3">
      <c r="A460">
        <v>1</v>
      </c>
      <c r="B460">
        <f>DATA!M460</f>
        <v>1</v>
      </c>
      <c r="H460" t="s">
        <v>49</v>
      </c>
      <c r="I460" s="12">
        <f>DATA!M314</f>
        <v>1</v>
      </c>
    </row>
    <row r="461" spans="1:9" x14ac:dyDescent="0.3">
      <c r="A461">
        <v>0</v>
      </c>
      <c r="B461">
        <f>DATA!M461</f>
        <v>1</v>
      </c>
      <c r="H461" t="s">
        <v>49</v>
      </c>
      <c r="I461" s="12">
        <f>DATA!M315</f>
        <v>1</v>
      </c>
    </row>
    <row r="462" spans="1:9" x14ac:dyDescent="0.3">
      <c r="A462">
        <v>2</v>
      </c>
      <c r="B462">
        <f>DATA!M462</f>
        <v>1</v>
      </c>
      <c r="H462" t="s">
        <v>49</v>
      </c>
      <c r="I462" s="12">
        <f>DATA!M316</f>
        <v>0</v>
      </c>
    </row>
    <row r="463" spans="1:9" x14ac:dyDescent="0.3">
      <c r="A463">
        <v>5</v>
      </c>
      <c r="B463">
        <f>DATA!M463</f>
        <v>1</v>
      </c>
      <c r="H463" t="s">
        <v>49</v>
      </c>
      <c r="I463" s="12">
        <f>DATA!M317</f>
        <v>0</v>
      </c>
    </row>
    <row r="464" spans="1:9" x14ac:dyDescent="0.3">
      <c r="A464">
        <v>4</v>
      </c>
      <c r="B464">
        <f>DATA!M464</f>
        <v>1</v>
      </c>
      <c r="H464" t="s">
        <v>49</v>
      </c>
      <c r="I464" s="12">
        <f>DATA!M318</f>
        <v>1</v>
      </c>
    </row>
    <row r="465" spans="1:9" x14ac:dyDescent="0.3">
      <c r="A465">
        <v>2</v>
      </c>
      <c r="B465">
        <f>DATA!M465</f>
        <v>0</v>
      </c>
      <c r="H465" t="s">
        <v>49</v>
      </c>
      <c r="I465" s="12">
        <f>DATA!M319</f>
        <v>1</v>
      </c>
    </row>
    <row r="466" spans="1:9" x14ac:dyDescent="0.3">
      <c r="A466">
        <v>7</v>
      </c>
      <c r="B466">
        <f>DATA!M466</f>
        <v>1</v>
      </c>
      <c r="H466" t="s">
        <v>49</v>
      </c>
      <c r="I466" s="12">
        <f>DATA!M320</f>
        <v>1</v>
      </c>
    </row>
    <row r="467" spans="1:9" x14ac:dyDescent="0.3">
      <c r="A467">
        <v>3</v>
      </c>
      <c r="B467">
        <f>DATA!M467</f>
        <v>0</v>
      </c>
      <c r="H467" t="s">
        <v>49</v>
      </c>
      <c r="I467" s="12">
        <f>DATA!M321</f>
        <v>1</v>
      </c>
    </row>
    <row r="468" spans="1:9" x14ac:dyDescent="0.3">
      <c r="A468">
        <v>5</v>
      </c>
      <c r="B468">
        <f>DATA!M468</f>
        <v>1</v>
      </c>
      <c r="H468" t="s">
        <v>49</v>
      </c>
      <c r="I468" s="12">
        <f>DATA!M322</f>
        <v>0</v>
      </c>
    </row>
    <row r="469" spans="1:9" x14ac:dyDescent="0.3">
      <c r="A469">
        <v>10</v>
      </c>
      <c r="B469">
        <f>DATA!M469</f>
        <v>1</v>
      </c>
      <c r="H469" t="s">
        <v>49</v>
      </c>
      <c r="I469" s="12">
        <f>DATA!M323</f>
        <v>1</v>
      </c>
    </row>
    <row r="470" spans="1:9" x14ac:dyDescent="0.3">
      <c r="A470">
        <v>6</v>
      </c>
      <c r="B470">
        <f>DATA!M470</f>
        <v>0</v>
      </c>
      <c r="H470" t="s">
        <v>49</v>
      </c>
      <c r="I470" s="12">
        <f>DATA!M324</f>
        <v>1</v>
      </c>
    </row>
    <row r="471" spans="1:9" x14ac:dyDescent="0.3">
      <c r="A471">
        <v>4</v>
      </c>
      <c r="B471">
        <f>DATA!M471</f>
        <v>0</v>
      </c>
      <c r="H471" t="s">
        <v>49</v>
      </c>
      <c r="I471" s="12">
        <f>DATA!M325</f>
        <v>0</v>
      </c>
    </row>
    <row r="472" spans="1:9" x14ac:dyDescent="0.3">
      <c r="A472">
        <v>9</v>
      </c>
      <c r="B472">
        <f>DATA!M472</f>
        <v>1</v>
      </c>
      <c r="H472" t="s">
        <v>49</v>
      </c>
      <c r="I472" s="12">
        <f>DATA!M326</f>
        <v>1</v>
      </c>
    </row>
    <row r="473" spans="1:9" x14ac:dyDescent="0.3">
      <c r="A473">
        <v>8</v>
      </c>
      <c r="B473">
        <f>DATA!M473</f>
        <v>1</v>
      </c>
      <c r="H473" t="s">
        <v>49</v>
      </c>
      <c r="I473" s="12">
        <f>DATA!M327</f>
        <v>1</v>
      </c>
    </row>
    <row r="474" spans="1:9" x14ac:dyDescent="0.3">
      <c r="A474">
        <v>0</v>
      </c>
      <c r="B474">
        <f>DATA!M474</f>
        <v>0</v>
      </c>
      <c r="H474" t="s">
        <v>49</v>
      </c>
      <c r="I474" s="12">
        <f>DATA!M328</f>
        <v>1</v>
      </c>
    </row>
    <row r="475" spans="1:9" x14ac:dyDescent="0.3">
      <c r="A475">
        <v>10</v>
      </c>
      <c r="B475">
        <f>DATA!M475</f>
        <v>1</v>
      </c>
      <c r="H475" t="s">
        <v>49</v>
      </c>
      <c r="I475" s="12">
        <f>DATA!M329</f>
        <v>0</v>
      </c>
    </row>
    <row r="476" spans="1:9" x14ac:dyDescent="0.3">
      <c r="A476">
        <v>10</v>
      </c>
      <c r="B476">
        <f>DATA!M476</f>
        <v>0</v>
      </c>
      <c r="H476" t="s">
        <v>49</v>
      </c>
      <c r="I476" s="12">
        <f>DATA!M330</f>
        <v>0</v>
      </c>
    </row>
    <row r="477" spans="1:9" x14ac:dyDescent="0.3">
      <c r="A477">
        <v>0</v>
      </c>
      <c r="B477">
        <f>DATA!M477</f>
        <v>0</v>
      </c>
      <c r="H477" t="s">
        <v>49</v>
      </c>
      <c r="I477" s="12">
        <f>DATA!M331</f>
        <v>0</v>
      </c>
    </row>
    <row r="478" spans="1:9" x14ac:dyDescent="0.3">
      <c r="A478">
        <v>2</v>
      </c>
      <c r="B478">
        <f>DATA!M478</f>
        <v>1</v>
      </c>
      <c r="H478" t="s">
        <v>49</v>
      </c>
      <c r="I478" s="12">
        <f>DATA!M332</f>
        <v>1</v>
      </c>
    </row>
    <row r="479" spans="1:9" x14ac:dyDescent="0.3">
      <c r="A479">
        <v>6</v>
      </c>
      <c r="B479">
        <f>DATA!M479</f>
        <v>1</v>
      </c>
      <c r="H479" t="s">
        <v>49</v>
      </c>
      <c r="I479" s="12">
        <f>DATA!M333</f>
        <v>0</v>
      </c>
    </row>
    <row r="480" spans="1:9" x14ac:dyDescent="0.3">
      <c r="A480">
        <v>1</v>
      </c>
      <c r="B480">
        <f>DATA!M480</f>
        <v>0</v>
      </c>
      <c r="H480" t="s">
        <v>49</v>
      </c>
      <c r="I480" s="12">
        <f>DATA!M334</f>
        <v>1</v>
      </c>
    </row>
    <row r="481" spans="1:9" x14ac:dyDescent="0.3">
      <c r="A481">
        <v>5</v>
      </c>
      <c r="B481">
        <f>DATA!M481</f>
        <v>0</v>
      </c>
      <c r="H481" t="s">
        <v>49</v>
      </c>
      <c r="I481" s="12">
        <f>DATA!M335</f>
        <v>1</v>
      </c>
    </row>
    <row r="482" spans="1:9" x14ac:dyDescent="0.3">
      <c r="A482">
        <v>9</v>
      </c>
      <c r="B482">
        <f>DATA!M482</f>
        <v>0</v>
      </c>
      <c r="H482" t="s">
        <v>49</v>
      </c>
      <c r="I482" s="12">
        <f>DATA!M336</f>
        <v>0</v>
      </c>
    </row>
    <row r="483" spans="1:9" x14ac:dyDescent="0.3">
      <c r="A483">
        <v>5</v>
      </c>
      <c r="B483">
        <f>DATA!M483</f>
        <v>0</v>
      </c>
      <c r="H483" t="s">
        <v>49</v>
      </c>
      <c r="I483" s="12">
        <f>DATA!M337</f>
        <v>1</v>
      </c>
    </row>
    <row r="484" spans="1:9" x14ac:dyDescent="0.3">
      <c r="A484">
        <v>2</v>
      </c>
      <c r="B484">
        <f>DATA!M484</f>
        <v>0</v>
      </c>
      <c r="H484" t="s">
        <v>49</v>
      </c>
      <c r="I484" s="12">
        <f>DATA!M338</f>
        <v>1</v>
      </c>
    </row>
    <row r="485" spans="1:9" x14ac:dyDescent="0.3">
      <c r="A485">
        <v>3</v>
      </c>
      <c r="B485">
        <f>DATA!M485</f>
        <v>0</v>
      </c>
      <c r="H485" t="s">
        <v>49</v>
      </c>
      <c r="I485" s="12">
        <f>DATA!M339</f>
        <v>1</v>
      </c>
    </row>
    <row r="486" spans="1:9" x14ac:dyDescent="0.3">
      <c r="A486">
        <v>3</v>
      </c>
      <c r="B486">
        <f>DATA!M486</f>
        <v>1</v>
      </c>
      <c r="H486" t="s">
        <v>49</v>
      </c>
      <c r="I486" s="12">
        <f>DATA!M340</f>
        <v>1</v>
      </c>
    </row>
    <row r="487" spans="1:9" x14ac:dyDescent="0.3">
      <c r="A487">
        <v>3</v>
      </c>
      <c r="B487">
        <f>DATA!M487</f>
        <v>1</v>
      </c>
      <c r="H487" t="s">
        <v>49</v>
      </c>
      <c r="I487" s="12">
        <f>DATA!M341</f>
        <v>1</v>
      </c>
    </row>
    <row r="488" spans="1:9" x14ac:dyDescent="0.3">
      <c r="A488">
        <v>8</v>
      </c>
      <c r="B488">
        <f>DATA!M488</f>
        <v>1</v>
      </c>
      <c r="H488" t="s">
        <v>49</v>
      </c>
      <c r="I488" s="12">
        <f>DATA!M342</f>
        <v>0</v>
      </c>
    </row>
    <row r="489" spans="1:9" x14ac:dyDescent="0.3">
      <c r="A489">
        <v>5</v>
      </c>
      <c r="B489">
        <f>DATA!M489</f>
        <v>0</v>
      </c>
      <c r="H489" t="s">
        <v>49</v>
      </c>
      <c r="I489" s="12">
        <f>DATA!M343</f>
        <v>1</v>
      </c>
    </row>
    <row r="490" spans="1:9" x14ac:dyDescent="0.3">
      <c r="A490">
        <v>9</v>
      </c>
      <c r="B490">
        <f>DATA!M490</f>
        <v>0</v>
      </c>
      <c r="H490" t="s">
        <v>49</v>
      </c>
      <c r="I490" s="12">
        <f>DATA!M344</f>
        <v>1</v>
      </c>
    </row>
    <row r="491" spans="1:9" x14ac:dyDescent="0.3">
      <c r="A491">
        <v>5</v>
      </c>
      <c r="B491">
        <f>DATA!M491</f>
        <v>0</v>
      </c>
      <c r="H491" t="s">
        <v>49</v>
      </c>
      <c r="I491" s="12">
        <f>DATA!M345</f>
        <v>1</v>
      </c>
    </row>
    <row r="492" spans="1:9" x14ac:dyDescent="0.3">
      <c r="A492">
        <v>1</v>
      </c>
      <c r="B492">
        <f>DATA!M492</f>
        <v>1</v>
      </c>
      <c r="H492" t="s">
        <v>49</v>
      </c>
      <c r="I492" s="12">
        <f>DATA!M346</f>
        <v>0</v>
      </c>
    </row>
    <row r="493" spans="1:9" x14ac:dyDescent="0.3">
      <c r="A493">
        <v>8</v>
      </c>
      <c r="B493">
        <f>DATA!M493</f>
        <v>0</v>
      </c>
      <c r="H493" t="s">
        <v>49</v>
      </c>
      <c r="I493" s="12">
        <f>DATA!M347</f>
        <v>0</v>
      </c>
    </row>
    <row r="494" spans="1:9" x14ac:dyDescent="0.3">
      <c r="A494">
        <v>10</v>
      </c>
      <c r="B494">
        <f>DATA!M494</f>
        <v>0</v>
      </c>
      <c r="H494" t="s">
        <v>49</v>
      </c>
      <c r="I494" s="12">
        <f>DATA!M348</f>
        <v>0</v>
      </c>
    </row>
    <row r="495" spans="1:9" x14ac:dyDescent="0.3">
      <c r="A495">
        <v>7</v>
      </c>
      <c r="B495">
        <f>DATA!M495</f>
        <v>0</v>
      </c>
      <c r="H495" t="s">
        <v>49</v>
      </c>
      <c r="I495" s="12">
        <f>DATA!M349</f>
        <v>0</v>
      </c>
    </row>
    <row r="496" spans="1:9" x14ac:dyDescent="0.3">
      <c r="A496">
        <v>7</v>
      </c>
      <c r="B496">
        <f>DATA!M496</f>
        <v>1</v>
      </c>
      <c r="H496" t="s">
        <v>49</v>
      </c>
      <c r="I496" s="12">
        <f>DATA!M350</f>
        <v>0</v>
      </c>
    </row>
    <row r="497" spans="1:9" x14ac:dyDescent="0.3">
      <c r="A497">
        <v>1</v>
      </c>
      <c r="B497">
        <f>DATA!M497</f>
        <v>1</v>
      </c>
      <c r="H497" t="s">
        <v>49</v>
      </c>
      <c r="I497" s="12">
        <f>DATA!M351</f>
        <v>0</v>
      </c>
    </row>
    <row r="498" spans="1:9" x14ac:dyDescent="0.3">
      <c r="A498">
        <v>9</v>
      </c>
      <c r="B498">
        <f>DATA!M498</f>
        <v>0</v>
      </c>
      <c r="H498" t="s">
        <v>49</v>
      </c>
      <c r="I498" s="12">
        <f>DATA!M352</f>
        <v>1</v>
      </c>
    </row>
    <row r="499" spans="1:9" x14ac:dyDescent="0.3">
      <c r="A499">
        <v>0</v>
      </c>
      <c r="B499">
        <f>DATA!M499</f>
        <v>1</v>
      </c>
      <c r="H499" t="s">
        <v>49</v>
      </c>
      <c r="I499" s="12">
        <f>DATA!M353</f>
        <v>1</v>
      </c>
    </row>
    <row r="500" spans="1:9" x14ac:dyDescent="0.3">
      <c r="A500">
        <v>9</v>
      </c>
      <c r="B500">
        <f>DATA!M500</f>
        <v>1</v>
      </c>
      <c r="H500" t="s">
        <v>49</v>
      </c>
      <c r="I500" s="12">
        <f>DATA!M354</f>
        <v>0</v>
      </c>
    </row>
  </sheetData>
  <sortState xmlns:xlrd2="http://schemas.microsoft.com/office/spreadsheetml/2017/richdata2" ref="H2:I500">
    <sortCondition ref="H1:H500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87A55-C6DF-4875-986E-2E8C195E95D4}">
  <dimension ref="A1:J500"/>
  <sheetViews>
    <sheetView workbookViewId="0">
      <selection activeCell="D23" sqref="D23"/>
    </sheetView>
  </sheetViews>
  <sheetFormatPr defaultRowHeight="14.4" x14ac:dyDescent="0.3"/>
  <cols>
    <col min="1" max="1" width="16.33203125" customWidth="1"/>
    <col min="4" max="4" width="27.5546875" bestFit="1" customWidth="1"/>
    <col min="5" max="5" width="22.5546875" bestFit="1" customWidth="1"/>
    <col min="8" max="8" width="38.88671875" bestFit="1" customWidth="1"/>
    <col min="9" max="9" width="27" bestFit="1" customWidth="1"/>
    <col min="10" max="10" width="22.88671875" bestFit="1" customWidth="1"/>
  </cols>
  <sheetData>
    <row r="1" spans="1:10" x14ac:dyDescent="0.3">
      <c r="A1" s="10" t="s">
        <v>11</v>
      </c>
      <c r="B1" s="10" t="str">
        <f>DATA!M1</f>
        <v>Churn</v>
      </c>
      <c r="D1" s="2" t="s">
        <v>119</v>
      </c>
      <c r="E1" s="2" t="s">
        <v>120</v>
      </c>
    </row>
    <row r="2" spans="1:10" x14ac:dyDescent="0.3">
      <c r="A2" s="4">
        <v>10127.81</v>
      </c>
      <c r="B2">
        <f>DATA!M63</f>
        <v>1</v>
      </c>
      <c r="D2" s="2" t="s">
        <v>122</v>
      </c>
      <c r="E2" s="2" t="s">
        <v>121</v>
      </c>
    </row>
    <row r="3" spans="1:10" x14ac:dyDescent="0.3">
      <c r="A3" s="4">
        <v>10423.709999999999</v>
      </c>
      <c r="B3">
        <f>DATA!M208</f>
        <v>1</v>
      </c>
      <c r="D3" s="4">
        <v>107886.77</v>
      </c>
      <c r="E3" s="4">
        <v>92581.54</v>
      </c>
      <c r="H3" t="s">
        <v>99</v>
      </c>
    </row>
    <row r="4" spans="1:10" ht="15" thickBot="1" x14ac:dyDescent="0.35">
      <c r="A4" s="4">
        <v>11462.63</v>
      </c>
      <c r="B4">
        <f>DATA!M153</f>
        <v>1</v>
      </c>
      <c r="D4" s="4">
        <v>52848.11</v>
      </c>
      <c r="E4" s="4">
        <v>141848.51</v>
      </c>
    </row>
    <row r="5" spans="1:10" x14ac:dyDescent="0.3">
      <c r="A5" s="4">
        <v>11580.61</v>
      </c>
      <c r="B5">
        <f>DATA!M495</f>
        <v>0</v>
      </c>
      <c r="D5" s="4">
        <v>94395.02</v>
      </c>
      <c r="E5" s="4">
        <v>143065.1</v>
      </c>
      <c r="H5" s="14"/>
      <c r="I5" s="24" t="s">
        <v>122</v>
      </c>
      <c r="J5" s="24" t="s">
        <v>121</v>
      </c>
    </row>
    <row r="6" spans="1:10" x14ac:dyDescent="0.3">
      <c r="A6" s="4">
        <v>11871.68</v>
      </c>
      <c r="B6">
        <f>DATA!M290</f>
        <v>0</v>
      </c>
      <c r="D6" s="4">
        <v>146739.54999999999</v>
      </c>
      <c r="E6" s="4">
        <v>125839.96</v>
      </c>
      <c r="H6" s="2" t="s">
        <v>87</v>
      </c>
      <c r="I6" s="22">
        <v>80771.831453744468</v>
      </c>
      <c r="J6" s="22">
        <v>83429.147830882357</v>
      </c>
    </row>
    <row r="7" spans="1:10" x14ac:dyDescent="0.3">
      <c r="A7" s="4">
        <v>11971.58</v>
      </c>
      <c r="B7">
        <f>DATA!M78</f>
        <v>0</v>
      </c>
      <c r="D7" s="4">
        <v>16036.55</v>
      </c>
      <c r="E7" s="4">
        <v>58708.71</v>
      </c>
      <c r="H7" t="s">
        <v>100</v>
      </c>
      <c r="I7" s="4">
        <v>1625418316.900933</v>
      </c>
      <c r="J7" s="4">
        <v>1718687462.0325689</v>
      </c>
    </row>
    <row r="8" spans="1:10" x14ac:dyDescent="0.3">
      <c r="A8" s="4">
        <v>12942.16</v>
      </c>
      <c r="B8">
        <f>DATA!M347</f>
        <v>0</v>
      </c>
      <c r="D8" s="4">
        <v>65189.1</v>
      </c>
      <c r="E8" s="4">
        <v>143532.82</v>
      </c>
      <c r="H8" t="s">
        <v>69</v>
      </c>
      <c r="I8" s="4">
        <v>227</v>
      </c>
      <c r="J8" s="4">
        <v>272</v>
      </c>
    </row>
    <row r="9" spans="1:10" x14ac:dyDescent="0.3">
      <c r="A9" s="4">
        <v>12942.78</v>
      </c>
      <c r="B9">
        <f>DATA!M389</f>
        <v>0</v>
      </c>
      <c r="D9" s="4">
        <v>135962.88</v>
      </c>
      <c r="E9" s="4">
        <v>43961.45</v>
      </c>
      <c r="H9" t="s">
        <v>101</v>
      </c>
      <c r="I9" s="4">
        <v>1676275335.6749237</v>
      </c>
      <c r="J9" s="4"/>
    </row>
    <row r="10" spans="1:10" x14ac:dyDescent="0.3">
      <c r="A10" s="4">
        <v>13005.86</v>
      </c>
      <c r="B10">
        <f>DATA!M140</f>
        <v>0</v>
      </c>
      <c r="D10" s="4">
        <v>13740.96</v>
      </c>
      <c r="E10" s="4">
        <v>103226.64</v>
      </c>
      <c r="H10" t="s">
        <v>102</v>
      </c>
      <c r="I10" s="4">
        <v>0</v>
      </c>
      <c r="J10" s="4"/>
    </row>
    <row r="11" spans="1:10" x14ac:dyDescent="0.3">
      <c r="A11" s="4">
        <v>13370.94</v>
      </c>
      <c r="B11">
        <f>DATA!M454</f>
        <v>1</v>
      </c>
      <c r="D11" s="4">
        <v>38571.279999999999</v>
      </c>
      <c r="E11" s="4">
        <v>144262.57</v>
      </c>
      <c r="H11" t="s">
        <v>75</v>
      </c>
      <c r="I11" s="4">
        <v>497</v>
      </c>
      <c r="J11" s="4"/>
    </row>
    <row r="12" spans="1:10" x14ac:dyDescent="0.3">
      <c r="A12" s="4">
        <v>13545.02</v>
      </c>
      <c r="B12">
        <f>DATA!M135</f>
        <v>1</v>
      </c>
      <c r="D12" s="4">
        <v>108305.55</v>
      </c>
      <c r="E12" s="4">
        <v>71646.19</v>
      </c>
      <c r="H12" t="s">
        <v>81</v>
      </c>
      <c r="I12" s="4">
        <v>-0.72196757741824336</v>
      </c>
      <c r="J12" s="4"/>
    </row>
    <row r="13" spans="1:10" x14ac:dyDescent="0.3">
      <c r="A13" s="4">
        <v>13740.96</v>
      </c>
      <c r="B13">
        <f>DATA!M14</f>
        <v>0</v>
      </c>
      <c r="D13" s="4">
        <v>93337.31</v>
      </c>
      <c r="E13" s="4">
        <v>130037.45</v>
      </c>
      <c r="H13" t="s">
        <v>103</v>
      </c>
      <c r="I13" s="4">
        <v>0.23532697286463311</v>
      </c>
      <c r="J13" s="4"/>
    </row>
    <row r="14" spans="1:10" x14ac:dyDescent="0.3">
      <c r="A14" s="4">
        <v>13741.1</v>
      </c>
      <c r="B14">
        <f>DATA!M363</f>
        <v>1</v>
      </c>
      <c r="D14" s="4">
        <v>27413.39</v>
      </c>
      <c r="E14" s="4">
        <v>137124.10999999999</v>
      </c>
      <c r="H14" t="s">
        <v>104</v>
      </c>
      <c r="I14" s="4">
        <v>1.6479253184645424</v>
      </c>
      <c r="J14" s="4"/>
    </row>
    <row r="15" spans="1:10" x14ac:dyDescent="0.3">
      <c r="A15" s="4">
        <v>14185.62</v>
      </c>
      <c r="B15">
        <f>DATA!M189</f>
        <v>0</v>
      </c>
      <c r="D15" s="4">
        <v>16197.08</v>
      </c>
      <c r="E15" s="4">
        <v>107849.47</v>
      </c>
      <c r="H15" s="28" t="s">
        <v>105</v>
      </c>
      <c r="I15" s="21">
        <v>0.47065394572926622</v>
      </c>
      <c r="J15" s="4"/>
    </row>
    <row r="16" spans="1:10" ht="15" thickBot="1" x14ac:dyDescent="0.35">
      <c r="A16" s="4">
        <v>14556.33</v>
      </c>
      <c r="B16">
        <f>DATA!M295</f>
        <v>1</v>
      </c>
      <c r="D16" s="4">
        <v>129312.08</v>
      </c>
      <c r="E16" s="4">
        <v>82220.31</v>
      </c>
      <c r="H16" s="13" t="s">
        <v>106</v>
      </c>
      <c r="I16" s="16">
        <v>1.9647486136388823</v>
      </c>
      <c r="J16" s="16"/>
    </row>
    <row r="17" spans="1:10" x14ac:dyDescent="0.3">
      <c r="A17" s="4">
        <v>14640.19</v>
      </c>
      <c r="B17">
        <f>DATA!M265</f>
        <v>1</v>
      </c>
      <c r="D17" s="4">
        <v>57083.95</v>
      </c>
      <c r="E17" s="4">
        <v>106833.18</v>
      </c>
    </row>
    <row r="18" spans="1:10" ht="15" thickBot="1" x14ac:dyDescent="0.35">
      <c r="A18" s="4">
        <v>14893.47</v>
      </c>
      <c r="B18">
        <f>DATA!M466</f>
        <v>1</v>
      </c>
      <c r="D18" s="4">
        <v>129087.2</v>
      </c>
      <c r="E18" s="4">
        <v>88655.49</v>
      </c>
    </row>
    <row r="19" spans="1:10" x14ac:dyDescent="0.3">
      <c r="A19" s="4">
        <v>15514.32</v>
      </c>
      <c r="B19">
        <f>DATA!M346</f>
        <v>0</v>
      </c>
      <c r="D19" s="4">
        <v>90761.77</v>
      </c>
      <c r="E19" s="4">
        <v>45305.66</v>
      </c>
      <c r="H19" s="14"/>
      <c r="I19" s="14" t="s">
        <v>11</v>
      </c>
      <c r="J19" s="14" t="s">
        <v>27</v>
      </c>
    </row>
    <row r="20" spans="1:10" x14ac:dyDescent="0.3">
      <c r="A20" s="4">
        <v>15679.54</v>
      </c>
      <c r="B20">
        <f>DATA!M86</f>
        <v>0</v>
      </c>
      <c r="D20" s="4">
        <v>82220.31</v>
      </c>
      <c r="E20" s="4">
        <v>128936.13</v>
      </c>
      <c r="H20" t="s">
        <v>11</v>
      </c>
      <c r="I20">
        <v>1</v>
      </c>
    </row>
    <row r="21" spans="1:10" ht="15" thickBot="1" x14ac:dyDescent="0.35">
      <c r="A21" s="4">
        <v>15699.41</v>
      </c>
      <c r="B21">
        <f>DATA!M364</f>
        <v>0</v>
      </c>
      <c r="D21" s="4">
        <v>22363.52</v>
      </c>
      <c r="E21" s="4">
        <v>39491.230000000003</v>
      </c>
      <c r="H21" s="13" t="s">
        <v>27</v>
      </c>
      <c r="I21" s="30">
        <v>3.2367703157347279E-2</v>
      </c>
      <c r="J21" s="13">
        <v>1</v>
      </c>
    </row>
    <row r="22" spans="1:10" x14ac:dyDescent="0.3">
      <c r="A22" s="4">
        <v>16036.55</v>
      </c>
      <c r="B22">
        <f>DATA!M6</f>
        <v>0</v>
      </c>
      <c r="D22" s="4">
        <v>23908.03</v>
      </c>
      <c r="E22" s="4">
        <v>118972.35</v>
      </c>
    </row>
    <row r="23" spans="1:10" x14ac:dyDescent="0.3">
      <c r="A23" s="4">
        <v>16131.69</v>
      </c>
      <c r="B23">
        <f>DATA!M58</f>
        <v>1</v>
      </c>
      <c r="D23" s="4">
        <v>81519.78</v>
      </c>
      <c r="E23" s="4">
        <v>82220.31</v>
      </c>
    </row>
    <row r="24" spans="1:10" x14ac:dyDescent="0.3">
      <c r="A24" s="4">
        <v>16197.08</v>
      </c>
      <c r="B24">
        <f>DATA!M25</f>
        <v>0</v>
      </c>
      <c r="D24" s="4">
        <v>19803.7</v>
      </c>
      <c r="E24" s="4">
        <v>48255.32</v>
      </c>
    </row>
    <row r="25" spans="1:10" x14ac:dyDescent="0.3">
      <c r="A25" s="4">
        <v>16236.92</v>
      </c>
      <c r="B25">
        <f>DATA!M203</f>
        <v>1</v>
      </c>
      <c r="D25" s="4">
        <v>124490.71</v>
      </c>
      <c r="E25" s="4">
        <v>64920.41</v>
      </c>
    </row>
    <row r="26" spans="1:10" x14ac:dyDescent="0.3">
      <c r="A26" s="4">
        <v>16581.23</v>
      </c>
      <c r="B26">
        <f>DATA!M353</f>
        <v>1</v>
      </c>
      <c r="D26" s="4">
        <v>133876.07999999999</v>
      </c>
      <c r="E26" s="4">
        <v>110877.22</v>
      </c>
    </row>
    <row r="27" spans="1:10" x14ac:dyDescent="0.3">
      <c r="A27" s="4">
        <v>16813.419999999998</v>
      </c>
      <c r="B27">
        <f>DATA!M464</f>
        <v>1</v>
      </c>
      <c r="D27" s="4">
        <v>118097.5</v>
      </c>
      <c r="E27" s="4">
        <v>21781.599999999999</v>
      </c>
    </row>
    <row r="28" spans="1:10" x14ac:dyDescent="0.3">
      <c r="A28" s="4">
        <v>17554.759999999998</v>
      </c>
      <c r="B28">
        <f>DATA!M345</f>
        <v>1</v>
      </c>
      <c r="D28" s="4">
        <v>24025.919999999998</v>
      </c>
      <c r="E28" s="4">
        <v>125168.23</v>
      </c>
    </row>
    <row r="29" spans="1:10" x14ac:dyDescent="0.3">
      <c r="A29" s="4">
        <v>17973.88</v>
      </c>
      <c r="B29">
        <f>DATA!M134</f>
        <v>1</v>
      </c>
      <c r="D29" s="4">
        <v>103834.77</v>
      </c>
      <c r="E29" s="4">
        <v>40937.339999999997</v>
      </c>
    </row>
    <row r="30" spans="1:10" x14ac:dyDescent="0.3">
      <c r="A30" s="4">
        <v>18020.810000000001</v>
      </c>
      <c r="B30">
        <f>DATA!M77</f>
        <v>0</v>
      </c>
      <c r="D30" s="4">
        <v>56949.24</v>
      </c>
      <c r="E30" s="4">
        <v>29656.959999999999</v>
      </c>
    </row>
    <row r="31" spans="1:10" x14ac:dyDescent="0.3">
      <c r="A31" s="4">
        <v>18606.009999999998</v>
      </c>
      <c r="B31">
        <f>DATA!M193</f>
        <v>0</v>
      </c>
      <c r="D31" s="4">
        <v>140603.54</v>
      </c>
      <c r="E31" s="4">
        <v>16131.69</v>
      </c>
    </row>
    <row r="32" spans="1:10" x14ac:dyDescent="0.3">
      <c r="A32" s="4">
        <v>18737.27</v>
      </c>
      <c r="B32">
        <f>DATA!M222</f>
        <v>0</v>
      </c>
      <c r="D32" s="4">
        <v>33012.78</v>
      </c>
      <c r="E32" s="4">
        <v>130050.9</v>
      </c>
    </row>
    <row r="33" spans="1:5" x14ac:dyDescent="0.3">
      <c r="A33" s="4">
        <v>19461.59</v>
      </c>
      <c r="B33">
        <f>DATA!M473</f>
        <v>1</v>
      </c>
      <c r="D33" s="4">
        <v>86343.96</v>
      </c>
      <c r="E33" s="4">
        <v>111048.16</v>
      </c>
    </row>
    <row r="34" spans="1:5" x14ac:dyDescent="0.3">
      <c r="A34" s="4">
        <v>19540.71</v>
      </c>
      <c r="B34">
        <f>DATA!M426</f>
        <v>1</v>
      </c>
      <c r="D34" s="4">
        <v>103458.26</v>
      </c>
      <c r="E34" s="4">
        <v>10127.81</v>
      </c>
    </row>
    <row r="35" spans="1:5" x14ac:dyDescent="0.3">
      <c r="A35" s="4">
        <v>19713.43</v>
      </c>
      <c r="B35">
        <f>DATA!M215</f>
        <v>0</v>
      </c>
      <c r="D35" s="4">
        <v>50593.37</v>
      </c>
      <c r="E35" s="4">
        <v>60885.4</v>
      </c>
    </row>
    <row r="36" spans="1:5" x14ac:dyDescent="0.3">
      <c r="A36" s="4">
        <v>19803.7</v>
      </c>
      <c r="B36">
        <f>DATA!M45</f>
        <v>0</v>
      </c>
      <c r="D36" s="4">
        <v>92201.91</v>
      </c>
      <c r="E36" s="4">
        <v>68374.880000000005</v>
      </c>
    </row>
    <row r="37" spans="1:5" x14ac:dyDescent="0.3">
      <c r="A37" s="4">
        <v>19915.18</v>
      </c>
      <c r="B37">
        <f>DATA!M430</f>
        <v>1</v>
      </c>
      <c r="D37" s="4">
        <v>36831.440000000002</v>
      </c>
      <c r="E37" s="4">
        <v>48970.879999999997</v>
      </c>
    </row>
    <row r="38" spans="1:5" x14ac:dyDescent="0.3">
      <c r="A38" s="4">
        <v>20310.53</v>
      </c>
      <c r="B38">
        <f>DATA!M304</f>
        <v>0</v>
      </c>
      <c r="D38" s="4">
        <v>67445.009999999995</v>
      </c>
      <c r="E38" s="4">
        <v>99812.42</v>
      </c>
    </row>
    <row r="39" spans="1:5" x14ac:dyDescent="0.3">
      <c r="A39" s="4">
        <v>20477.41</v>
      </c>
      <c r="B39">
        <f>DATA!M441</f>
        <v>1</v>
      </c>
      <c r="D39" s="4">
        <v>60075.81</v>
      </c>
      <c r="E39" s="4">
        <v>128437.74</v>
      </c>
    </row>
    <row r="40" spans="1:5" x14ac:dyDescent="0.3">
      <c r="A40" s="4">
        <v>21082.35</v>
      </c>
      <c r="B40">
        <f>DATA!M281</f>
        <v>1</v>
      </c>
      <c r="D40" s="4">
        <v>18020.810000000001</v>
      </c>
      <c r="E40" s="4">
        <v>138274.03</v>
      </c>
    </row>
    <row r="41" spans="1:5" x14ac:dyDescent="0.3">
      <c r="A41" s="4">
        <v>21108.79</v>
      </c>
      <c r="B41">
        <f>DATA!M387</f>
        <v>0</v>
      </c>
      <c r="D41" s="4">
        <v>11971.58</v>
      </c>
      <c r="E41" s="4">
        <v>109301.93</v>
      </c>
    </row>
    <row r="42" spans="1:5" x14ac:dyDescent="0.3">
      <c r="A42" s="4">
        <v>21151.48</v>
      </c>
      <c r="B42">
        <f>DATA!M162</f>
        <v>0</v>
      </c>
      <c r="D42" s="4">
        <v>53475.839999999997</v>
      </c>
      <c r="E42" s="4">
        <v>132532.96</v>
      </c>
    </row>
    <row r="43" spans="1:5" x14ac:dyDescent="0.3">
      <c r="A43" s="4">
        <v>21425.94</v>
      </c>
      <c r="B43">
        <f>DATA!M109</f>
        <v>1</v>
      </c>
      <c r="D43" s="4">
        <v>101131.11</v>
      </c>
      <c r="E43" s="4">
        <v>142833.29999999999</v>
      </c>
    </row>
    <row r="44" spans="1:5" x14ac:dyDescent="0.3">
      <c r="A44" s="4">
        <v>21570.41</v>
      </c>
      <c r="B44">
        <f>DATA!M309</f>
        <v>0</v>
      </c>
      <c r="D44" s="4">
        <v>117137.04</v>
      </c>
      <c r="E44" s="4">
        <v>145603.81</v>
      </c>
    </row>
    <row r="45" spans="1:5" x14ac:dyDescent="0.3">
      <c r="A45" s="4">
        <v>21781.599999999999</v>
      </c>
      <c r="B45">
        <f>DATA!M50</f>
        <v>1</v>
      </c>
      <c r="D45" s="4">
        <v>121737.08</v>
      </c>
      <c r="E45" s="4">
        <v>133731.54999999999</v>
      </c>
    </row>
    <row r="46" spans="1:5" x14ac:dyDescent="0.3">
      <c r="A46" s="4">
        <v>22278.37</v>
      </c>
      <c r="B46">
        <f>DATA!M402</f>
        <v>0</v>
      </c>
      <c r="D46" s="4">
        <v>15679.54</v>
      </c>
      <c r="E46" s="4">
        <v>28817.75</v>
      </c>
    </row>
    <row r="47" spans="1:5" x14ac:dyDescent="0.3">
      <c r="A47" s="4">
        <v>22363.52</v>
      </c>
      <c r="B47">
        <f>DATA!M39</f>
        <v>0</v>
      </c>
      <c r="D47" s="4">
        <v>54061.89</v>
      </c>
      <c r="E47" s="4">
        <v>121172.65</v>
      </c>
    </row>
    <row r="48" spans="1:5" x14ac:dyDescent="0.3">
      <c r="A48" s="4">
        <v>22814.14</v>
      </c>
      <c r="B48">
        <f>DATA!M145</f>
        <v>0</v>
      </c>
      <c r="D48" s="4">
        <v>101797.2</v>
      </c>
      <c r="E48" s="4">
        <v>147488.24</v>
      </c>
    </row>
    <row r="49" spans="1:5" x14ac:dyDescent="0.3">
      <c r="A49" s="4">
        <v>22885.14</v>
      </c>
      <c r="B49">
        <f>DATA!M427</f>
        <v>1</v>
      </c>
      <c r="D49" s="4">
        <v>54977.06</v>
      </c>
      <c r="E49" s="4">
        <v>111587.44</v>
      </c>
    </row>
    <row r="50" spans="1:5" x14ac:dyDescent="0.3">
      <c r="A50" s="4">
        <v>23399.15</v>
      </c>
      <c r="B50">
        <f>DATA!M468</f>
        <v>1</v>
      </c>
      <c r="D50" s="4">
        <v>27995.72</v>
      </c>
      <c r="E50" s="4">
        <v>103995.53</v>
      </c>
    </row>
    <row r="51" spans="1:5" x14ac:dyDescent="0.3">
      <c r="A51" s="4">
        <v>23547.86</v>
      </c>
      <c r="B51">
        <f>DATA!M280</f>
        <v>1</v>
      </c>
      <c r="D51" s="4">
        <v>81112.42</v>
      </c>
      <c r="E51" s="4">
        <v>125609.39</v>
      </c>
    </row>
    <row r="52" spans="1:5" x14ac:dyDescent="0.3">
      <c r="A52" s="4">
        <v>23783.4</v>
      </c>
      <c r="B52">
        <f>DATA!M329</f>
        <v>0</v>
      </c>
      <c r="D52" s="4">
        <v>27793.35</v>
      </c>
      <c r="E52" s="4">
        <v>128540.03</v>
      </c>
    </row>
    <row r="53" spans="1:5" x14ac:dyDescent="0.3">
      <c r="A53" s="4">
        <v>23908.03</v>
      </c>
      <c r="B53">
        <f>DATA!M41</f>
        <v>0</v>
      </c>
      <c r="D53" s="4">
        <v>102150.42</v>
      </c>
      <c r="E53" s="4">
        <v>61080.02</v>
      </c>
    </row>
    <row r="54" spans="1:5" x14ac:dyDescent="0.3">
      <c r="A54" s="4">
        <v>23962.59</v>
      </c>
      <c r="B54">
        <f>DATA!M126</f>
        <v>0</v>
      </c>
      <c r="D54" s="4">
        <v>51542.45</v>
      </c>
      <c r="E54" s="4">
        <v>71498.5</v>
      </c>
    </row>
    <row r="55" spans="1:5" x14ac:dyDescent="0.3">
      <c r="A55" s="4">
        <v>24025.919999999998</v>
      </c>
      <c r="B55">
        <f>DATA!M53</f>
        <v>0</v>
      </c>
      <c r="D55" s="4">
        <v>30554.85</v>
      </c>
      <c r="E55" s="4">
        <v>144375.79999999999</v>
      </c>
    </row>
    <row r="56" spans="1:5" x14ac:dyDescent="0.3">
      <c r="A56" s="4">
        <v>24061.040000000001</v>
      </c>
      <c r="B56">
        <f>DATA!M469</f>
        <v>1</v>
      </c>
      <c r="D56" s="4">
        <v>74188.759999999995</v>
      </c>
      <c r="E56" s="4">
        <v>21425.94</v>
      </c>
    </row>
    <row r="57" spans="1:5" x14ac:dyDescent="0.3">
      <c r="A57" s="4">
        <v>24566</v>
      </c>
      <c r="B57">
        <f>DATA!M302</f>
        <v>1</v>
      </c>
      <c r="D57" s="4">
        <v>102543.92</v>
      </c>
      <c r="E57" s="4">
        <v>110349.05</v>
      </c>
    </row>
    <row r="58" spans="1:5" x14ac:dyDescent="0.3">
      <c r="A58" s="4">
        <v>25837.27</v>
      </c>
      <c r="B58">
        <f>DATA!M201</f>
        <v>1</v>
      </c>
      <c r="D58" s="4">
        <v>75419.12</v>
      </c>
      <c r="E58" s="4">
        <v>117883.52</v>
      </c>
    </row>
    <row r="59" spans="1:5" x14ac:dyDescent="0.3">
      <c r="A59" s="4">
        <v>26002.71</v>
      </c>
      <c r="B59">
        <f>DATA!M272</f>
        <v>1</v>
      </c>
      <c r="D59" s="4">
        <v>108422.12</v>
      </c>
      <c r="E59" s="4">
        <v>49103.38</v>
      </c>
    </row>
    <row r="60" spans="1:5" x14ac:dyDescent="0.3">
      <c r="A60" s="4">
        <v>26370.52</v>
      </c>
      <c r="B60">
        <f>DATA!M360</f>
        <v>1</v>
      </c>
      <c r="D60" s="4">
        <v>65451.93</v>
      </c>
      <c r="E60" s="4">
        <v>76101.240000000005</v>
      </c>
    </row>
    <row r="61" spans="1:5" x14ac:dyDescent="0.3">
      <c r="A61" s="4">
        <v>27139.72</v>
      </c>
      <c r="B61">
        <f>DATA!M182</f>
        <v>1</v>
      </c>
      <c r="D61" s="4">
        <v>136090.56</v>
      </c>
      <c r="E61" s="4">
        <v>82791.570000000007</v>
      </c>
    </row>
    <row r="62" spans="1:5" x14ac:dyDescent="0.3">
      <c r="A62" s="4">
        <v>27387.77</v>
      </c>
      <c r="B62">
        <f>DATA!M332</f>
        <v>1</v>
      </c>
      <c r="D62" s="4">
        <v>111107.96</v>
      </c>
      <c r="E62" s="4">
        <v>127955.4</v>
      </c>
    </row>
    <row r="63" spans="1:5" x14ac:dyDescent="0.3">
      <c r="A63" s="4">
        <v>27413.39</v>
      </c>
      <c r="B63">
        <f>DATA!M23</f>
        <v>0</v>
      </c>
      <c r="D63" s="4">
        <v>84784.47</v>
      </c>
      <c r="E63" s="4">
        <v>141665.95000000001</v>
      </c>
    </row>
    <row r="64" spans="1:5" x14ac:dyDescent="0.3">
      <c r="A64" s="4">
        <v>27505.16</v>
      </c>
      <c r="B64">
        <f>DATA!M371</f>
        <v>0</v>
      </c>
      <c r="D64" s="4">
        <v>101378.44</v>
      </c>
      <c r="E64" s="4">
        <v>48022.06</v>
      </c>
    </row>
    <row r="65" spans="1:5" x14ac:dyDescent="0.3">
      <c r="A65" s="4">
        <v>27793.35</v>
      </c>
      <c r="B65">
        <f>DATA!M98</f>
        <v>0</v>
      </c>
      <c r="D65" s="4">
        <v>23962.59</v>
      </c>
      <c r="E65" s="4">
        <v>36575.879999999997</v>
      </c>
    </row>
    <row r="66" spans="1:5" x14ac:dyDescent="0.3">
      <c r="A66" s="4">
        <v>27995.72</v>
      </c>
      <c r="B66">
        <f>DATA!M94</f>
        <v>0</v>
      </c>
      <c r="D66" s="4">
        <v>36037.629999999997</v>
      </c>
      <c r="E66" s="4">
        <v>38147.910000000003</v>
      </c>
    </row>
    <row r="67" spans="1:5" x14ac:dyDescent="0.3">
      <c r="A67" s="4">
        <v>28096.07</v>
      </c>
      <c r="B67">
        <f>DATA!M165</f>
        <v>1</v>
      </c>
      <c r="D67" s="4">
        <v>87587.83</v>
      </c>
      <c r="E67" s="4">
        <v>17973.88</v>
      </c>
    </row>
    <row r="68" spans="1:5" x14ac:dyDescent="0.3">
      <c r="A68" s="4">
        <v>28817.75</v>
      </c>
      <c r="B68">
        <f>DATA!M90</f>
        <v>1</v>
      </c>
      <c r="D68" s="4">
        <v>81668.89</v>
      </c>
      <c r="E68" s="4">
        <v>13545.02</v>
      </c>
    </row>
    <row r="69" spans="1:5" x14ac:dyDescent="0.3">
      <c r="A69" s="4">
        <v>29342.26</v>
      </c>
      <c r="B69">
        <f>DATA!M319</f>
        <v>1</v>
      </c>
      <c r="D69" s="4">
        <v>93162.76</v>
      </c>
      <c r="E69" s="4">
        <v>59763.13</v>
      </c>
    </row>
    <row r="70" spans="1:5" x14ac:dyDescent="0.3">
      <c r="A70" s="4">
        <v>29656.959999999999</v>
      </c>
      <c r="B70">
        <f>DATA!M57</f>
        <v>1</v>
      </c>
      <c r="D70" s="4">
        <v>43499.67</v>
      </c>
      <c r="E70" s="4">
        <v>114484.04</v>
      </c>
    </row>
    <row r="71" spans="1:5" x14ac:dyDescent="0.3">
      <c r="A71" s="4">
        <v>30241.09</v>
      </c>
      <c r="B71">
        <f>DATA!M443</f>
        <v>1</v>
      </c>
      <c r="D71" s="4">
        <v>108015.6</v>
      </c>
      <c r="E71" s="4">
        <v>103143.51</v>
      </c>
    </row>
    <row r="72" spans="1:5" x14ac:dyDescent="0.3">
      <c r="A72" s="4">
        <v>30554.85</v>
      </c>
      <c r="B72">
        <f>DATA!M103</f>
        <v>0</v>
      </c>
      <c r="D72" s="4">
        <v>13005.86</v>
      </c>
      <c r="E72" s="4">
        <v>142792.82999999999</v>
      </c>
    </row>
    <row r="73" spans="1:5" x14ac:dyDescent="0.3">
      <c r="A73" s="4">
        <v>31564.75</v>
      </c>
      <c r="B73">
        <f>DATA!M301</f>
        <v>0</v>
      </c>
      <c r="D73" s="4">
        <v>70775.05</v>
      </c>
      <c r="E73" s="4">
        <v>57655.65</v>
      </c>
    </row>
    <row r="74" spans="1:5" x14ac:dyDescent="0.3">
      <c r="A74" s="4">
        <v>32556.34</v>
      </c>
      <c r="B74">
        <f>DATA!M423</f>
        <v>1</v>
      </c>
      <c r="D74" s="4">
        <v>22814.14</v>
      </c>
      <c r="E74" s="4">
        <v>122175.46</v>
      </c>
    </row>
    <row r="75" spans="1:5" x14ac:dyDescent="0.3">
      <c r="A75" s="4">
        <v>33012.78</v>
      </c>
      <c r="B75">
        <f>DATA!M62</f>
        <v>0</v>
      </c>
      <c r="D75" s="4">
        <v>34759.360000000001</v>
      </c>
      <c r="E75" s="4">
        <v>128074.02</v>
      </c>
    </row>
    <row r="76" spans="1:5" x14ac:dyDescent="0.3">
      <c r="A76" s="4">
        <v>33137.160000000003</v>
      </c>
      <c r="B76">
        <f>DATA!M170</f>
        <v>0</v>
      </c>
      <c r="D76" s="4">
        <v>55585.67</v>
      </c>
      <c r="E76" s="4">
        <v>106009.52</v>
      </c>
    </row>
    <row r="77" spans="1:5" x14ac:dyDescent="0.3">
      <c r="A77" s="4">
        <v>33647.800000000003</v>
      </c>
      <c r="B77">
        <f>DATA!M262</f>
        <v>1</v>
      </c>
      <c r="D77" s="4">
        <v>140671.21</v>
      </c>
      <c r="E77" s="4">
        <v>60175.22</v>
      </c>
    </row>
    <row r="78" spans="1:5" x14ac:dyDescent="0.3">
      <c r="A78" s="4">
        <v>33648.46</v>
      </c>
      <c r="B78">
        <f>DATA!M444</f>
        <v>1</v>
      </c>
      <c r="D78" s="4">
        <v>119718.19</v>
      </c>
      <c r="E78" s="4">
        <v>11462.63</v>
      </c>
    </row>
    <row r="79" spans="1:5" x14ac:dyDescent="0.3">
      <c r="A79" s="4">
        <v>33745.43</v>
      </c>
      <c r="B79">
        <f>DATA!M188</f>
        <v>1</v>
      </c>
      <c r="D79" s="4">
        <v>42983.99</v>
      </c>
      <c r="E79" s="4">
        <v>73040.67</v>
      </c>
    </row>
    <row r="80" spans="1:5" x14ac:dyDescent="0.3">
      <c r="A80" s="4">
        <v>33868.199999999997</v>
      </c>
      <c r="B80">
        <f>DATA!M339</f>
        <v>1</v>
      </c>
      <c r="D80" s="4">
        <v>105598.56</v>
      </c>
      <c r="E80" s="4">
        <v>69509.759999999995</v>
      </c>
    </row>
    <row r="81" spans="1:5" x14ac:dyDescent="0.3">
      <c r="A81" s="4">
        <v>33894.089999999997</v>
      </c>
      <c r="B81">
        <f>DATA!M237</f>
        <v>0</v>
      </c>
      <c r="D81" s="4">
        <v>21151.48</v>
      </c>
      <c r="E81" s="4">
        <v>49445.48</v>
      </c>
    </row>
    <row r="82" spans="1:5" x14ac:dyDescent="0.3">
      <c r="A82" s="4">
        <v>34325.360000000001</v>
      </c>
      <c r="B82">
        <f>DATA!M258</f>
        <v>1</v>
      </c>
      <c r="D82" s="4">
        <v>66914.649999999994</v>
      </c>
      <c r="E82" s="4">
        <v>43662.79</v>
      </c>
    </row>
    <row r="83" spans="1:5" x14ac:dyDescent="0.3">
      <c r="A83" s="4">
        <v>34759.360000000001</v>
      </c>
      <c r="B83">
        <f>DATA!M146</f>
        <v>0</v>
      </c>
      <c r="D83" s="4">
        <v>80375.98</v>
      </c>
      <c r="E83" s="4">
        <v>113646.28</v>
      </c>
    </row>
    <row r="84" spans="1:5" x14ac:dyDescent="0.3">
      <c r="A84" s="4">
        <v>35048.160000000003</v>
      </c>
      <c r="B84">
        <f>DATA!M349</f>
        <v>0</v>
      </c>
      <c r="D84" s="4">
        <v>86790.47</v>
      </c>
      <c r="E84" s="4">
        <v>75716.98</v>
      </c>
    </row>
    <row r="85" spans="1:5" x14ac:dyDescent="0.3">
      <c r="A85" s="4">
        <v>35122.36</v>
      </c>
      <c r="B85">
        <f>DATA!M461</f>
        <v>1</v>
      </c>
      <c r="D85" s="4">
        <v>33137.160000000003</v>
      </c>
      <c r="E85" s="4">
        <v>120812.2</v>
      </c>
    </row>
    <row r="86" spans="1:5" x14ac:dyDescent="0.3">
      <c r="A86" s="4">
        <v>35708.43</v>
      </c>
      <c r="B86">
        <f>DATA!M407</f>
        <v>1</v>
      </c>
      <c r="D86" s="4">
        <v>88266.73</v>
      </c>
      <c r="E86" s="4">
        <v>28096.07</v>
      </c>
    </row>
    <row r="87" spans="1:5" x14ac:dyDescent="0.3">
      <c r="A87" s="4">
        <v>35799.879999999997</v>
      </c>
      <c r="B87">
        <f>DATA!M392</f>
        <v>1</v>
      </c>
      <c r="D87" s="4">
        <v>126167.25</v>
      </c>
      <c r="E87" s="4">
        <v>36084.61</v>
      </c>
    </row>
    <row r="88" spans="1:5" x14ac:dyDescent="0.3">
      <c r="A88" s="4">
        <v>35871.660000000003</v>
      </c>
      <c r="B88">
        <f>DATA!M277</f>
        <v>0</v>
      </c>
      <c r="D88" s="4">
        <v>77687.86</v>
      </c>
      <c r="E88" s="4">
        <v>139690.22</v>
      </c>
    </row>
    <row r="89" spans="1:5" x14ac:dyDescent="0.3">
      <c r="A89" s="4">
        <v>36037.629999999997</v>
      </c>
      <c r="B89">
        <f>DATA!M127</f>
        <v>0</v>
      </c>
      <c r="D89" s="4">
        <v>144755.60999999999</v>
      </c>
      <c r="E89" s="4">
        <v>144202.79</v>
      </c>
    </row>
    <row r="90" spans="1:5" x14ac:dyDescent="0.3">
      <c r="A90" s="4">
        <v>36084.61</v>
      </c>
      <c r="B90">
        <f>DATA!M167</f>
        <v>1</v>
      </c>
      <c r="D90" s="4">
        <v>140547.93</v>
      </c>
      <c r="E90" s="4">
        <v>57614.96</v>
      </c>
    </row>
    <row r="91" spans="1:5" x14ac:dyDescent="0.3">
      <c r="A91" s="4">
        <v>36108.42</v>
      </c>
      <c r="B91">
        <f>DATA!M232</f>
        <v>0</v>
      </c>
      <c r="D91" s="4">
        <v>116721.45</v>
      </c>
      <c r="E91" s="4">
        <v>114104.65</v>
      </c>
    </row>
    <row r="92" spans="1:5" x14ac:dyDescent="0.3">
      <c r="A92" s="4">
        <v>36418.230000000003</v>
      </c>
      <c r="B92">
        <f>DATA!M365</f>
        <v>1</v>
      </c>
      <c r="D92" s="4">
        <v>143728.42000000001</v>
      </c>
      <c r="E92" s="4">
        <v>106102.67</v>
      </c>
    </row>
    <row r="93" spans="1:5" x14ac:dyDescent="0.3">
      <c r="A93" s="4">
        <v>36575.879999999997</v>
      </c>
      <c r="B93">
        <f>DATA!M128</f>
        <v>1</v>
      </c>
      <c r="D93" s="4">
        <v>87508.69</v>
      </c>
      <c r="E93" s="4">
        <v>114757.22</v>
      </c>
    </row>
    <row r="94" spans="1:5" x14ac:dyDescent="0.3">
      <c r="A94" s="4">
        <v>36831.440000000002</v>
      </c>
      <c r="B94">
        <f>DATA!M74</f>
        <v>0</v>
      </c>
      <c r="D94" s="4">
        <v>14185.62</v>
      </c>
      <c r="E94" s="4">
        <v>138662.49</v>
      </c>
    </row>
    <row r="95" spans="1:5" x14ac:dyDescent="0.3">
      <c r="A95" s="4">
        <v>36850.699999999997</v>
      </c>
      <c r="B95">
        <f>DATA!M247</f>
        <v>0</v>
      </c>
      <c r="D95" s="4">
        <v>135564.73000000001</v>
      </c>
      <c r="E95" s="4">
        <v>62160.12</v>
      </c>
    </row>
    <row r="96" spans="1:5" x14ac:dyDescent="0.3">
      <c r="A96" s="4">
        <v>37047.949999999997</v>
      </c>
      <c r="B96">
        <f>DATA!M264</f>
        <v>0</v>
      </c>
      <c r="D96" s="4">
        <v>18606.009999999998</v>
      </c>
      <c r="E96" s="4">
        <v>27139.72</v>
      </c>
    </row>
    <row r="97" spans="1:5" x14ac:dyDescent="0.3">
      <c r="A97" s="4">
        <v>37164.6</v>
      </c>
      <c r="B97">
        <f>DATA!M337</f>
        <v>1</v>
      </c>
      <c r="D97" s="4">
        <v>51011.37</v>
      </c>
      <c r="E97" s="4">
        <v>141135.62</v>
      </c>
    </row>
    <row r="98" spans="1:5" x14ac:dyDescent="0.3">
      <c r="A98" s="4">
        <v>37239.08</v>
      </c>
      <c r="B98">
        <f>DATA!M367</f>
        <v>1</v>
      </c>
      <c r="D98" s="4">
        <v>106372.6</v>
      </c>
      <c r="E98" s="4">
        <v>33745.43</v>
      </c>
    </row>
    <row r="99" spans="1:5" x14ac:dyDescent="0.3">
      <c r="A99" s="4">
        <v>37534.69</v>
      </c>
      <c r="B99">
        <f>DATA!M484</f>
        <v>0</v>
      </c>
      <c r="D99" s="4">
        <v>115636.53</v>
      </c>
      <c r="E99" s="4">
        <v>108093.18</v>
      </c>
    </row>
    <row r="100" spans="1:5" x14ac:dyDescent="0.3">
      <c r="A100" s="4">
        <v>37615.839999999997</v>
      </c>
      <c r="B100">
        <f>DATA!M234</f>
        <v>1</v>
      </c>
      <c r="D100" s="4">
        <v>122196.71</v>
      </c>
      <c r="E100" s="4">
        <v>130888.76</v>
      </c>
    </row>
    <row r="101" spans="1:5" x14ac:dyDescent="0.3">
      <c r="A101" s="4">
        <v>38147.910000000003</v>
      </c>
      <c r="B101">
        <f>DATA!M132</f>
        <v>1</v>
      </c>
      <c r="D101" s="4">
        <v>69975.320000000007</v>
      </c>
      <c r="E101" s="4">
        <v>59452.54</v>
      </c>
    </row>
    <row r="102" spans="1:5" x14ac:dyDescent="0.3">
      <c r="A102" s="4">
        <v>38571.279999999999</v>
      </c>
      <c r="B102">
        <f>DATA!M16</f>
        <v>0</v>
      </c>
      <c r="D102" s="4">
        <v>93107.1</v>
      </c>
      <c r="E102" s="4">
        <v>72202.649999999994</v>
      </c>
    </row>
    <row r="103" spans="1:5" x14ac:dyDescent="0.3">
      <c r="A103" s="4">
        <v>38576.97</v>
      </c>
      <c r="B103">
        <f>DATA!M242</f>
        <v>1</v>
      </c>
      <c r="D103" s="4">
        <v>146668.19</v>
      </c>
      <c r="E103" s="4">
        <v>139671.38</v>
      </c>
    </row>
    <row r="104" spans="1:5" x14ac:dyDescent="0.3">
      <c r="A104" s="4">
        <v>38969.33</v>
      </c>
      <c r="B104">
        <f>DATA!M230</f>
        <v>1</v>
      </c>
      <c r="D104" s="4">
        <v>145868.74</v>
      </c>
      <c r="E104" s="4">
        <v>40784.480000000003</v>
      </c>
    </row>
    <row r="105" spans="1:5" x14ac:dyDescent="0.3">
      <c r="A105" s="4">
        <v>39491.230000000003</v>
      </c>
      <c r="B105">
        <f>DATA!M37</f>
        <v>1</v>
      </c>
      <c r="D105" s="4">
        <v>82176.899999999994</v>
      </c>
      <c r="E105" s="4">
        <v>95781.75</v>
      </c>
    </row>
    <row r="106" spans="1:5" x14ac:dyDescent="0.3">
      <c r="A106" s="4">
        <v>39633.65</v>
      </c>
      <c r="B106">
        <f>DATA!M491</f>
        <v>0</v>
      </c>
      <c r="D106" s="4">
        <v>19713.43</v>
      </c>
      <c r="E106" s="4">
        <v>25837.27</v>
      </c>
    </row>
    <row r="107" spans="1:5" x14ac:dyDescent="0.3">
      <c r="A107" s="4">
        <v>40101.64</v>
      </c>
      <c r="B107">
        <f>DATA!M433</f>
        <v>1</v>
      </c>
      <c r="D107" s="4">
        <v>125091.68</v>
      </c>
      <c r="E107" s="4">
        <v>16236.92</v>
      </c>
    </row>
    <row r="108" spans="1:5" x14ac:dyDescent="0.3">
      <c r="A108" s="4">
        <v>40784.480000000003</v>
      </c>
      <c r="B108">
        <f>DATA!M199</f>
        <v>1</v>
      </c>
      <c r="D108" s="4">
        <v>72274.3</v>
      </c>
      <c r="E108" s="4">
        <v>149768.04999999999</v>
      </c>
    </row>
    <row r="109" spans="1:5" x14ac:dyDescent="0.3">
      <c r="A109" s="4">
        <v>40937.339999999997</v>
      </c>
      <c r="B109">
        <f>DATA!M55</f>
        <v>1</v>
      </c>
      <c r="D109" s="4">
        <v>99332.87</v>
      </c>
      <c r="E109" s="4">
        <v>95777.53</v>
      </c>
    </row>
    <row r="110" spans="1:5" x14ac:dyDescent="0.3">
      <c r="A110" s="4">
        <v>41989.11</v>
      </c>
      <c r="B110">
        <f>DATA!M408</f>
        <v>0</v>
      </c>
      <c r="D110" s="4">
        <v>18737.27</v>
      </c>
      <c r="E110" s="4">
        <v>117590.06</v>
      </c>
    </row>
    <row r="111" spans="1:5" x14ac:dyDescent="0.3">
      <c r="A111" s="4">
        <v>42147.48</v>
      </c>
      <c r="B111">
        <f>DATA!M248</f>
        <v>0</v>
      </c>
      <c r="D111" s="4">
        <v>43587.17</v>
      </c>
      <c r="E111" s="4">
        <v>10423.709999999999</v>
      </c>
    </row>
    <row r="112" spans="1:5" x14ac:dyDescent="0.3">
      <c r="A112" s="4">
        <v>42983.99</v>
      </c>
      <c r="B112">
        <f>DATA!M156</f>
        <v>0</v>
      </c>
      <c r="D112" s="4">
        <v>97832.3</v>
      </c>
      <c r="E112" s="4">
        <v>61220.89</v>
      </c>
    </row>
    <row r="113" spans="1:5" x14ac:dyDescent="0.3">
      <c r="A113" s="4">
        <v>43482.28</v>
      </c>
      <c r="B113">
        <f>DATA!M378</f>
        <v>0</v>
      </c>
      <c r="D113" s="4">
        <v>94496.24</v>
      </c>
      <c r="E113" s="4">
        <v>96310.13</v>
      </c>
    </row>
    <row r="114" spans="1:5" x14ac:dyDescent="0.3">
      <c r="A114" s="4">
        <v>43499.67</v>
      </c>
      <c r="B114">
        <f>DATA!M133</f>
        <v>0</v>
      </c>
      <c r="D114" s="4">
        <v>111037.23</v>
      </c>
      <c r="E114" s="4">
        <v>134198.82999999999</v>
      </c>
    </row>
    <row r="115" spans="1:5" x14ac:dyDescent="0.3">
      <c r="A115" s="4">
        <v>43527.09</v>
      </c>
      <c r="B115">
        <f>DATA!M244</f>
        <v>0</v>
      </c>
      <c r="D115" s="4">
        <v>36108.42</v>
      </c>
      <c r="E115" s="4">
        <v>84036.97</v>
      </c>
    </row>
    <row r="116" spans="1:5" x14ac:dyDescent="0.3">
      <c r="A116" s="4">
        <v>43587.17</v>
      </c>
      <c r="B116">
        <f>DATA!M224</f>
        <v>0</v>
      </c>
      <c r="D116" s="4">
        <v>33894.089999999997</v>
      </c>
      <c r="E116" s="4">
        <v>141842.12</v>
      </c>
    </row>
    <row r="117" spans="1:5" x14ac:dyDescent="0.3">
      <c r="A117" s="4">
        <v>43662.79</v>
      </c>
      <c r="B117">
        <f>DATA!M159</f>
        <v>1</v>
      </c>
      <c r="D117" s="4">
        <v>64031.99</v>
      </c>
      <c r="E117" s="4">
        <v>129494.46</v>
      </c>
    </row>
    <row r="118" spans="1:5" x14ac:dyDescent="0.3">
      <c r="A118" s="4">
        <v>43961.45</v>
      </c>
      <c r="B118">
        <f>DATA!M17</f>
        <v>1</v>
      </c>
      <c r="D118" s="4">
        <v>119070.68</v>
      </c>
      <c r="E118" s="4">
        <v>45375.97</v>
      </c>
    </row>
    <row r="119" spans="1:5" x14ac:dyDescent="0.3">
      <c r="A119" s="4">
        <v>44531.43</v>
      </c>
      <c r="B119">
        <f>DATA!M409</f>
        <v>0</v>
      </c>
      <c r="D119" s="4">
        <v>116196.88</v>
      </c>
      <c r="E119" s="4">
        <v>38969.33</v>
      </c>
    </row>
    <row r="120" spans="1:5" x14ac:dyDescent="0.3">
      <c r="A120" s="4">
        <v>45223.9</v>
      </c>
      <c r="B120">
        <f>DATA!M260</f>
        <v>1</v>
      </c>
      <c r="D120" s="4">
        <v>43527.09</v>
      </c>
      <c r="E120" s="4">
        <v>114472.4</v>
      </c>
    </row>
    <row r="121" spans="1:5" x14ac:dyDescent="0.3">
      <c r="A121" s="4">
        <v>45305.66</v>
      </c>
      <c r="B121">
        <f>DATA!M34</f>
        <v>1</v>
      </c>
      <c r="D121" s="4">
        <v>36850.699999999997</v>
      </c>
      <c r="E121" s="4">
        <v>143845.99</v>
      </c>
    </row>
    <row r="122" spans="1:5" x14ac:dyDescent="0.3">
      <c r="A122" s="4">
        <v>45375.97</v>
      </c>
      <c r="B122">
        <f>DATA!M229</f>
        <v>1</v>
      </c>
      <c r="D122" s="4">
        <v>42147.48</v>
      </c>
      <c r="E122" s="4">
        <v>37615.839999999997</v>
      </c>
    </row>
    <row r="123" spans="1:5" x14ac:dyDescent="0.3">
      <c r="A123" s="4">
        <v>45722.09</v>
      </c>
      <c r="B123">
        <f>DATA!M330</f>
        <v>0</v>
      </c>
      <c r="D123" s="4">
        <v>139671.97</v>
      </c>
      <c r="E123" s="4">
        <v>83705.740000000005</v>
      </c>
    </row>
    <row r="124" spans="1:5" x14ac:dyDescent="0.3">
      <c r="A124" s="4">
        <v>46753.37</v>
      </c>
      <c r="B124">
        <f>DATA!M488</f>
        <v>1</v>
      </c>
      <c r="D124" s="4">
        <v>122291.38</v>
      </c>
      <c r="E124" s="4">
        <v>101878.09</v>
      </c>
    </row>
    <row r="125" spans="1:5" x14ac:dyDescent="0.3">
      <c r="A125" s="4">
        <v>46765.52</v>
      </c>
      <c r="B125">
        <f>DATA!M327</f>
        <v>1</v>
      </c>
      <c r="D125" s="4">
        <v>47605.64</v>
      </c>
      <c r="E125" s="4">
        <v>52021.75</v>
      </c>
    </row>
    <row r="126" spans="1:5" x14ac:dyDescent="0.3">
      <c r="A126" s="4">
        <v>46897.41</v>
      </c>
      <c r="B126">
        <f>DATA!M257</f>
        <v>1</v>
      </c>
      <c r="D126" s="4">
        <v>107875.29</v>
      </c>
      <c r="E126" s="4">
        <v>58187.74</v>
      </c>
    </row>
    <row r="127" spans="1:5" x14ac:dyDescent="0.3">
      <c r="A127" s="4">
        <v>46958.37</v>
      </c>
      <c r="B127">
        <f>DATA!M452</f>
        <v>0</v>
      </c>
      <c r="D127" s="4">
        <v>69503.59</v>
      </c>
      <c r="E127" s="4">
        <v>38576.97</v>
      </c>
    </row>
    <row r="128" spans="1:5" x14ac:dyDescent="0.3">
      <c r="A128" s="4">
        <v>47420.92</v>
      </c>
      <c r="B128">
        <f>DATA!M324</f>
        <v>1</v>
      </c>
      <c r="D128" s="4">
        <v>122764.08</v>
      </c>
      <c r="E128" s="4">
        <v>47917.63</v>
      </c>
    </row>
    <row r="129" spans="1:5" x14ac:dyDescent="0.3">
      <c r="A129" s="4">
        <v>47605.64</v>
      </c>
      <c r="B129">
        <f>DATA!M251</f>
        <v>0</v>
      </c>
      <c r="D129" s="4">
        <v>122538.35</v>
      </c>
      <c r="E129" s="4">
        <v>78723.149999999994</v>
      </c>
    </row>
    <row r="130" spans="1:5" x14ac:dyDescent="0.3">
      <c r="A130" s="4">
        <v>47799.89</v>
      </c>
      <c r="B130">
        <f>DATA!M379</f>
        <v>0</v>
      </c>
      <c r="D130" s="4">
        <v>37047.949999999997</v>
      </c>
      <c r="E130" s="4">
        <v>60995.519999999997</v>
      </c>
    </row>
    <row r="131" spans="1:5" x14ac:dyDescent="0.3">
      <c r="A131" s="4">
        <v>47917.63</v>
      </c>
      <c r="B131">
        <f>DATA!M245</f>
        <v>1</v>
      </c>
      <c r="D131" s="4">
        <v>91754.31</v>
      </c>
      <c r="E131" s="4">
        <v>108820.32</v>
      </c>
    </row>
    <row r="132" spans="1:5" x14ac:dyDescent="0.3">
      <c r="A132" s="4">
        <v>48022.06</v>
      </c>
      <c r="B132">
        <f>DATA!M125</f>
        <v>1</v>
      </c>
      <c r="D132" s="4">
        <v>124481.95</v>
      </c>
      <c r="E132" s="4">
        <v>46897.41</v>
      </c>
    </row>
    <row r="133" spans="1:5" x14ac:dyDescent="0.3">
      <c r="A133" s="4">
        <v>48088.94</v>
      </c>
      <c r="B133">
        <f>DATA!M273</f>
        <v>1</v>
      </c>
      <c r="D133" s="4">
        <v>140183.29</v>
      </c>
      <c r="E133" s="4">
        <v>34325.360000000001</v>
      </c>
    </row>
    <row r="134" spans="1:5" x14ac:dyDescent="0.3">
      <c r="A134" s="4">
        <v>48172.94</v>
      </c>
      <c r="B134">
        <f>DATA!M479</f>
        <v>1</v>
      </c>
      <c r="D134" s="4">
        <v>105194.71</v>
      </c>
      <c r="E134" s="4">
        <v>71585.87</v>
      </c>
    </row>
    <row r="135" spans="1:5" x14ac:dyDescent="0.3">
      <c r="A135" s="4">
        <v>48255.32</v>
      </c>
      <c r="B135">
        <f>DATA!M44</f>
        <v>1</v>
      </c>
      <c r="D135" s="4">
        <v>35871.660000000003</v>
      </c>
      <c r="E135" s="4">
        <v>45223.9</v>
      </c>
    </row>
    <row r="136" spans="1:5" x14ac:dyDescent="0.3">
      <c r="A136" s="4">
        <v>48970.879999999997</v>
      </c>
      <c r="B136">
        <f>DATA!M68</f>
        <v>1</v>
      </c>
      <c r="D136" s="4">
        <v>70010.28</v>
      </c>
      <c r="E136" s="4">
        <v>33647.800000000003</v>
      </c>
    </row>
    <row r="137" spans="1:5" x14ac:dyDescent="0.3">
      <c r="A137" s="4">
        <v>49103.38</v>
      </c>
      <c r="B137">
        <f>DATA!M117</f>
        <v>1</v>
      </c>
      <c r="D137" s="4">
        <v>71072.84</v>
      </c>
      <c r="E137" s="4">
        <v>55748.58</v>
      </c>
    </row>
    <row r="138" spans="1:5" x14ac:dyDescent="0.3">
      <c r="A138" s="4">
        <v>49422.5</v>
      </c>
      <c r="B138">
        <f>DATA!M341</f>
        <v>1</v>
      </c>
      <c r="D138" s="4">
        <v>11871.68</v>
      </c>
      <c r="E138" s="4">
        <v>14640.19</v>
      </c>
    </row>
    <row r="139" spans="1:5" x14ac:dyDescent="0.3">
      <c r="A139" s="4">
        <v>49445.48</v>
      </c>
      <c r="B139">
        <f>DATA!M157</f>
        <v>1</v>
      </c>
      <c r="D139" s="4">
        <v>57363.12</v>
      </c>
      <c r="E139" s="4">
        <v>119204.73</v>
      </c>
    </row>
    <row r="140" spans="1:5" x14ac:dyDescent="0.3">
      <c r="A140" s="4">
        <v>50215.32</v>
      </c>
      <c r="B140">
        <f>DATA!M370</f>
        <v>1</v>
      </c>
      <c r="D140" s="4">
        <v>145899.54</v>
      </c>
      <c r="E140" s="4">
        <v>106385.78</v>
      </c>
    </row>
    <row r="141" spans="1:5" x14ac:dyDescent="0.3">
      <c r="A141" s="4">
        <v>50254.16</v>
      </c>
      <c r="B141">
        <f>DATA!M470</f>
        <v>0</v>
      </c>
      <c r="D141" s="4">
        <v>66758.63</v>
      </c>
      <c r="E141" s="4">
        <v>116792.39</v>
      </c>
    </row>
    <row r="142" spans="1:5" x14ac:dyDescent="0.3">
      <c r="A142" s="4">
        <v>50480.54</v>
      </c>
      <c r="B142">
        <f>DATA!M357</f>
        <v>1</v>
      </c>
      <c r="D142" s="4">
        <v>112038.87</v>
      </c>
      <c r="E142" s="4">
        <v>72099.13</v>
      </c>
    </row>
    <row r="143" spans="1:5" x14ac:dyDescent="0.3">
      <c r="A143" s="4">
        <v>50593.37</v>
      </c>
      <c r="B143">
        <f>DATA!M69</f>
        <v>0</v>
      </c>
      <c r="D143" s="4">
        <v>141751.96</v>
      </c>
      <c r="E143" s="4">
        <v>26002.71</v>
      </c>
    </row>
    <row r="144" spans="1:5" x14ac:dyDescent="0.3">
      <c r="A144" s="4">
        <v>51011.37</v>
      </c>
      <c r="B144">
        <f>DATA!M197</f>
        <v>0</v>
      </c>
      <c r="D144" s="4">
        <v>31564.75</v>
      </c>
      <c r="E144" s="4">
        <v>48088.94</v>
      </c>
    </row>
    <row r="145" spans="1:5" x14ac:dyDescent="0.3">
      <c r="A145" s="4">
        <v>51542.45</v>
      </c>
      <c r="B145">
        <f>DATA!M102</f>
        <v>0</v>
      </c>
      <c r="D145" s="4">
        <v>20310.53</v>
      </c>
      <c r="E145" s="4">
        <v>88503.02</v>
      </c>
    </row>
    <row r="146" spans="1:5" x14ac:dyDescent="0.3">
      <c r="A146" s="4">
        <v>52021.75</v>
      </c>
      <c r="B146">
        <f>DATA!M240</f>
        <v>1</v>
      </c>
      <c r="D146" s="4">
        <v>105880.01</v>
      </c>
      <c r="E146" s="4">
        <v>75036.289999999994</v>
      </c>
    </row>
    <row r="147" spans="1:5" x14ac:dyDescent="0.3">
      <c r="A147" s="4">
        <v>52394</v>
      </c>
      <c r="B147">
        <f>DATA!M449</f>
        <v>0</v>
      </c>
      <c r="D147" s="4">
        <v>118581.88</v>
      </c>
      <c r="E147" s="4">
        <v>127236.12</v>
      </c>
    </row>
    <row r="148" spans="1:5" x14ac:dyDescent="0.3">
      <c r="A148" s="4">
        <v>52816.7</v>
      </c>
      <c r="B148">
        <f>DATA!M415</f>
        <v>1</v>
      </c>
      <c r="D148" s="4">
        <v>21570.41</v>
      </c>
      <c r="E148" s="4">
        <v>23547.86</v>
      </c>
    </row>
    <row r="149" spans="1:5" x14ac:dyDescent="0.3">
      <c r="A149" s="4">
        <v>52848.11</v>
      </c>
      <c r="B149">
        <f>DATA!M3</f>
        <v>0</v>
      </c>
      <c r="D149" s="4">
        <v>129536.99</v>
      </c>
      <c r="E149" s="4">
        <v>21082.35</v>
      </c>
    </row>
    <row r="150" spans="1:5" x14ac:dyDescent="0.3">
      <c r="A150" s="4">
        <v>53475.839999999997</v>
      </c>
      <c r="B150">
        <f>DATA!M79</f>
        <v>0</v>
      </c>
      <c r="D150" s="4">
        <v>103203.97</v>
      </c>
      <c r="E150" s="4">
        <v>141248.29</v>
      </c>
    </row>
    <row r="151" spans="1:5" x14ac:dyDescent="0.3">
      <c r="A151" s="4">
        <v>54061.89</v>
      </c>
      <c r="B151">
        <f>DATA!M88</f>
        <v>0</v>
      </c>
      <c r="D151" s="4">
        <v>111373.48</v>
      </c>
      <c r="E151" s="4">
        <v>132280.03</v>
      </c>
    </row>
    <row r="152" spans="1:5" x14ac:dyDescent="0.3">
      <c r="A152" s="4">
        <v>54977.06</v>
      </c>
      <c r="B152">
        <f>DATA!M92</f>
        <v>0</v>
      </c>
      <c r="D152" s="4">
        <v>76167.42</v>
      </c>
      <c r="E152" s="4">
        <v>111365.93</v>
      </c>
    </row>
    <row r="153" spans="1:5" x14ac:dyDescent="0.3">
      <c r="A153" s="4">
        <v>55585.67</v>
      </c>
      <c r="B153">
        <f>DATA!M147</f>
        <v>0</v>
      </c>
      <c r="D153" s="4">
        <v>126187.32</v>
      </c>
      <c r="E153" s="4">
        <v>119809.36</v>
      </c>
    </row>
    <row r="154" spans="1:5" x14ac:dyDescent="0.3">
      <c r="A154" s="4">
        <v>55627.46</v>
      </c>
      <c r="B154">
        <f>DATA!M483</f>
        <v>0</v>
      </c>
      <c r="D154" s="4">
        <v>23783.4</v>
      </c>
      <c r="E154" s="4">
        <v>56250.21</v>
      </c>
    </row>
    <row r="155" spans="1:5" x14ac:dyDescent="0.3">
      <c r="A155" s="4">
        <v>55636.3</v>
      </c>
      <c r="B155">
        <f>DATA!M406</f>
        <v>1</v>
      </c>
      <c r="D155" s="4">
        <v>45722.09</v>
      </c>
      <c r="E155" s="4">
        <v>130492.75</v>
      </c>
    </row>
    <row r="156" spans="1:5" x14ac:dyDescent="0.3">
      <c r="A156" s="4">
        <v>55748.58</v>
      </c>
      <c r="B156">
        <f>DATA!M263</f>
        <v>1</v>
      </c>
      <c r="D156" s="4">
        <v>57238.53</v>
      </c>
      <c r="E156" s="4">
        <v>74150.789999999994</v>
      </c>
    </row>
    <row r="157" spans="1:5" x14ac:dyDescent="0.3">
      <c r="A157" s="4">
        <v>56017.64</v>
      </c>
      <c r="B157">
        <f>DATA!M436</f>
        <v>1</v>
      </c>
      <c r="D157" s="4">
        <v>75002.11</v>
      </c>
      <c r="E157" s="4">
        <v>14556.33</v>
      </c>
    </row>
    <row r="158" spans="1:5" x14ac:dyDescent="0.3">
      <c r="A158" s="4">
        <v>56250.21</v>
      </c>
      <c r="B158">
        <f>DATA!M287</f>
        <v>1</v>
      </c>
      <c r="D158" s="4">
        <v>107283.07</v>
      </c>
      <c r="E158" s="4">
        <v>107683.81</v>
      </c>
    </row>
    <row r="159" spans="1:5" x14ac:dyDescent="0.3">
      <c r="A159" s="4">
        <v>56454.41</v>
      </c>
      <c r="B159">
        <f>DATA!M412</f>
        <v>1</v>
      </c>
      <c r="D159" s="4">
        <v>124392.15</v>
      </c>
      <c r="E159" s="4">
        <v>102035.16</v>
      </c>
    </row>
    <row r="160" spans="1:5" x14ac:dyDescent="0.3">
      <c r="A160" s="4">
        <v>56949.24</v>
      </c>
      <c r="B160">
        <f>DATA!M56</f>
        <v>0</v>
      </c>
      <c r="D160" s="4">
        <v>15514.32</v>
      </c>
      <c r="E160" s="4">
        <v>140486.14000000001</v>
      </c>
    </row>
    <row r="161" spans="1:5" x14ac:dyDescent="0.3">
      <c r="A161" s="4">
        <v>57083.95</v>
      </c>
      <c r="B161">
        <f>DATA!M27</f>
        <v>0</v>
      </c>
      <c r="D161" s="4">
        <v>12942.16</v>
      </c>
      <c r="E161" s="4">
        <v>24566</v>
      </c>
    </row>
    <row r="162" spans="1:5" x14ac:dyDescent="0.3">
      <c r="A162" s="4">
        <v>57175.83</v>
      </c>
      <c r="B162">
        <f>DATA!M310</f>
        <v>1</v>
      </c>
      <c r="D162" s="4">
        <v>140925.68</v>
      </c>
      <c r="E162" s="4">
        <v>105985.33</v>
      </c>
    </row>
    <row r="163" spans="1:5" x14ac:dyDescent="0.3">
      <c r="A163" s="4">
        <v>57238.53</v>
      </c>
      <c r="B163">
        <f>DATA!M331</f>
        <v>0</v>
      </c>
      <c r="D163" s="4">
        <v>35048.160000000003</v>
      </c>
      <c r="E163" s="4">
        <v>137236.54</v>
      </c>
    </row>
    <row r="164" spans="1:5" x14ac:dyDescent="0.3">
      <c r="A164" s="4">
        <v>57363.12</v>
      </c>
      <c r="B164">
        <f>DATA!M291</f>
        <v>0</v>
      </c>
      <c r="D164" s="4">
        <v>129607.96</v>
      </c>
      <c r="E164" s="4">
        <v>135716.10999999999</v>
      </c>
    </row>
    <row r="165" spans="1:5" x14ac:dyDescent="0.3">
      <c r="A165" s="4">
        <v>57395.97</v>
      </c>
      <c r="B165">
        <f>DATA!M458</f>
        <v>0</v>
      </c>
      <c r="D165" s="4">
        <v>112678.04</v>
      </c>
      <c r="E165" s="4">
        <v>57175.83</v>
      </c>
    </row>
    <row r="166" spans="1:5" x14ac:dyDescent="0.3">
      <c r="A166" s="4">
        <v>57614.96</v>
      </c>
      <c r="B166">
        <f>DATA!M174</f>
        <v>1</v>
      </c>
      <c r="D166" s="4">
        <v>89777.41</v>
      </c>
      <c r="E166" s="4">
        <v>87583.039999999994</v>
      </c>
    </row>
    <row r="167" spans="1:5" x14ac:dyDescent="0.3">
      <c r="A167" s="4">
        <v>57655.65</v>
      </c>
      <c r="B167">
        <f>DATA!M142</f>
        <v>1</v>
      </c>
      <c r="D167" s="4">
        <v>77933.48</v>
      </c>
      <c r="E167" s="4">
        <v>87838.32</v>
      </c>
    </row>
    <row r="168" spans="1:5" x14ac:dyDescent="0.3">
      <c r="A168" s="4">
        <v>58187.74</v>
      </c>
      <c r="B168">
        <f>DATA!M241</f>
        <v>1</v>
      </c>
      <c r="D168" s="4">
        <v>132665.07999999999</v>
      </c>
      <c r="E168" s="4">
        <v>90381.04</v>
      </c>
    </row>
    <row r="169" spans="1:5" x14ac:dyDescent="0.3">
      <c r="A169" s="4">
        <v>58389.15</v>
      </c>
      <c r="B169">
        <f>DATA!M416</f>
        <v>1</v>
      </c>
      <c r="D169" s="4">
        <v>122633.44</v>
      </c>
      <c r="E169" s="4">
        <v>90227.36</v>
      </c>
    </row>
    <row r="170" spans="1:5" x14ac:dyDescent="0.3">
      <c r="A170" s="4">
        <v>58513.24</v>
      </c>
      <c r="B170">
        <f>DATA!M481</f>
        <v>0</v>
      </c>
      <c r="D170" s="4">
        <v>15699.41</v>
      </c>
      <c r="E170" s="4">
        <v>106046.27</v>
      </c>
    </row>
    <row r="171" spans="1:5" x14ac:dyDescent="0.3">
      <c r="A171" s="4">
        <v>58708.71</v>
      </c>
      <c r="B171">
        <f>DATA!M13</f>
        <v>1</v>
      </c>
      <c r="D171" s="4">
        <v>130825.14</v>
      </c>
      <c r="E171" s="4">
        <v>29342.26</v>
      </c>
    </row>
    <row r="172" spans="1:5" x14ac:dyDescent="0.3">
      <c r="A172" s="4">
        <v>59452.54</v>
      </c>
      <c r="B172">
        <f>DATA!M194</f>
        <v>1</v>
      </c>
      <c r="D172" s="4">
        <v>81521.02</v>
      </c>
      <c r="E172" s="4">
        <v>148688.76999999999</v>
      </c>
    </row>
    <row r="173" spans="1:5" x14ac:dyDescent="0.3">
      <c r="A173" s="4">
        <v>59763.13</v>
      </c>
      <c r="B173">
        <f>DATA!M136</f>
        <v>1</v>
      </c>
      <c r="D173" s="4">
        <v>27505.16</v>
      </c>
      <c r="E173" s="4">
        <v>129283.37</v>
      </c>
    </row>
    <row r="174" spans="1:5" x14ac:dyDescent="0.3">
      <c r="A174" s="4">
        <v>60075.81</v>
      </c>
      <c r="B174">
        <f>DATA!M76</f>
        <v>0</v>
      </c>
      <c r="D174" s="4">
        <v>135514.51</v>
      </c>
      <c r="E174" s="4">
        <v>100083.34</v>
      </c>
    </row>
    <row r="175" spans="1:5" x14ac:dyDescent="0.3">
      <c r="A175" s="4">
        <v>60175.22</v>
      </c>
      <c r="B175">
        <f>DATA!M150</f>
        <v>1</v>
      </c>
      <c r="D175" s="4">
        <v>96850.83</v>
      </c>
      <c r="E175" s="4">
        <v>47420.92</v>
      </c>
    </row>
    <row r="176" spans="1:5" x14ac:dyDescent="0.3">
      <c r="A176" s="4">
        <v>60737.81</v>
      </c>
      <c r="B176">
        <f>DATA!M385</f>
        <v>0</v>
      </c>
      <c r="D176" s="4">
        <v>70802.91</v>
      </c>
      <c r="E176" s="4">
        <v>94143.76</v>
      </c>
    </row>
    <row r="177" spans="1:5" x14ac:dyDescent="0.3">
      <c r="A177" s="4">
        <v>60885.4</v>
      </c>
      <c r="B177">
        <f>DATA!M64</f>
        <v>1</v>
      </c>
      <c r="D177" s="4">
        <v>97501.27</v>
      </c>
      <c r="E177" s="4">
        <v>46765.52</v>
      </c>
    </row>
    <row r="178" spans="1:5" x14ac:dyDescent="0.3">
      <c r="A178" s="4">
        <v>60995.519999999997</v>
      </c>
      <c r="B178">
        <f>DATA!M253</f>
        <v>1</v>
      </c>
      <c r="D178" s="4">
        <v>43482.28</v>
      </c>
      <c r="E178" s="4">
        <v>127716.72</v>
      </c>
    </row>
    <row r="179" spans="1:5" x14ac:dyDescent="0.3">
      <c r="A179" s="4">
        <v>61080.02</v>
      </c>
      <c r="B179">
        <f>DATA!M105</f>
        <v>1</v>
      </c>
      <c r="D179" s="4">
        <v>47799.89</v>
      </c>
      <c r="E179" s="4">
        <v>27387.77</v>
      </c>
    </row>
    <row r="180" spans="1:5" x14ac:dyDescent="0.3">
      <c r="A180" s="4">
        <v>61207.9</v>
      </c>
      <c r="B180">
        <f>DATA!M396</f>
        <v>1</v>
      </c>
      <c r="D180" s="4">
        <v>60737.81</v>
      </c>
      <c r="E180" s="4">
        <v>117202.4</v>
      </c>
    </row>
    <row r="181" spans="1:5" x14ac:dyDescent="0.3">
      <c r="A181" s="4">
        <v>61220.89</v>
      </c>
      <c r="B181">
        <f>DATA!M212</f>
        <v>1</v>
      </c>
      <c r="D181" s="4">
        <v>64850.98</v>
      </c>
      <c r="E181" s="4">
        <v>67005.429999999993</v>
      </c>
    </row>
    <row r="182" spans="1:5" x14ac:dyDescent="0.3">
      <c r="A182" s="4">
        <v>62160.12</v>
      </c>
      <c r="B182">
        <f>DATA!M180</f>
        <v>1</v>
      </c>
      <c r="D182" s="4">
        <v>21108.79</v>
      </c>
      <c r="E182" s="4">
        <v>37164.6</v>
      </c>
    </row>
    <row r="183" spans="1:5" x14ac:dyDescent="0.3">
      <c r="A183" s="4">
        <v>62313.56</v>
      </c>
      <c r="B183">
        <f>DATA!M471</f>
        <v>0</v>
      </c>
      <c r="D183" s="4">
        <v>134066.89000000001</v>
      </c>
      <c r="E183" s="4">
        <v>125784.2</v>
      </c>
    </row>
    <row r="184" spans="1:5" x14ac:dyDescent="0.3">
      <c r="A184" s="4">
        <v>63609.91</v>
      </c>
      <c r="B184">
        <f>DATA!M439</f>
        <v>0</v>
      </c>
      <c r="D184" s="4">
        <v>12942.78</v>
      </c>
      <c r="E184" s="4">
        <v>33868.199999999997</v>
      </c>
    </row>
    <row r="185" spans="1:5" x14ac:dyDescent="0.3">
      <c r="A185" s="4">
        <v>64031.99</v>
      </c>
      <c r="B185">
        <f>DATA!M238</f>
        <v>0</v>
      </c>
      <c r="D185" s="4">
        <v>81839.69</v>
      </c>
      <c r="E185" s="4">
        <v>108174.82</v>
      </c>
    </row>
    <row r="186" spans="1:5" x14ac:dyDescent="0.3">
      <c r="A186" s="4">
        <v>64388.61</v>
      </c>
      <c r="B186">
        <f>DATA!M399</f>
        <v>0</v>
      </c>
      <c r="D186" s="4">
        <v>121798.16</v>
      </c>
      <c r="E186" s="4">
        <v>49422.5</v>
      </c>
    </row>
    <row r="187" spans="1:5" x14ac:dyDescent="0.3">
      <c r="A187" s="4">
        <v>64420.160000000003</v>
      </c>
      <c r="B187">
        <f>DATA!M429</f>
        <v>1</v>
      </c>
      <c r="D187" s="4">
        <v>64388.61</v>
      </c>
      <c r="E187" s="4">
        <v>145049.72</v>
      </c>
    </row>
    <row r="188" spans="1:5" x14ac:dyDescent="0.3">
      <c r="A188" s="4">
        <v>64833.38</v>
      </c>
      <c r="B188">
        <f>DATA!M474</f>
        <v>0</v>
      </c>
      <c r="D188" s="4">
        <v>127051.78</v>
      </c>
      <c r="E188" s="4">
        <v>118783.64</v>
      </c>
    </row>
    <row r="189" spans="1:5" x14ac:dyDescent="0.3">
      <c r="A189" s="4">
        <v>64850.98</v>
      </c>
      <c r="B189">
        <f>DATA!M386</f>
        <v>0</v>
      </c>
      <c r="D189" s="4">
        <v>22278.37</v>
      </c>
      <c r="E189" s="4">
        <v>17554.759999999998</v>
      </c>
    </row>
    <row r="190" spans="1:5" x14ac:dyDescent="0.3">
      <c r="A190" s="4">
        <v>64920.41</v>
      </c>
      <c r="B190">
        <f>DATA!M47</f>
        <v>1</v>
      </c>
      <c r="D190" s="4">
        <v>41989.11</v>
      </c>
      <c r="E190" s="4">
        <v>104636.55</v>
      </c>
    </row>
    <row r="191" spans="1:5" x14ac:dyDescent="0.3">
      <c r="A191" s="4">
        <v>65189.1</v>
      </c>
      <c r="B191">
        <f>DATA!M7</f>
        <v>0</v>
      </c>
      <c r="D191" s="4">
        <v>44531.43</v>
      </c>
      <c r="E191" s="4">
        <v>16581.23</v>
      </c>
    </row>
    <row r="192" spans="1:5" x14ac:dyDescent="0.3">
      <c r="A192" s="4">
        <v>65451.93</v>
      </c>
      <c r="B192">
        <f>DATA!M114</f>
        <v>0</v>
      </c>
      <c r="D192" s="4">
        <v>76620.289999999994</v>
      </c>
      <c r="E192" s="4">
        <v>146255.76999999999</v>
      </c>
    </row>
    <row r="193" spans="1:5" x14ac:dyDescent="0.3">
      <c r="A193" s="4">
        <v>66758.63</v>
      </c>
      <c r="B193">
        <f>DATA!M294</f>
        <v>0</v>
      </c>
      <c r="D193" s="4">
        <v>135558.76</v>
      </c>
      <c r="E193" s="4">
        <v>100509.25</v>
      </c>
    </row>
    <row r="194" spans="1:5" x14ac:dyDescent="0.3">
      <c r="A194" s="4">
        <v>66914.649999999994</v>
      </c>
      <c r="B194">
        <f>DATA!M163</f>
        <v>0</v>
      </c>
      <c r="D194" s="4">
        <v>117045.7</v>
      </c>
      <c r="E194" s="4">
        <v>50480.54</v>
      </c>
    </row>
    <row r="195" spans="1:5" x14ac:dyDescent="0.3">
      <c r="A195" s="4">
        <v>67005.429999999993</v>
      </c>
      <c r="B195">
        <f>DATA!M335</f>
        <v>1</v>
      </c>
      <c r="D195" s="4">
        <v>131045.9</v>
      </c>
      <c r="E195" s="4">
        <v>117465.12</v>
      </c>
    </row>
    <row r="196" spans="1:5" x14ac:dyDescent="0.3">
      <c r="A196" s="4">
        <v>67354.759999999995</v>
      </c>
      <c r="B196">
        <f>DATA!M419</f>
        <v>1</v>
      </c>
      <c r="D196" s="4">
        <v>90275.78</v>
      </c>
      <c r="E196" s="4">
        <v>26370.52</v>
      </c>
    </row>
    <row r="197" spans="1:5" x14ac:dyDescent="0.3">
      <c r="A197" s="4">
        <v>67445.009999999995</v>
      </c>
      <c r="B197">
        <f>DATA!M75</f>
        <v>0</v>
      </c>
      <c r="D197" s="4">
        <v>71091.44</v>
      </c>
      <c r="E197" s="4">
        <v>13741.1</v>
      </c>
    </row>
    <row r="198" spans="1:5" x14ac:dyDescent="0.3">
      <c r="A198" s="4">
        <v>67984.02</v>
      </c>
      <c r="B198">
        <f>DATA!M410</f>
        <v>1</v>
      </c>
      <c r="D198" s="4">
        <v>120900.9</v>
      </c>
      <c r="E198" s="4">
        <v>36418.230000000003</v>
      </c>
    </row>
    <row r="199" spans="1:5" x14ac:dyDescent="0.3">
      <c r="A199" s="4">
        <v>68374.880000000005</v>
      </c>
      <c r="B199">
        <f>DATA!M66</f>
        <v>1</v>
      </c>
      <c r="D199" s="4">
        <v>99026.41</v>
      </c>
      <c r="E199" s="4">
        <v>37239.08</v>
      </c>
    </row>
    <row r="200" spans="1:5" x14ac:dyDescent="0.3">
      <c r="A200" s="4">
        <v>68485.740000000005</v>
      </c>
      <c r="B200">
        <f>DATA!M437</f>
        <v>1</v>
      </c>
      <c r="D200" s="4">
        <v>63609.91</v>
      </c>
      <c r="E200" s="4">
        <v>139041.32999999999</v>
      </c>
    </row>
    <row r="201" spans="1:5" x14ac:dyDescent="0.3">
      <c r="A201" s="4">
        <v>69503.59</v>
      </c>
      <c r="B201">
        <f>DATA!M254</f>
        <v>0</v>
      </c>
      <c r="D201" s="4">
        <v>84684</v>
      </c>
      <c r="E201" s="4">
        <v>50215.32</v>
      </c>
    </row>
    <row r="202" spans="1:5" x14ac:dyDescent="0.3">
      <c r="A202" s="4">
        <v>69509.759999999995</v>
      </c>
      <c r="B202">
        <f>DATA!M155</f>
        <v>1</v>
      </c>
      <c r="D202" s="4">
        <v>107521.29</v>
      </c>
      <c r="E202" s="4">
        <v>91193.31</v>
      </c>
    </row>
    <row r="203" spans="1:5" x14ac:dyDescent="0.3">
      <c r="A203" s="4">
        <v>69683.199999999997</v>
      </c>
      <c r="B203">
        <f>DATA!M435</f>
        <v>1</v>
      </c>
      <c r="D203" s="4">
        <v>52394</v>
      </c>
      <c r="E203" s="4">
        <v>112863.73</v>
      </c>
    </row>
    <row r="204" spans="1:5" x14ac:dyDescent="0.3">
      <c r="A204" s="4">
        <v>69952.509999999995</v>
      </c>
      <c r="B204">
        <f>DATA!M398</f>
        <v>1</v>
      </c>
      <c r="D204" s="4">
        <v>88360.27</v>
      </c>
      <c r="E204" s="4">
        <v>134929.35</v>
      </c>
    </row>
    <row r="205" spans="1:5" x14ac:dyDescent="0.3">
      <c r="A205" s="4">
        <v>69975.320000000007</v>
      </c>
      <c r="B205">
        <f>DATA!M209</f>
        <v>0</v>
      </c>
      <c r="D205" s="4">
        <v>46958.37</v>
      </c>
      <c r="E205" s="4">
        <v>119298.33</v>
      </c>
    </row>
    <row r="206" spans="1:5" x14ac:dyDescent="0.3">
      <c r="A206" s="4">
        <v>70010.28</v>
      </c>
      <c r="B206">
        <f>DATA!M284</f>
        <v>0</v>
      </c>
      <c r="D206" s="4">
        <v>141964.46</v>
      </c>
      <c r="E206" s="4">
        <v>111705.43</v>
      </c>
    </row>
    <row r="207" spans="1:5" x14ac:dyDescent="0.3">
      <c r="A207" s="4">
        <v>70775.05</v>
      </c>
      <c r="B207">
        <f>DATA!M143</f>
        <v>0</v>
      </c>
      <c r="D207" s="4">
        <v>111640.94</v>
      </c>
      <c r="E207" s="4">
        <v>103883.72</v>
      </c>
    </row>
    <row r="208" spans="1:5" x14ac:dyDescent="0.3">
      <c r="A208" s="4">
        <v>70802.91</v>
      </c>
      <c r="B208">
        <f>DATA!M375</f>
        <v>0</v>
      </c>
      <c r="D208" s="4">
        <v>132228.18</v>
      </c>
      <c r="E208" s="4">
        <v>82707.83</v>
      </c>
    </row>
    <row r="209" spans="1:5" x14ac:dyDescent="0.3">
      <c r="A209" s="4">
        <v>71072.84</v>
      </c>
      <c r="B209">
        <f>DATA!M288</f>
        <v>0</v>
      </c>
      <c r="D209" s="4">
        <v>57395.97</v>
      </c>
      <c r="E209" s="4">
        <v>128261.18</v>
      </c>
    </row>
    <row r="210" spans="1:5" x14ac:dyDescent="0.3">
      <c r="A210" s="4">
        <v>71091.44</v>
      </c>
      <c r="B210">
        <f>DATA!M431</f>
        <v>0</v>
      </c>
      <c r="D210" s="4">
        <v>118614.97</v>
      </c>
      <c r="E210" s="4">
        <v>73777.070000000007</v>
      </c>
    </row>
    <row r="211" spans="1:5" x14ac:dyDescent="0.3">
      <c r="A211" s="4">
        <v>71242.42</v>
      </c>
      <c r="B211">
        <f>DATA!M403</f>
        <v>1</v>
      </c>
      <c r="D211" s="4">
        <v>101660.52</v>
      </c>
      <c r="E211" s="4">
        <v>35799.879999999997</v>
      </c>
    </row>
    <row r="212" spans="1:5" x14ac:dyDescent="0.3">
      <c r="A212" s="4">
        <v>71498.5</v>
      </c>
      <c r="B212">
        <f>DATA!M106</f>
        <v>1</v>
      </c>
      <c r="D212" s="4">
        <v>50254.16</v>
      </c>
      <c r="E212" s="4">
        <v>97218.44</v>
      </c>
    </row>
    <row r="213" spans="1:5" x14ac:dyDescent="0.3">
      <c r="A213" s="4">
        <v>71585.87</v>
      </c>
      <c r="B213">
        <f>DATA!M259</f>
        <v>1</v>
      </c>
      <c r="D213" s="4">
        <v>62313.56</v>
      </c>
      <c r="E213" s="4">
        <v>99695.37</v>
      </c>
    </row>
    <row r="214" spans="1:5" x14ac:dyDescent="0.3">
      <c r="A214" s="4">
        <v>71646.19</v>
      </c>
      <c r="B214">
        <f>DATA!M22</f>
        <v>1</v>
      </c>
      <c r="D214" s="4">
        <v>64833.38</v>
      </c>
      <c r="E214" s="4">
        <v>61207.9</v>
      </c>
    </row>
    <row r="215" spans="1:5" x14ac:dyDescent="0.3">
      <c r="A215" s="4">
        <v>72099.13</v>
      </c>
      <c r="B215">
        <f>DATA!M271</f>
        <v>1</v>
      </c>
      <c r="D215" s="4">
        <v>76895.64</v>
      </c>
      <c r="E215" s="4">
        <v>69952.509999999995</v>
      </c>
    </row>
    <row r="216" spans="1:5" x14ac:dyDescent="0.3">
      <c r="A216" s="4">
        <v>72202.649999999994</v>
      </c>
      <c r="B216">
        <f>DATA!M195</f>
        <v>1</v>
      </c>
      <c r="D216" s="4">
        <v>146557.31</v>
      </c>
      <c r="E216" s="4">
        <v>97693.26</v>
      </c>
    </row>
    <row r="217" spans="1:5" x14ac:dyDescent="0.3">
      <c r="A217" s="4">
        <v>72274.3</v>
      </c>
      <c r="B217">
        <f>DATA!M220</f>
        <v>0</v>
      </c>
      <c r="D217" s="4">
        <v>124013.91</v>
      </c>
      <c r="E217" s="4">
        <v>71242.42</v>
      </c>
    </row>
    <row r="218" spans="1:5" x14ac:dyDescent="0.3">
      <c r="A218" s="4">
        <v>72303.199999999997</v>
      </c>
      <c r="B218">
        <f>DATA!M450</f>
        <v>1</v>
      </c>
      <c r="D218" s="4">
        <v>58513.24</v>
      </c>
      <c r="E218" s="4">
        <v>76217.14</v>
      </c>
    </row>
    <row r="219" spans="1:5" x14ac:dyDescent="0.3">
      <c r="A219" s="4">
        <v>73040.67</v>
      </c>
      <c r="B219">
        <f>DATA!M154</f>
        <v>1</v>
      </c>
      <c r="D219" s="4">
        <v>100372.28</v>
      </c>
      <c r="E219" s="4">
        <v>84471.69</v>
      </c>
    </row>
    <row r="220" spans="1:5" x14ac:dyDescent="0.3">
      <c r="A220" s="4">
        <v>73777.070000000007</v>
      </c>
      <c r="B220">
        <f>DATA!M391</f>
        <v>1</v>
      </c>
      <c r="D220" s="4">
        <v>55627.46</v>
      </c>
      <c r="E220" s="4">
        <v>55636.3</v>
      </c>
    </row>
    <row r="221" spans="1:5" x14ac:dyDescent="0.3">
      <c r="A221" s="4">
        <v>74035.929999999993</v>
      </c>
      <c r="B221">
        <f>DATA!M448</f>
        <v>1</v>
      </c>
      <c r="D221" s="4">
        <v>37534.69</v>
      </c>
      <c r="E221" s="4">
        <v>35708.43</v>
      </c>
    </row>
    <row r="222" spans="1:5" x14ac:dyDescent="0.3">
      <c r="A222" s="4">
        <v>74150.789999999994</v>
      </c>
      <c r="B222">
        <f>DATA!M293</f>
        <v>1</v>
      </c>
      <c r="D222" s="4">
        <v>91069.46</v>
      </c>
      <c r="E222" s="4">
        <v>67984.02</v>
      </c>
    </row>
    <row r="223" spans="1:5" x14ac:dyDescent="0.3">
      <c r="A223" s="4">
        <v>74188.759999999995</v>
      </c>
      <c r="B223">
        <f>DATA!M108</f>
        <v>0</v>
      </c>
      <c r="D223" s="4">
        <v>105135.87</v>
      </c>
      <c r="E223" s="4">
        <v>87532.67</v>
      </c>
    </row>
    <row r="224" spans="1:5" x14ac:dyDescent="0.3">
      <c r="A224" s="4">
        <v>75002.11</v>
      </c>
      <c r="B224">
        <f>DATA!M333</f>
        <v>0</v>
      </c>
      <c r="D224" s="4">
        <v>125551.64</v>
      </c>
      <c r="E224" s="4">
        <v>56454.41</v>
      </c>
    </row>
    <row r="225" spans="1:5" x14ac:dyDescent="0.3">
      <c r="A225" s="4">
        <v>75036.289999999994</v>
      </c>
      <c r="B225">
        <f>DATA!M278</f>
        <v>1</v>
      </c>
      <c r="D225" s="4">
        <v>39633.65</v>
      </c>
      <c r="E225" s="4">
        <v>125590.02</v>
      </c>
    </row>
    <row r="226" spans="1:5" x14ac:dyDescent="0.3">
      <c r="A226" s="4">
        <v>75419.12</v>
      </c>
      <c r="B226">
        <f>DATA!M112</f>
        <v>0</v>
      </c>
      <c r="D226" s="4">
        <v>136772.28</v>
      </c>
      <c r="E226" s="4">
        <v>52816.7</v>
      </c>
    </row>
    <row r="227" spans="1:5" x14ac:dyDescent="0.3">
      <c r="A227" s="4">
        <v>75716.98</v>
      </c>
      <c r="B227">
        <f>DATA!M161</f>
        <v>1</v>
      </c>
      <c r="D227" s="4">
        <v>131084.15</v>
      </c>
      <c r="E227" s="4">
        <v>58389.15</v>
      </c>
    </row>
    <row r="228" spans="1:5" x14ac:dyDescent="0.3">
      <c r="A228" s="4">
        <v>76101.240000000005</v>
      </c>
      <c r="B228">
        <f>DATA!M118</f>
        <v>1</v>
      </c>
      <c r="D228" s="4">
        <v>11580.61</v>
      </c>
      <c r="E228" s="4">
        <v>148498.85</v>
      </c>
    </row>
    <row r="229" spans="1:5" x14ac:dyDescent="0.3">
      <c r="A229" s="4">
        <v>76167.42</v>
      </c>
      <c r="B229">
        <f>DATA!M322</f>
        <v>0</v>
      </c>
      <c r="D229" s="4">
        <v>148752.49</v>
      </c>
      <c r="E229" s="4">
        <v>102614.36</v>
      </c>
    </row>
    <row r="230" spans="1:5" x14ac:dyDescent="0.3">
      <c r="A230" s="4">
        <v>76217.14</v>
      </c>
      <c r="B230">
        <f>DATA!M404</f>
        <v>1</v>
      </c>
      <c r="E230" s="4">
        <v>67354.759999999995</v>
      </c>
    </row>
    <row r="231" spans="1:5" x14ac:dyDescent="0.3">
      <c r="A231" s="4">
        <v>76620.289999999994</v>
      </c>
      <c r="B231">
        <f>DATA!M414</f>
        <v>0</v>
      </c>
      <c r="E231" s="4">
        <v>32556.34</v>
      </c>
    </row>
    <row r="232" spans="1:5" x14ac:dyDescent="0.3">
      <c r="A232" s="4">
        <v>76895.64</v>
      </c>
      <c r="B232">
        <f>DATA!M476</f>
        <v>0</v>
      </c>
      <c r="E232" s="4">
        <v>122338.51</v>
      </c>
    </row>
    <row r="233" spans="1:5" x14ac:dyDescent="0.3">
      <c r="A233" s="4">
        <v>77215.990000000005</v>
      </c>
      <c r="B233">
        <f>DATA!M425</f>
        <v>1</v>
      </c>
      <c r="E233" s="4">
        <v>77215.990000000005</v>
      </c>
    </row>
    <row r="234" spans="1:5" x14ac:dyDescent="0.3">
      <c r="A234" s="4">
        <v>77687.86</v>
      </c>
      <c r="B234">
        <f>DATA!M178</f>
        <v>0</v>
      </c>
      <c r="E234" s="4">
        <v>19540.71</v>
      </c>
    </row>
    <row r="235" spans="1:5" x14ac:dyDescent="0.3">
      <c r="A235" s="4">
        <v>77933.48</v>
      </c>
      <c r="B235">
        <f>DATA!M359</f>
        <v>0</v>
      </c>
      <c r="E235" s="4">
        <v>22885.14</v>
      </c>
    </row>
    <row r="236" spans="1:5" x14ac:dyDescent="0.3">
      <c r="A236" s="4">
        <v>78723.149999999994</v>
      </c>
      <c r="B236">
        <f>DATA!M246</f>
        <v>1</v>
      </c>
      <c r="E236" s="4">
        <v>64420.160000000003</v>
      </c>
    </row>
    <row r="237" spans="1:5" x14ac:dyDescent="0.3">
      <c r="A237" s="4">
        <v>80375.98</v>
      </c>
      <c r="B237">
        <f>DATA!M166</f>
        <v>0</v>
      </c>
      <c r="E237" s="4">
        <v>19915.18</v>
      </c>
    </row>
    <row r="238" spans="1:5" x14ac:dyDescent="0.3">
      <c r="A238" s="4">
        <v>80855.009999999995</v>
      </c>
      <c r="B238">
        <f>DATA!M472</f>
        <v>1</v>
      </c>
      <c r="E238" s="4">
        <v>40101.64</v>
      </c>
    </row>
    <row r="239" spans="1:5" x14ac:dyDescent="0.3">
      <c r="A239" s="4">
        <v>81112.42</v>
      </c>
      <c r="B239">
        <f>DATA!M95</f>
        <v>0</v>
      </c>
      <c r="E239" s="4">
        <v>111156.24</v>
      </c>
    </row>
    <row r="240" spans="1:5" x14ac:dyDescent="0.3">
      <c r="A240" s="4">
        <v>81519.78</v>
      </c>
      <c r="B240">
        <f>DATA!M43</f>
        <v>0</v>
      </c>
      <c r="E240" s="4">
        <v>69683.199999999997</v>
      </c>
    </row>
    <row r="241" spans="1:5" x14ac:dyDescent="0.3">
      <c r="A241" s="4">
        <v>81521.02</v>
      </c>
      <c r="B241">
        <f>DATA!M369</f>
        <v>0</v>
      </c>
      <c r="E241" s="4">
        <v>56017.64</v>
      </c>
    </row>
    <row r="242" spans="1:5" x14ac:dyDescent="0.3">
      <c r="A242" s="4">
        <v>81668.89</v>
      </c>
      <c r="B242">
        <f>DATA!M130</f>
        <v>0</v>
      </c>
      <c r="E242" s="4">
        <v>68485.740000000005</v>
      </c>
    </row>
    <row r="243" spans="1:5" x14ac:dyDescent="0.3">
      <c r="A243" s="4">
        <v>81684.84</v>
      </c>
      <c r="B243">
        <f>DATA!M492</f>
        <v>1</v>
      </c>
      <c r="E243" s="4">
        <v>20477.41</v>
      </c>
    </row>
    <row r="244" spans="1:5" x14ac:dyDescent="0.3">
      <c r="A244" s="4">
        <v>81839.69</v>
      </c>
      <c r="B244">
        <f>DATA!M394</f>
        <v>0</v>
      </c>
      <c r="E244" s="4">
        <v>102957.36</v>
      </c>
    </row>
    <row r="245" spans="1:5" x14ac:dyDescent="0.3">
      <c r="A245" s="4">
        <v>82176.899999999994</v>
      </c>
      <c r="B245">
        <f>DATA!M214</f>
        <v>0</v>
      </c>
      <c r="E245" s="4">
        <v>30241.09</v>
      </c>
    </row>
    <row r="246" spans="1:5" x14ac:dyDescent="0.3">
      <c r="A246" s="4">
        <v>82220.31</v>
      </c>
      <c r="B246">
        <f>DATA!M38</f>
        <v>0</v>
      </c>
      <c r="E246" s="4">
        <v>33648.46</v>
      </c>
    </row>
    <row r="247" spans="1:5" x14ac:dyDescent="0.3">
      <c r="A247" s="4">
        <v>82220.31</v>
      </c>
      <c r="B247">
        <f>DATA!M31</f>
        <v>1</v>
      </c>
      <c r="E247" s="4">
        <v>148736.87</v>
      </c>
    </row>
    <row r="248" spans="1:5" x14ac:dyDescent="0.3">
      <c r="A248" s="4">
        <v>82220.31</v>
      </c>
      <c r="B248">
        <f>DATA!M42</f>
        <v>1</v>
      </c>
      <c r="E248" s="4">
        <v>136504.93</v>
      </c>
    </row>
    <row r="249" spans="1:5" x14ac:dyDescent="0.3">
      <c r="A249" s="4">
        <v>82707.83</v>
      </c>
      <c r="B249">
        <f>DATA!M384</f>
        <v>1</v>
      </c>
      <c r="E249" s="4">
        <v>74035.929999999993</v>
      </c>
    </row>
    <row r="250" spans="1:5" x14ac:dyDescent="0.3">
      <c r="A250" s="4">
        <v>82791.570000000007</v>
      </c>
      <c r="B250">
        <f>DATA!M121</f>
        <v>1</v>
      </c>
      <c r="E250" s="4">
        <v>72303.199999999997</v>
      </c>
    </row>
    <row r="251" spans="1:5" x14ac:dyDescent="0.3">
      <c r="A251" s="4">
        <v>83705.740000000005</v>
      </c>
      <c r="B251">
        <f>DATA!M235</f>
        <v>1</v>
      </c>
      <c r="E251" s="4">
        <v>111036.69</v>
      </c>
    </row>
    <row r="252" spans="1:5" x14ac:dyDescent="0.3">
      <c r="A252" s="4">
        <v>84036.97</v>
      </c>
      <c r="B252">
        <f>DATA!M219</f>
        <v>1</v>
      </c>
      <c r="E252" s="4">
        <v>13370.94</v>
      </c>
    </row>
    <row r="253" spans="1:5" x14ac:dyDescent="0.3">
      <c r="A253" s="4">
        <v>84471.69</v>
      </c>
      <c r="B253">
        <f>DATA!M405</f>
        <v>1</v>
      </c>
      <c r="E253" s="4">
        <v>140478.74</v>
      </c>
    </row>
    <row r="254" spans="1:5" x14ac:dyDescent="0.3">
      <c r="A254" s="4">
        <v>84684</v>
      </c>
      <c r="B254">
        <f>DATA!M440</f>
        <v>0</v>
      </c>
      <c r="E254" s="4">
        <v>148617.01</v>
      </c>
    </row>
    <row r="255" spans="1:5" x14ac:dyDescent="0.3">
      <c r="A255" s="4">
        <v>84784.47</v>
      </c>
      <c r="B255">
        <f>DATA!M120</f>
        <v>0</v>
      </c>
      <c r="E255" s="4">
        <v>35122.36</v>
      </c>
    </row>
    <row r="256" spans="1:5" x14ac:dyDescent="0.3">
      <c r="A256" s="4">
        <v>85565.14</v>
      </c>
      <c r="B256">
        <f>DATA!M500</f>
        <v>1</v>
      </c>
      <c r="E256" s="4">
        <v>90411.33</v>
      </c>
    </row>
    <row r="257" spans="1:5" x14ac:dyDescent="0.3">
      <c r="A257" s="4">
        <v>86343.96</v>
      </c>
      <c r="B257">
        <f>DATA!M65</f>
        <v>0</v>
      </c>
      <c r="E257" s="4">
        <v>131348.78</v>
      </c>
    </row>
    <row r="258" spans="1:5" x14ac:dyDescent="0.3">
      <c r="A258" s="4">
        <v>86790.47</v>
      </c>
      <c r="B258">
        <f>DATA!M169</f>
        <v>0</v>
      </c>
      <c r="E258" s="4">
        <v>16813.419999999998</v>
      </c>
    </row>
    <row r="259" spans="1:5" x14ac:dyDescent="0.3">
      <c r="A259" s="4">
        <v>87508.69</v>
      </c>
      <c r="B259">
        <f>DATA!M186</f>
        <v>0</v>
      </c>
      <c r="E259" s="4">
        <v>14893.47</v>
      </c>
    </row>
    <row r="260" spans="1:5" x14ac:dyDescent="0.3">
      <c r="A260" s="4">
        <v>87532.67</v>
      </c>
      <c r="B260">
        <f>DATA!M411</f>
        <v>1</v>
      </c>
      <c r="E260" s="4">
        <v>23399.15</v>
      </c>
    </row>
    <row r="261" spans="1:5" x14ac:dyDescent="0.3">
      <c r="A261" s="4">
        <v>87583.039999999994</v>
      </c>
      <c r="B261">
        <f>DATA!M311</f>
        <v>1</v>
      </c>
      <c r="E261" s="4">
        <v>24061.040000000001</v>
      </c>
    </row>
    <row r="262" spans="1:5" x14ac:dyDescent="0.3">
      <c r="A262" s="4">
        <v>87587.83</v>
      </c>
      <c r="B262">
        <f>DATA!M129</f>
        <v>0</v>
      </c>
      <c r="E262" s="4">
        <v>80855.009999999995</v>
      </c>
    </row>
    <row r="263" spans="1:5" x14ac:dyDescent="0.3">
      <c r="A263" s="4">
        <v>87838.32</v>
      </c>
      <c r="B263">
        <f>DATA!M313</f>
        <v>1</v>
      </c>
      <c r="E263" s="4">
        <v>19461.59</v>
      </c>
    </row>
    <row r="264" spans="1:5" x14ac:dyDescent="0.3">
      <c r="A264" s="4">
        <v>88266.73</v>
      </c>
      <c r="B264">
        <f>DATA!M171</f>
        <v>0</v>
      </c>
      <c r="E264" s="4">
        <v>144035.23000000001</v>
      </c>
    </row>
    <row r="265" spans="1:5" x14ac:dyDescent="0.3">
      <c r="A265" s="4">
        <v>88360.27</v>
      </c>
      <c r="B265">
        <f>DATA!M451</f>
        <v>0</v>
      </c>
      <c r="E265" s="4">
        <v>142428.82999999999</v>
      </c>
    </row>
    <row r="266" spans="1:5" x14ac:dyDescent="0.3">
      <c r="A266" s="4">
        <v>88503.02</v>
      </c>
      <c r="B266">
        <f>DATA!M274</f>
        <v>1</v>
      </c>
      <c r="E266" s="4">
        <v>48172.94</v>
      </c>
    </row>
    <row r="267" spans="1:5" x14ac:dyDescent="0.3">
      <c r="A267" s="4">
        <v>88655.49</v>
      </c>
      <c r="B267">
        <f>DATA!M33</f>
        <v>1</v>
      </c>
      <c r="E267" s="4">
        <v>129097.79</v>
      </c>
    </row>
    <row r="268" spans="1:5" x14ac:dyDescent="0.3">
      <c r="A268" s="4">
        <v>89777.41</v>
      </c>
      <c r="B268">
        <f>DATA!M354</f>
        <v>0</v>
      </c>
      <c r="E268" s="4">
        <v>143986.04</v>
      </c>
    </row>
    <row r="269" spans="1:5" x14ac:dyDescent="0.3">
      <c r="A269" s="4">
        <v>90227.36</v>
      </c>
      <c r="B269">
        <f>DATA!M315</f>
        <v>1</v>
      </c>
      <c r="E269" s="4">
        <v>46753.37</v>
      </c>
    </row>
    <row r="270" spans="1:5" x14ac:dyDescent="0.3">
      <c r="A270" s="4">
        <v>90275.78</v>
      </c>
      <c r="B270">
        <f>DATA!M428</f>
        <v>0</v>
      </c>
      <c r="E270" s="4">
        <v>81684.84</v>
      </c>
    </row>
    <row r="271" spans="1:5" x14ac:dyDescent="0.3">
      <c r="A271" s="4">
        <v>90381.04</v>
      </c>
      <c r="B271">
        <f>DATA!M314</f>
        <v>1</v>
      </c>
      <c r="E271" s="4">
        <v>97382.98</v>
      </c>
    </row>
    <row r="272" spans="1:5" x14ac:dyDescent="0.3">
      <c r="A272" s="4">
        <v>90411.33</v>
      </c>
      <c r="B272">
        <f>DATA!M462</f>
        <v>1</v>
      </c>
      <c r="E272" s="4">
        <v>98955.37</v>
      </c>
    </row>
    <row r="273" spans="1:5" x14ac:dyDescent="0.3">
      <c r="A273" s="4">
        <v>90761.77</v>
      </c>
      <c r="B273">
        <f>DATA!M35</f>
        <v>0</v>
      </c>
      <c r="E273" s="4">
        <v>106391.64</v>
      </c>
    </row>
    <row r="274" spans="1:5" x14ac:dyDescent="0.3">
      <c r="A274" s="4">
        <v>91069.46</v>
      </c>
      <c r="B274">
        <f>DATA!M485</f>
        <v>0</v>
      </c>
      <c r="E274" s="4">
        <v>85565.14</v>
      </c>
    </row>
    <row r="275" spans="1:5" x14ac:dyDescent="0.3">
      <c r="A275" s="4">
        <v>91193.31</v>
      </c>
      <c r="B275">
        <f>DATA!M372</f>
        <v>1</v>
      </c>
    </row>
    <row r="276" spans="1:5" x14ac:dyDescent="0.3">
      <c r="A276" s="4">
        <v>91754.31</v>
      </c>
      <c r="B276">
        <f>DATA!M266</f>
        <v>0</v>
      </c>
    </row>
    <row r="277" spans="1:5" x14ac:dyDescent="0.3">
      <c r="A277" s="4">
        <v>92201.91</v>
      </c>
      <c r="B277">
        <f>DATA!M73</f>
        <v>0</v>
      </c>
    </row>
    <row r="278" spans="1:5" x14ac:dyDescent="0.3">
      <c r="A278" s="4">
        <v>92581.54</v>
      </c>
      <c r="B278">
        <f>DATA!M9</f>
        <v>1</v>
      </c>
    </row>
    <row r="279" spans="1:5" x14ac:dyDescent="0.3">
      <c r="A279" s="4">
        <v>93107.1</v>
      </c>
      <c r="B279">
        <f>DATA!M210</f>
        <v>0</v>
      </c>
    </row>
    <row r="280" spans="1:5" x14ac:dyDescent="0.3">
      <c r="A280" s="4">
        <v>93162.76</v>
      </c>
      <c r="B280">
        <f>DATA!M131</f>
        <v>0</v>
      </c>
    </row>
    <row r="281" spans="1:5" x14ac:dyDescent="0.3">
      <c r="A281" s="4">
        <v>93337.31</v>
      </c>
      <c r="B281">
        <f>DATA!M21</f>
        <v>0</v>
      </c>
    </row>
    <row r="282" spans="1:5" x14ac:dyDescent="0.3">
      <c r="A282" s="4">
        <v>94143.76</v>
      </c>
      <c r="B282">
        <f>DATA!M326</f>
        <v>1</v>
      </c>
    </row>
    <row r="283" spans="1:5" x14ac:dyDescent="0.3">
      <c r="A283" s="4">
        <v>94395.02</v>
      </c>
      <c r="B283">
        <f>DATA!M4</f>
        <v>0</v>
      </c>
    </row>
    <row r="284" spans="1:5" x14ac:dyDescent="0.3">
      <c r="A284" s="4">
        <v>94496.24</v>
      </c>
      <c r="B284">
        <f>DATA!M226</f>
        <v>0</v>
      </c>
    </row>
    <row r="285" spans="1:5" x14ac:dyDescent="0.3">
      <c r="A285" s="4">
        <v>95777.53</v>
      </c>
      <c r="B285">
        <f>DATA!M206</f>
        <v>1</v>
      </c>
    </row>
    <row r="286" spans="1:5" x14ac:dyDescent="0.3">
      <c r="A286" s="4">
        <v>95781.75</v>
      </c>
      <c r="B286">
        <f>DATA!M200</f>
        <v>1</v>
      </c>
    </row>
    <row r="287" spans="1:5" x14ac:dyDescent="0.3">
      <c r="A287" s="4">
        <v>96310.13</v>
      </c>
      <c r="B287">
        <f>DATA!M216</f>
        <v>1</v>
      </c>
    </row>
    <row r="288" spans="1:5" x14ac:dyDescent="0.3">
      <c r="A288" s="4">
        <v>96850.83</v>
      </c>
      <c r="B288">
        <f>DATA!M374</f>
        <v>0</v>
      </c>
    </row>
    <row r="289" spans="1:2" x14ac:dyDescent="0.3">
      <c r="A289" s="4">
        <v>97218.44</v>
      </c>
      <c r="B289">
        <f>DATA!M393</f>
        <v>1</v>
      </c>
    </row>
    <row r="290" spans="1:2" x14ac:dyDescent="0.3">
      <c r="A290" s="4">
        <v>97382.98</v>
      </c>
      <c r="B290">
        <f>DATA!M496</f>
        <v>1</v>
      </c>
    </row>
    <row r="291" spans="1:2" x14ac:dyDescent="0.3">
      <c r="A291" s="4">
        <v>97501.27</v>
      </c>
      <c r="B291">
        <f>DATA!M376</f>
        <v>0</v>
      </c>
    </row>
    <row r="292" spans="1:2" x14ac:dyDescent="0.3">
      <c r="A292" s="4">
        <v>97693.26</v>
      </c>
      <c r="B292">
        <f>DATA!M400</f>
        <v>1</v>
      </c>
    </row>
    <row r="293" spans="1:2" x14ac:dyDescent="0.3">
      <c r="A293" s="4">
        <v>97832.3</v>
      </c>
      <c r="B293">
        <f>DATA!M225</f>
        <v>0</v>
      </c>
    </row>
    <row r="294" spans="1:2" x14ac:dyDescent="0.3">
      <c r="A294" s="4">
        <v>98955.37</v>
      </c>
      <c r="B294">
        <f>DATA!M497</f>
        <v>1</v>
      </c>
    </row>
    <row r="295" spans="1:2" x14ac:dyDescent="0.3">
      <c r="A295" s="4">
        <v>99026.41</v>
      </c>
      <c r="B295">
        <f>DATA!M438</f>
        <v>0</v>
      </c>
    </row>
    <row r="296" spans="1:2" x14ac:dyDescent="0.3">
      <c r="A296" s="4">
        <v>99332.87</v>
      </c>
      <c r="B296">
        <f>DATA!M221</f>
        <v>0</v>
      </c>
    </row>
    <row r="297" spans="1:2" x14ac:dyDescent="0.3">
      <c r="A297" s="4">
        <v>99695.37</v>
      </c>
      <c r="B297">
        <f>DATA!M395</f>
        <v>1</v>
      </c>
    </row>
    <row r="298" spans="1:2" x14ac:dyDescent="0.3">
      <c r="A298" s="4">
        <v>99812.42</v>
      </c>
      <c r="B298">
        <f>DATA!M70</f>
        <v>1</v>
      </c>
    </row>
    <row r="299" spans="1:2" x14ac:dyDescent="0.3">
      <c r="A299" s="4">
        <v>100083.34</v>
      </c>
      <c r="B299">
        <f>DATA!M323</f>
        <v>1</v>
      </c>
    </row>
    <row r="300" spans="1:2" x14ac:dyDescent="0.3">
      <c r="A300" s="4">
        <v>100372.28</v>
      </c>
      <c r="B300">
        <f>DATA!M482</f>
        <v>0</v>
      </c>
    </row>
    <row r="301" spans="1:2" x14ac:dyDescent="0.3">
      <c r="A301" s="4">
        <v>100509.25</v>
      </c>
      <c r="B301">
        <f>DATA!M356</f>
        <v>1</v>
      </c>
    </row>
    <row r="302" spans="1:2" x14ac:dyDescent="0.3">
      <c r="A302" s="4">
        <v>101131.11</v>
      </c>
      <c r="B302">
        <f>DATA!M81</f>
        <v>0</v>
      </c>
    </row>
    <row r="303" spans="1:2" x14ac:dyDescent="0.3">
      <c r="A303" s="4">
        <v>101378.44</v>
      </c>
      <c r="B303">
        <f>DATA!M123</f>
        <v>0</v>
      </c>
    </row>
    <row r="304" spans="1:2" x14ac:dyDescent="0.3">
      <c r="A304" s="4">
        <v>101660.52</v>
      </c>
      <c r="B304">
        <f>DATA!M467</f>
        <v>0</v>
      </c>
    </row>
    <row r="305" spans="1:2" x14ac:dyDescent="0.3">
      <c r="A305" s="4">
        <v>101797.2</v>
      </c>
      <c r="B305">
        <f>DATA!M91</f>
        <v>0</v>
      </c>
    </row>
    <row r="306" spans="1:2" x14ac:dyDescent="0.3">
      <c r="A306" s="4">
        <v>101878.09</v>
      </c>
      <c r="B306">
        <f>DATA!M236</f>
        <v>1</v>
      </c>
    </row>
    <row r="307" spans="1:2" x14ac:dyDescent="0.3">
      <c r="A307" s="4">
        <v>102035.16</v>
      </c>
      <c r="B307">
        <f>DATA!M299</f>
        <v>1</v>
      </c>
    </row>
    <row r="308" spans="1:2" x14ac:dyDescent="0.3">
      <c r="A308" s="4">
        <v>102150.42</v>
      </c>
      <c r="B308">
        <f>DATA!M99</f>
        <v>0</v>
      </c>
    </row>
    <row r="309" spans="1:2" x14ac:dyDescent="0.3">
      <c r="A309" s="4">
        <v>102543.92</v>
      </c>
      <c r="B309">
        <f>DATA!M110</f>
        <v>0</v>
      </c>
    </row>
    <row r="310" spans="1:2" x14ac:dyDescent="0.3">
      <c r="A310" s="4">
        <v>102614.36</v>
      </c>
      <c r="B310">
        <f>DATA!M418</f>
        <v>1</v>
      </c>
    </row>
    <row r="311" spans="1:2" x14ac:dyDescent="0.3">
      <c r="A311" s="4">
        <v>102957.36</v>
      </c>
      <c r="B311">
        <f>DATA!M442</f>
        <v>1</v>
      </c>
    </row>
    <row r="312" spans="1:2" x14ac:dyDescent="0.3">
      <c r="A312" s="4">
        <v>103143.51</v>
      </c>
      <c r="B312">
        <f>DATA!M139</f>
        <v>1</v>
      </c>
    </row>
    <row r="313" spans="1:2" x14ac:dyDescent="0.3">
      <c r="A313" s="4">
        <v>103203.97</v>
      </c>
      <c r="B313">
        <f>DATA!M316</f>
        <v>0</v>
      </c>
    </row>
    <row r="314" spans="1:2" x14ac:dyDescent="0.3">
      <c r="A314" s="4">
        <v>103226.64</v>
      </c>
      <c r="B314">
        <f>DATA!M18</f>
        <v>1</v>
      </c>
    </row>
    <row r="315" spans="1:2" x14ac:dyDescent="0.3">
      <c r="A315" s="4">
        <v>103458.26</v>
      </c>
      <c r="B315">
        <f>DATA!M67</f>
        <v>0</v>
      </c>
    </row>
    <row r="316" spans="1:2" x14ac:dyDescent="0.3">
      <c r="A316" s="4">
        <v>103834.77</v>
      </c>
      <c r="B316">
        <f>DATA!M54</f>
        <v>0</v>
      </c>
    </row>
    <row r="317" spans="1:2" x14ac:dyDescent="0.3">
      <c r="A317" s="4">
        <v>103883.72</v>
      </c>
      <c r="B317">
        <f>DATA!M383</f>
        <v>1</v>
      </c>
    </row>
    <row r="318" spans="1:2" x14ac:dyDescent="0.3">
      <c r="A318" s="4">
        <v>103995.53</v>
      </c>
      <c r="B318">
        <f>DATA!M100</f>
        <v>1</v>
      </c>
    </row>
    <row r="319" spans="1:2" x14ac:dyDescent="0.3">
      <c r="A319" s="4">
        <v>104636.55</v>
      </c>
      <c r="B319">
        <f>DATA!M352</f>
        <v>1</v>
      </c>
    </row>
    <row r="320" spans="1:2" x14ac:dyDescent="0.3">
      <c r="A320" s="4">
        <v>105135.87</v>
      </c>
      <c r="B320">
        <f>DATA!M489</f>
        <v>0</v>
      </c>
    </row>
    <row r="321" spans="1:2" x14ac:dyDescent="0.3">
      <c r="A321" s="4">
        <v>105194.71</v>
      </c>
      <c r="B321">
        <f>DATA!M276</f>
        <v>0</v>
      </c>
    </row>
    <row r="322" spans="1:2" x14ac:dyDescent="0.3">
      <c r="A322" s="4">
        <v>105598.56</v>
      </c>
      <c r="B322">
        <f>DATA!M158</f>
        <v>0</v>
      </c>
    </row>
    <row r="323" spans="1:2" x14ac:dyDescent="0.3">
      <c r="A323" s="4">
        <v>105880.01</v>
      </c>
      <c r="B323">
        <f>DATA!M306</f>
        <v>0</v>
      </c>
    </row>
    <row r="324" spans="1:2" x14ac:dyDescent="0.3">
      <c r="A324" s="4">
        <v>105985.33</v>
      </c>
      <c r="B324">
        <f>DATA!M303</f>
        <v>1</v>
      </c>
    </row>
    <row r="325" spans="1:2" x14ac:dyDescent="0.3">
      <c r="A325" s="4">
        <v>106009.52</v>
      </c>
      <c r="B325">
        <f>DATA!M149</f>
        <v>1</v>
      </c>
    </row>
    <row r="326" spans="1:2" x14ac:dyDescent="0.3">
      <c r="A326" s="4">
        <v>106046.27</v>
      </c>
      <c r="B326">
        <f>DATA!M318</f>
        <v>1</v>
      </c>
    </row>
    <row r="327" spans="1:2" x14ac:dyDescent="0.3">
      <c r="A327" s="4">
        <v>106102.67</v>
      </c>
      <c r="B327">
        <f>DATA!M176</f>
        <v>1</v>
      </c>
    </row>
    <row r="328" spans="1:2" x14ac:dyDescent="0.3">
      <c r="A328" s="4">
        <v>106372.6</v>
      </c>
      <c r="B328">
        <f>DATA!M198</f>
        <v>0</v>
      </c>
    </row>
    <row r="329" spans="1:2" x14ac:dyDescent="0.3">
      <c r="A329" s="4">
        <v>106385.78</v>
      </c>
      <c r="B329">
        <f>DATA!M269</f>
        <v>1</v>
      </c>
    </row>
    <row r="330" spans="1:2" x14ac:dyDescent="0.3">
      <c r="A330" s="4">
        <v>106391.64</v>
      </c>
      <c r="B330">
        <f>DATA!M499</f>
        <v>1</v>
      </c>
    </row>
    <row r="331" spans="1:2" x14ac:dyDescent="0.3">
      <c r="A331" s="4">
        <v>106833.18</v>
      </c>
      <c r="B331">
        <f>DATA!M32</f>
        <v>1</v>
      </c>
    </row>
    <row r="332" spans="1:2" x14ac:dyDescent="0.3">
      <c r="A332" s="4">
        <v>107283.07</v>
      </c>
      <c r="B332">
        <f>DATA!M336</f>
        <v>0</v>
      </c>
    </row>
    <row r="333" spans="1:2" x14ac:dyDescent="0.3">
      <c r="A333" s="4">
        <v>107521.29</v>
      </c>
      <c r="B333">
        <f>DATA!M445</f>
        <v>0</v>
      </c>
    </row>
    <row r="334" spans="1:2" x14ac:dyDescent="0.3">
      <c r="A334" s="4">
        <v>107683.81</v>
      </c>
      <c r="B334">
        <f>DATA!M298</f>
        <v>1</v>
      </c>
    </row>
    <row r="335" spans="1:2" x14ac:dyDescent="0.3">
      <c r="A335" s="4">
        <v>107849.47</v>
      </c>
      <c r="B335">
        <f>DATA!M30</f>
        <v>1</v>
      </c>
    </row>
    <row r="336" spans="1:2" x14ac:dyDescent="0.3">
      <c r="A336" s="4">
        <v>107875.29</v>
      </c>
      <c r="B336">
        <f>DATA!M252</f>
        <v>0</v>
      </c>
    </row>
    <row r="337" spans="1:2" x14ac:dyDescent="0.3">
      <c r="A337" s="4">
        <v>107886.77</v>
      </c>
      <c r="B337">
        <f>DATA!M2</f>
        <v>0</v>
      </c>
    </row>
    <row r="338" spans="1:2" x14ac:dyDescent="0.3">
      <c r="A338" s="4">
        <v>108015.6</v>
      </c>
      <c r="B338">
        <f>DATA!M138</f>
        <v>0</v>
      </c>
    </row>
    <row r="339" spans="1:2" x14ac:dyDescent="0.3">
      <c r="A339" s="4">
        <v>108093.18</v>
      </c>
      <c r="B339">
        <f>DATA!M190</f>
        <v>1</v>
      </c>
    </row>
    <row r="340" spans="1:2" x14ac:dyDescent="0.3">
      <c r="A340" s="4">
        <v>108174.82</v>
      </c>
      <c r="B340">
        <f>DATA!M340</f>
        <v>1</v>
      </c>
    </row>
    <row r="341" spans="1:2" x14ac:dyDescent="0.3">
      <c r="A341" s="4">
        <v>108305.55</v>
      </c>
      <c r="B341">
        <f>DATA!M19</f>
        <v>0</v>
      </c>
    </row>
    <row r="342" spans="1:2" x14ac:dyDescent="0.3">
      <c r="A342" s="4">
        <v>108422.12</v>
      </c>
      <c r="B342">
        <f>DATA!M113</f>
        <v>0</v>
      </c>
    </row>
    <row r="343" spans="1:2" x14ac:dyDescent="0.3">
      <c r="A343" s="4">
        <v>108820.32</v>
      </c>
      <c r="B343">
        <f>DATA!M255</f>
        <v>1</v>
      </c>
    </row>
    <row r="344" spans="1:2" x14ac:dyDescent="0.3">
      <c r="A344" s="4">
        <v>109301.93</v>
      </c>
      <c r="B344">
        <f>DATA!M80</f>
        <v>1</v>
      </c>
    </row>
    <row r="345" spans="1:2" x14ac:dyDescent="0.3">
      <c r="A345" s="4">
        <v>110349.05</v>
      </c>
      <c r="B345">
        <f>DATA!M111</f>
        <v>1</v>
      </c>
    </row>
    <row r="346" spans="1:2" x14ac:dyDescent="0.3">
      <c r="A346" s="4">
        <v>110877.22</v>
      </c>
      <c r="B346">
        <f>DATA!M49</f>
        <v>1</v>
      </c>
    </row>
    <row r="347" spans="1:2" x14ac:dyDescent="0.3">
      <c r="A347" s="4">
        <v>111036.69</v>
      </c>
      <c r="B347">
        <f>DATA!M453</f>
        <v>1</v>
      </c>
    </row>
    <row r="348" spans="1:2" x14ac:dyDescent="0.3">
      <c r="A348" s="4">
        <v>111037.23</v>
      </c>
      <c r="B348">
        <f>DATA!M227</f>
        <v>0</v>
      </c>
    </row>
    <row r="349" spans="1:2" x14ac:dyDescent="0.3">
      <c r="A349" s="4">
        <v>111048.16</v>
      </c>
      <c r="B349">
        <f>DATA!M61</f>
        <v>1</v>
      </c>
    </row>
    <row r="350" spans="1:2" x14ac:dyDescent="0.3">
      <c r="A350" s="4">
        <v>111107.96</v>
      </c>
      <c r="B350">
        <f>DATA!M119</f>
        <v>0</v>
      </c>
    </row>
    <row r="351" spans="1:2" x14ac:dyDescent="0.3">
      <c r="A351" s="4">
        <v>111156.24</v>
      </c>
      <c r="B351">
        <f>DATA!M434</f>
        <v>1</v>
      </c>
    </row>
    <row r="352" spans="1:2" x14ac:dyDescent="0.3">
      <c r="A352" s="4">
        <v>111365.93</v>
      </c>
      <c r="B352">
        <f>DATA!M285</f>
        <v>1</v>
      </c>
    </row>
    <row r="353" spans="1:2" x14ac:dyDescent="0.3">
      <c r="A353" s="4">
        <v>111373.48</v>
      </c>
      <c r="B353">
        <f>DATA!M317</f>
        <v>0</v>
      </c>
    </row>
    <row r="354" spans="1:2" x14ac:dyDescent="0.3">
      <c r="A354" s="4">
        <v>111587.44</v>
      </c>
      <c r="B354">
        <f>DATA!M97</f>
        <v>1</v>
      </c>
    </row>
    <row r="355" spans="1:2" x14ac:dyDescent="0.3">
      <c r="A355" s="4">
        <v>111640.94</v>
      </c>
      <c r="B355">
        <f>DATA!M456</f>
        <v>0</v>
      </c>
    </row>
    <row r="356" spans="1:2" x14ac:dyDescent="0.3">
      <c r="A356" s="4">
        <v>111705.43</v>
      </c>
      <c r="B356">
        <f>DATA!M382</f>
        <v>1</v>
      </c>
    </row>
    <row r="357" spans="1:2" x14ac:dyDescent="0.3">
      <c r="A357" s="4">
        <v>112038.87</v>
      </c>
      <c r="B357">
        <f>DATA!M296</f>
        <v>0</v>
      </c>
    </row>
    <row r="358" spans="1:2" x14ac:dyDescent="0.3">
      <c r="A358" s="4">
        <v>112678.04</v>
      </c>
      <c r="B358">
        <f>DATA!M351</f>
        <v>0</v>
      </c>
    </row>
    <row r="359" spans="1:2" x14ac:dyDescent="0.3">
      <c r="A359" s="4">
        <v>112863.73</v>
      </c>
      <c r="B359">
        <f>DATA!M377</f>
        <v>1</v>
      </c>
    </row>
    <row r="360" spans="1:2" x14ac:dyDescent="0.3">
      <c r="A360" s="4">
        <v>113646.28</v>
      </c>
      <c r="B360">
        <f>DATA!M160</f>
        <v>1</v>
      </c>
    </row>
    <row r="361" spans="1:2" x14ac:dyDescent="0.3">
      <c r="A361" s="4">
        <v>114104.65</v>
      </c>
      <c r="B361">
        <f>DATA!M175</f>
        <v>1</v>
      </c>
    </row>
    <row r="362" spans="1:2" x14ac:dyDescent="0.3">
      <c r="A362" s="4">
        <v>114472.4</v>
      </c>
      <c r="B362">
        <f>DATA!M231</f>
        <v>1</v>
      </c>
    </row>
    <row r="363" spans="1:2" x14ac:dyDescent="0.3">
      <c r="A363" s="4">
        <v>114484.04</v>
      </c>
      <c r="B363">
        <f>DATA!M137</f>
        <v>1</v>
      </c>
    </row>
    <row r="364" spans="1:2" x14ac:dyDescent="0.3">
      <c r="A364" s="4">
        <v>114757.22</v>
      </c>
      <c r="B364">
        <f>DATA!M177</f>
        <v>1</v>
      </c>
    </row>
    <row r="365" spans="1:2" x14ac:dyDescent="0.3">
      <c r="A365" s="4">
        <v>115636.53</v>
      </c>
      <c r="B365">
        <f>DATA!M202</f>
        <v>0</v>
      </c>
    </row>
    <row r="366" spans="1:2" x14ac:dyDescent="0.3">
      <c r="A366" s="4">
        <v>116196.88</v>
      </c>
      <c r="B366">
        <f>DATA!M243</f>
        <v>0</v>
      </c>
    </row>
    <row r="367" spans="1:2" x14ac:dyDescent="0.3">
      <c r="A367" s="4">
        <v>116721.45</v>
      </c>
      <c r="B367">
        <f>DATA!M184</f>
        <v>0</v>
      </c>
    </row>
    <row r="368" spans="1:2" x14ac:dyDescent="0.3">
      <c r="A368" s="4">
        <v>116792.39</v>
      </c>
      <c r="B368">
        <f>DATA!M270</f>
        <v>1</v>
      </c>
    </row>
    <row r="369" spans="1:2" x14ac:dyDescent="0.3">
      <c r="A369" s="4">
        <v>117045.7</v>
      </c>
      <c r="B369">
        <f>DATA!M421</f>
        <v>0</v>
      </c>
    </row>
    <row r="370" spans="1:2" x14ac:dyDescent="0.3">
      <c r="A370" s="4">
        <v>117137.04</v>
      </c>
      <c r="B370">
        <f>DATA!M82</f>
        <v>0</v>
      </c>
    </row>
    <row r="371" spans="1:2" x14ac:dyDescent="0.3">
      <c r="A371" s="4">
        <v>117202.4</v>
      </c>
      <c r="B371">
        <f>DATA!M334</f>
        <v>1</v>
      </c>
    </row>
    <row r="372" spans="1:2" x14ac:dyDescent="0.3">
      <c r="A372" s="4">
        <v>117465.12</v>
      </c>
      <c r="B372">
        <f>DATA!M358</f>
        <v>1</v>
      </c>
    </row>
    <row r="373" spans="1:2" x14ac:dyDescent="0.3">
      <c r="A373" s="4">
        <v>117590.06</v>
      </c>
      <c r="B373">
        <f>DATA!M207</f>
        <v>1</v>
      </c>
    </row>
    <row r="374" spans="1:2" x14ac:dyDescent="0.3">
      <c r="A374" s="4">
        <v>117883.52</v>
      </c>
      <c r="B374">
        <f>DATA!M116</f>
        <v>1</v>
      </c>
    </row>
    <row r="375" spans="1:2" x14ac:dyDescent="0.3">
      <c r="A375" s="4">
        <v>118097.5</v>
      </c>
      <c r="B375">
        <f>DATA!M51</f>
        <v>0</v>
      </c>
    </row>
    <row r="376" spans="1:2" x14ac:dyDescent="0.3">
      <c r="A376" s="4">
        <v>118581.88</v>
      </c>
      <c r="B376">
        <f>DATA!M307</f>
        <v>0</v>
      </c>
    </row>
    <row r="377" spans="1:2" x14ac:dyDescent="0.3">
      <c r="A377" s="4">
        <v>118614.97</v>
      </c>
      <c r="B377">
        <f>DATA!M465</f>
        <v>0</v>
      </c>
    </row>
    <row r="378" spans="1:2" x14ac:dyDescent="0.3">
      <c r="A378" s="4">
        <v>118783.64</v>
      </c>
      <c r="B378">
        <f>DATA!M344</f>
        <v>1</v>
      </c>
    </row>
    <row r="379" spans="1:2" x14ac:dyDescent="0.3">
      <c r="A379" s="4">
        <v>118972.35</v>
      </c>
      <c r="B379">
        <f>DATA!M40</f>
        <v>1</v>
      </c>
    </row>
    <row r="380" spans="1:2" x14ac:dyDescent="0.3">
      <c r="A380" s="4">
        <v>119070.68</v>
      </c>
      <c r="B380">
        <f>DATA!M239</f>
        <v>0</v>
      </c>
    </row>
    <row r="381" spans="1:2" x14ac:dyDescent="0.3">
      <c r="A381" s="4">
        <v>119204.73</v>
      </c>
      <c r="B381">
        <f>DATA!M267</f>
        <v>1</v>
      </c>
    </row>
    <row r="382" spans="1:2" x14ac:dyDescent="0.3">
      <c r="A382" s="4">
        <v>119298.33</v>
      </c>
      <c r="B382">
        <f>DATA!M381</f>
        <v>1</v>
      </c>
    </row>
    <row r="383" spans="1:2" x14ac:dyDescent="0.3">
      <c r="A383" s="4">
        <v>119718.19</v>
      </c>
      <c r="B383">
        <f>DATA!M152</f>
        <v>0</v>
      </c>
    </row>
    <row r="384" spans="1:2" x14ac:dyDescent="0.3">
      <c r="A384" s="4">
        <v>119809.36</v>
      </c>
      <c r="B384">
        <f>DATA!M286</f>
        <v>1</v>
      </c>
    </row>
    <row r="385" spans="1:2" x14ac:dyDescent="0.3">
      <c r="A385" s="4">
        <v>120812.2</v>
      </c>
      <c r="B385">
        <f>DATA!M164</f>
        <v>1</v>
      </c>
    </row>
    <row r="386" spans="1:2" x14ac:dyDescent="0.3">
      <c r="A386" s="4">
        <v>120900.9</v>
      </c>
      <c r="B386">
        <f>DATA!M432</f>
        <v>0</v>
      </c>
    </row>
    <row r="387" spans="1:2" x14ac:dyDescent="0.3">
      <c r="A387" s="4">
        <v>121172.65</v>
      </c>
      <c r="B387">
        <f>DATA!M93</f>
        <v>1</v>
      </c>
    </row>
    <row r="388" spans="1:2" x14ac:dyDescent="0.3">
      <c r="A388" s="4">
        <v>121737.08</v>
      </c>
      <c r="B388">
        <f>DATA!M85</f>
        <v>0</v>
      </c>
    </row>
    <row r="389" spans="1:2" x14ac:dyDescent="0.3">
      <c r="A389" s="4">
        <v>121798.16</v>
      </c>
      <c r="B389">
        <f>DATA!M397</f>
        <v>0</v>
      </c>
    </row>
    <row r="390" spans="1:2" x14ac:dyDescent="0.3">
      <c r="A390" s="4">
        <v>122175.46</v>
      </c>
      <c r="B390">
        <f>DATA!M144</f>
        <v>1</v>
      </c>
    </row>
    <row r="391" spans="1:2" x14ac:dyDescent="0.3">
      <c r="A391" s="4">
        <v>122196.71</v>
      </c>
      <c r="B391">
        <f>DATA!M205</f>
        <v>0</v>
      </c>
    </row>
    <row r="392" spans="1:2" x14ac:dyDescent="0.3">
      <c r="A392" s="4">
        <v>122291.38</v>
      </c>
      <c r="B392">
        <f>DATA!M250</f>
        <v>0</v>
      </c>
    </row>
    <row r="393" spans="1:2" x14ac:dyDescent="0.3">
      <c r="A393" s="4">
        <v>122338.51</v>
      </c>
      <c r="B393">
        <f>DATA!M424</f>
        <v>1</v>
      </c>
    </row>
    <row r="394" spans="1:2" x14ac:dyDescent="0.3">
      <c r="A394" s="4">
        <v>122538.35</v>
      </c>
      <c r="B394">
        <f>DATA!M261</f>
        <v>0</v>
      </c>
    </row>
    <row r="395" spans="1:2" x14ac:dyDescent="0.3">
      <c r="A395" s="4">
        <v>122633.44</v>
      </c>
      <c r="B395">
        <f>DATA!M362</f>
        <v>0</v>
      </c>
    </row>
    <row r="396" spans="1:2" x14ac:dyDescent="0.3">
      <c r="A396" s="4">
        <v>122764.08</v>
      </c>
      <c r="B396">
        <f>DATA!M256</f>
        <v>0</v>
      </c>
    </row>
    <row r="397" spans="1:2" x14ac:dyDescent="0.3">
      <c r="A397" s="4">
        <v>124013.91</v>
      </c>
      <c r="B397">
        <f>DATA!M480</f>
        <v>0</v>
      </c>
    </row>
    <row r="398" spans="1:2" x14ac:dyDescent="0.3">
      <c r="A398" s="4">
        <v>124392.15</v>
      </c>
      <c r="B398">
        <f>DATA!M342</f>
        <v>0</v>
      </c>
    </row>
    <row r="399" spans="1:2" x14ac:dyDescent="0.3">
      <c r="A399" s="4">
        <v>124481.95</v>
      </c>
      <c r="B399">
        <f>DATA!M268</f>
        <v>0</v>
      </c>
    </row>
    <row r="400" spans="1:2" x14ac:dyDescent="0.3">
      <c r="A400" s="4">
        <v>124490.71</v>
      </c>
      <c r="B400">
        <f>DATA!M46</f>
        <v>0</v>
      </c>
    </row>
    <row r="401" spans="1:2" x14ac:dyDescent="0.3">
      <c r="A401" s="4">
        <v>125091.68</v>
      </c>
      <c r="B401">
        <f>DATA!M217</f>
        <v>0</v>
      </c>
    </row>
    <row r="402" spans="1:2" x14ac:dyDescent="0.3">
      <c r="A402" s="4">
        <v>125168.23</v>
      </c>
      <c r="B402">
        <f>DATA!M52</f>
        <v>1</v>
      </c>
    </row>
    <row r="403" spans="1:2" x14ac:dyDescent="0.3">
      <c r="A403" s="4">
        <v>125551.64</v>
      </c>
      <c r="B403">
        <f>DATA!M490</f>
        <v>0</v>
      </c>
    </row>
    <row r="404" spans="1:2" x14ac:dyDescent="0.3">
      <c r="A404" s="4">
        <v>125590.02</v>
      </c>
      <c r="B404">
        <f>DATA!M413</f>
        <v>1</v>
      </c>
    </row>
    <row r="405" spans="1:2" x14ac:dyDescent="0.3">
      <c r="A405" s="4">
        <v>125609.39</v>
      </c>
      <c r="B405">
        <f>DATA!M101</f>
        <v>1</v>
      </c>
    </row>
    <row r="406" spans="1:2" x14ac:dyDescent="0.3">
      <c r="A406" s="4">
        <v>125784.2</v>
      </c>
      <c r="B406">
        <f>DATA!M338</f>
        <v>1</v>
      </c>
    </row>
    <row r="407" spans="1:2" x14ac:dyDescent="0.3">
      <c r="A407" s="4">
        <v>125839.96</v>
      </c>
      <c r="B407">
        <f>DATA!M12</f>
        <v>1</v>
      </c>
    </row>
    <row r="408" spans="1:2" x14ac:dyDescent="0.3">
      <c r="A408" s="4">
        <v>126167.25</v>
      </c>
      <c r="B408">
        <f>DATA!M173</f>
        <v>0</v>
      </c>
    </row>
    <row r="409" spans="1:2" x14ac:dyDescent="0.3">
      <c r="A409" s="4">
        <v>126187.32</v>
      </c>
      <c r="B409">
        <f>DATA!M325</f>
        <v>0</v>
      </c>
    </row>
    <row r="410" spans="1:2" x14ac:dyDescent="0.3">
      <c r="A410" s="4">
        <v>127051.78</v>
      </c>
      <c r="B410">
        <f>DATA!M401</f>
        <v>0</v>
      </c>
    </row>
    <row r="411" spans="1:2" x14ac:dyDescent="0.3">
      <c r="A411" s="4">
        <v>127236.12</v>
      </c>
      <c r="B411">
        <f>DATA!M279</f>
        <v>1</v>
      </c>
    </row>
    <row r="412" spans="1:2" x14ac:dyDescent="0.3">
      <c r="A412" s="4">
        <v>127716.72</v>
      </c>
      <c r="B412">
        <f>DATA!M328</f>
        <v>1</v>
      </c>
    </row>
    <row r="413" spans="1:2" x14ac:dyDescent="0.3">
      <c r="A413" s="4">
        <v>127955.4</v>
      </c>
      <c r="B413">
        <f>DATA!M122</f>
        <v>1</v>
      </c>
    </row>
    <row r="414" spans="1:2" x14ac:dyDescent="0.3">
      <c r="A414" s="4">
        <v>128074.02</v>
      </c>
      <c r="B414">
        <f>DATA!M148</f>
        <v>1</v>
      </c>
    </row>
    <row r="415" spans="1:2" x14ac:dyDescent="0.3">
      <c r="A415" s="4">
        <v>128261.18</v>
      </c>
      <c r="B415">
        <f>DATA!M390</f>
        <v>1</v>
      </c>
    </row>
    <row r="416" spans="1:2" x14ac:dyDescent="0.3">
      <c r="A416" s="4">
        <v>128437.74</v>
      </c>
      <c r="B416">
        <f>DATA!M71</f>
        <v>1</v>
      </c>
    </row>
    <row r="417" spans="1:2" x14ac:dyDescent="0.3">
      <c r="A417" s="4">
        <v>128540.03</v>
      </c>
      <c r="B417">
        <f>DATA!M104</f>
        <v>1</v>
      </c>
    </row>
    <row r="418" spans="1:2" x14ac:dyDescent="0.3">
      <c r="A418" s="4">
        <v>128936.13</v>
      </c>
      <c r="B418">
        <f>DATA!M36</f>
        <v>1</v>
      </c>
    </row>
    <row r="419" spans="1:2" x14ac:dyDescent="0.3">
      <c r="A419" s="4">
        <v>129087.2</v>
      </c>
      <c r="B419">
        <f>DATA!M29</f>
        <v>0</v>
      </c>
    </row>
    <row r="420" spans="1:2" x14ac:dyDescent="0.3">
      <c r="A420" s="4">
        <v>129097.79</v>
      </c>
      <c r="B420">
        <f>DATA!M486</f>
        <v>1</v>
      </c>
    </row>
    <row r="421" spans="1:2" x14ac:dyDescent="0.3">
      <c r="A421" s="4">
        <v>129283.37</v>
      </c>
      <c r="B421">
        <f>DATA!M321</f>
        <v>1</v>
      </c>
    </row>
    <row r="422" spans="1:2" x14ac:dyDescent="0.3">
      <c r="A422" s="4">
        <v>129312.08</v>
      </c>
      <c r="B422">
        <f>DATA!M26</f>
        <v>0</v>
      </c>
    </row>
    <row r="423" spans="1:2" x14ac:dyDescent="0.3">
      <c r="A423" s="4">
        <v>129494.46</v>
      </c>
      <c r="B423">
        <f>DATA!M228</f>
        <v>1</v>
      </c>
    </row>
    <row r="424" spans="1:2" x14ac:dyDescent="0.3">
      <c r="A424" s="4">
        <v>129536.99</v>
      </c>
      <c r="B424">
        <f>DATA!M312</f>
        <v>0</v>
      </c>
    </row>
    <row r="425" spans="1:2" x14ac:dyDescent="0.3">
      <c r="A425" s="4">
        <v>129607.96</v>
      </c>
      <c r="B425">
        <f>DATA!M350</f>
        <v>0</v>
      </c>
    </row>
    <row r="426" spans="1:2" x14ac:dyDescent="0.3">
      <c r="A426" s="4">
        <v>130037.45</v>
      </c>
      <c r="B426">
        <f>DATA!M24</f>
        <v>1</v>
      </c>
    </row>
    <row r="427" spans="1:2" x14ac:dyDescent="0.3">
      <c r="A427" s="4">
        <v>130050.9</v>
      </c>
      <c r="B427">
        <f>DATA!M59</f>
        <v>1</v>
      </c>
    </row>
    <row r="428" spans="1:2" x14ac:dyDescent="0.3">
      <c r="A428" s="4">
        <v>130492.75</v>
      </c>
      <c r="B428">
        <f>DATA!M289</f>
        <v>1</v>
      </c>
    </row>
    <row r="429" spans="1:2" x14ac:dyDescent="0.3">
      <c r="A429" s="4">
        <v>130825.14</v>
      </c>
      <c r="B429">
        <f>DATA!M366</f>
        <v>0</v>
      </c>
    </row>
    <row r="430" spans="1:2" x14ac:dyDescent="0.3">
      <c r="A430" s="4">
        <v>130888.76</v>
      </c>
      <c r="B430">
        <f>DATA!M191</f>
        <v>1</v>
      </c>
    </row>
    <row r="431" spans="1:2" x14ac:dyDescent="0.3">
      <c r="A431" s="4">
        <v>131045.9</v>
      </c>
      <c r="B431">
        <f>DATA!M422</f>
        <v>0</v>
      </c>
    </row>
    <row r="432" spans="1:2" x14ac:dyDescent="0.3">
      <c r="A432" s="4">
        <v>131084.15</v>
      </c>
      <c r="B432">
        <f>DATA!M494</f>
        <v>0</v>
      </c>
    </row>
    <row r="433" spans="1:2" x14ac:dyDescent="0.3">
      <c r="A433" s="4">
        <v>131348.78</v>
      </c>
      <c r="B433">
        <f>DATA!M463</f>
        <v>1</v>
      </c>
    </row>
    <row r="434" spans="1:2" x14ac:dyDescent="0.3">
      <c r="A434" s="4">
        <v>132228.18</v>
      </c>
      <c r="B434">
        <f>DATA!M457</f>
        <v>0</v>
      </c>
    </row>
    <row r="435" spans="1:2" x14ac:dyDescent="0.3">
      <c r="A435" s="4">
        <v>132280.03</v>
      </c>
      <c r="B435">
        <f>DATA!M283</f>
        <v>1</v>
      </c>
    </row>
    <row r="436" spans="1:2" x14ac:dyDescent="0.3">
      <c r="A436" s="4">
        <v>132532.96</v>
      </c>
      <c r="B436">
        <f>DATA!M83</f>
        <v>1</v>
      </c>
    </row>
    <row r="437" spans="1:2" x14ac:dyDescent="0.3">
      <c r="A437" s="4">
        <v>132665.07999999999</v>
      </c>
      <c r="B437">
        <f>DATA!M361</f>
        <v>0</v>
      </c>
    </row>
    <row r="438" spans="1:2" x14ac:dyDescent="0.3">
      <c r="A438" s="4">
        <v>133731.54999999999</v>
      </c>
      <c r="B438">
        <f>DATA!M89</f>
        <v>1</v>
      </c>
    </row>
    <row r="439" spans="1:2" x14ac:dyDescent="0.3">
      <c r="A439" s="4">
        <v>133876.07999999999</v>
      </c>
      <c r="B439">
        <f>DATA!M48</f>
        <v>0</v>
      </c>
    </row>
    <row r="440" spans="1:2" x14ac:dyDescent="0.3">
      <c r="A440" s="4">
        <v>134066.89000000001</v>
      </c>
      <c r="B440">
        <f>DATA!M388</f>
        <v>0</v>
      </c>
    </row>
    <row r="441" spans="1:2" x14ac:dyDescent="0.3">
      <c r="A441" s="4">
        <v>134198.82999999999</v>
      </c>
      <c r="B441">
        <f>DATA!M218</f>
        <v>1</v>
      </c>
    </row>
    <row r="442" spans="1:2" x14ac:dyDescent="0.3">
      <c r="A442" s="4">
        <v>134929.35</v>
      </c>
      <c r="B442">
        <f>DATA!M380</f>
        <v>1</v>
      </c>
    </row>
    <row r="443" spans="1:2" x14ac:dyDescent="0.3">
      <c r="A443" s="4">
        <v>135514.51</v>
      </c>
      <c r="B443">
        <f>DATA!M373</f>
        <v>0</v>
      </c>
    </row>
    <row r="444" spans="1:2" x14ac:dyDescent="0.3">
      <c r="A444" s="4">
        <v>135558.76</v>
      </c>
      <c r="B444">
        <f>DATA!M420</f>
        <v>0</v>
      </c>
    </row>
    <row r="445" spans="1:2" x14ac:dyDescent="0.3">
      <c r="A445" s="4">
        <v>135564.73000000001</v>
      </c>
      <c r="B445">
        <f>DATA!M192</f>
        <v>0</v>
      </c>
    </row>
    <row r="446" spans="1:2" x14ac:dyDescent="0.3">
      <c r="A446" s="4">
        <v>135716.10999999999</v>
      </c>
      <c r="B446">
        <f>DATA!M308</f>
        <v>1</v>
      </c>
    </row>
    <row r="447" spans="1:2" x14ac:dyDescent="0.3">
      <c r="A447" s="4">
        <v>135962.88</v>
      </c>
      <c r="B447">
        <f>DATA!M8</f>
        <v>0</v>
      </c>
    </row>
    <row r="448" spans="1:2" x14ac:dyDescent="0.3">
      <c r="A448" s="4">
        <v>136090.56</v>
      </c>
      <c r="B448">
        <f>DATA!M115</f>
        <v>0</v>
      </c>
    </row>
    <row r="449" spans="1:2" x14ac:dyDescent="0.3">
      <c r="A449" s="4">
        <v>136504.93</v>
      </c>
      <c r="B449">
        <f>DATA!M447</f>
        <v>1</v>
      </c>
    </row>
    <row r="450" spans="1:2" x14ac:dyDescent="0.3">
      <c r="A450" s="4">
        <v>136772.28</v>
      </c>
      <c r="B450">
        <f>DATA!M493</f>
        <v>0</v>
      </c>
    </row>
    <row r="451" spans="1:2" x14ac:dyDescent="0.3">
      <c r="A451" s="4">
        <v>137124.10999999999</v>
      </c>
      <c r="B451">
        <f>DATA!M28</f>
        <v>1</v>
      </c>
    </row>
    <row r="452" spans="1:2" x14ac:dyDescent="0.3">
      <c r="A452" s="4">
        <v>137236.54</v>
      </c>
      <c r="B452">
        <f>DATA!M305</f>
        <v>1</v>
      </c>
    </row>
    <row r="453" spans="1:2" x14ac:dyDescent="0.3">
      <c r="A453" s="4">
        <v>138274.03</v>
      </c>
      <c r="B453">
        <f>DATA!M72</f>
        <v>1</v>
      </c>
    </row>
    <row r="454" spans="1:2" x14ac:dyDescent="0.3">
      <c r="A454" s="4">
        <v>138662.49</v>
      </c>
      <c r="B454">
        <f>DATA!M179</f>
        <v>1</v>
      </c>
    </row>
    <row r="455" spans="1:2" x14ac:dyDescent="0.3">
      <c r="A455" s="4">
        <v>139041.32999999999</v>
      </c>
      <c r="B455">
        <f>DATA!M368</f>
        <v>1</v>
      </c>
    </row>
    <row r="456" spans="1:2" x14ac:dyDescent="0.3">
      <c r="A456" s="4">
        <v>139671.38</v>
      </c>
      <c r="B456">
        <f>DATA!M196</f>
        <v>1</v>
      </c>
    </row>
    <row r="457" spans="1:2" x14ac:dyDescent="0.3">
      <c r="A457" s="4">
        <v>139671.97</v>
      </c>
      <c r="B457">
        <f>DATA!M249</f>
        <v>0</v>
      </c>
    </row>
    <row r="458" spans="1:2" x14ac:dyDescent="0.3">
      <c r="A458" s="4">
        <v>139690.22</v>
      </c>
      <c r="B458">
        <f>DATA!M168</f>
        <v>1</v>
      </c>
    </row>
    <row r="459" spans="1:2" x14ac:dyDescent="0.3">
      <c r="A459" s="4">
        <v>140183.29</v>
      </c>
      <c r="B459">
        <f>DATA!M275</f>
        <v>0</v>
      </c>
    </row>
    <row r="460" spans="1:2" x14ac:dyDescent="0.3">
      <c r="A460" s="4">
        <v>140478.74</v>
      </c>
      <c r="B460">
        <f>DATA!M459</f>
        <v>1</v>
      </c>
    </row>
    <row r="461" spans="1:2" x14ac:dyDescent="0.3">
      <c r="A461" s="4">
        <v>140486.14000000001</v>
      </c>
      <c r="B461">
        <f>DATA!M300</f>
        <v>1</v>
      </c>
    </row>
    <row r="462" spans="1:2" x14ac:dyDescent="0.3">
      <c r="A462" s="4">
        <v>140547.93</v>
      </c>
      <c r="B462">
        <f>DATA!M183</f>
        <v>0</v>
      </c>
    </row>
    <row r="463" spans="1:2" x14ac:dyDescent="0.3">
      <c r="A463" s="4">
        <v>140603.54</v>
      </c>
      <c r="B463">
        <f>DATA!M60</f>
        <v>0</v>
      </c>
    </row>
    <row r="464" spans="1:2" x14ac:dyDescent="0.3">
      <c r="A464" s="4">
        <v>140671.21</v>
      </c>
      <c r="B464">
        <f>DATA!M151</f>
        <v>0</v>
      </c>
    </row>
    <row r="465" spans="1:2" x14ac:dyDescent="0.3">
      <c r="A465" s="4">
        <v>140925.68</v>
      </c>
      <c r="B465">
        <f>DATA!M348</f>
        <v>0</v>
      </c>
    </row>
    <row r="466" spans="1:2" x14ac:dyDescent="0.3">
      <c r="A466" s="4">
        <v>141135.62</v>
      </c>
      <c r="B466">
        <f>DATA!M187</f>
        <v>1</v>
      </c>
    </row>
    <row r="467" spans="1:2" x14ac:dyDescent="0.3">
      <c r="A467" s="4">
        <v>141248.29</v>
      </c>
      <c r="B467">
        <f>DATA!M282</f>
        <v>1</v>
      </c>
    </row>
    <row r="468" spans="1:2" x14ac:dyDescent="0.3">
      <c r="A468" s="4">
        <v>141665.95000000001</v>
      </c>
      <c r="B468">
        <f>DATA!M124</f>
        <v>1</v>
      </c>
    </row>
    <row r="469" spans="1:2" x14ac:dyDescent="0.3">
      <c r="A469" s="4">
        <v>141751.96</v>
      </c>
      <c r="B469">
        <f>DATA!M297</f>
        <v>0</v>
      </c>
    </row>
    <row r="470" spans="1:2" x14ac:dyDescent="0.3">
      <c r="A470" s="4">
        <v>141842.12</v>
      </c>
      <c r="B470">
        <f>DATA!M223</f>
        <v>1</v>
      </c>
    </row>
    <row r="471" spans="1:2" x14ac:dyDescent="0.3">
      <c r="A471" s="4">
        <v>141848.51</v>
      </c>
      <c r="B471">
        <f>DATA!M10</f>
        <v>1</v>
      </c>
    </row>
    <row r="472" spans="1:2" x14ac:dyDescent="0.3">
      <c r="A472" s="4">
        <v>141964.46</v>
      </c>
      <c r="B472">
        <f>DATA!M455</f>
        <v>0</v>
      </c>
    </row>
    <row r="473" spans="1:2" x14ac:dyDescent="0.3">
      <c r="A473" s="4">
        <v>142428.82999999999</v>
      </c>
      <c r="B473">
        <f>DATA!M478</f>
        <v>1</v>
      </c>
    </row>
    <row r="474" spans="1:2" x14ac:dyDescent="0.3">
      <c r="A474" s="4">
        <v>142792.82999999999</v>
      </c>
      <c r="B474">
        <f>DATA!M141</f>
        <v>1</v>
      </c>
    </row>
    <row r="475" spans="1:2" x14ac:dyDescent="0.3">
      <c r="A475" s="4">
        <v>142833.29999999999</v>
      </c>
      <c r="B475">
        <f>DATA!M84</f>
        <v>1</v>
      </c>
    </row>
    <row r="476" spans="1:2" x14ac:dyDescent="0.3">
      <c r="A476" s="4">
        <v>143065.1</v>
      </c>
      <c r="B476">
        <f>DATA!M11</f>
        <v>1</v>
      </c>
    </row>
    <row r="477" spans="1:2" x14ac:dyDescent="0.3">
      <c r="A477" s="4">
        <v>143532.82</v>
      </c>
      <c r="B477">
        <f>DATA!M15</f>
        <v>1</v>
      </c>
    </row>
    <row r="478" spans="1:2" x14ac:dyDescent="0.3">
      <c r="A478" s="4">
        <v>143728.42000000001</v>
      </c>
      <c r="B478">
        <f>DATA!M185</f>
        <v>0</v>
      </c>
    </row>
    <row r="479" spans="1:2" x14ac:dyDescent="0.3">
      <c r="A479" s="4">
        <v>143845.99</v>
      </c>
      <c r="B479">
        <f>DATA!M233</f>
        <v>1</v>
      </c>
    </row>
    <row r="480" spans="1:2" x14ac:dyDescent="0.3">
      <c r="A480" s="4">
        <v>143986.04</v>
      </c>
      <c r="B480">
        <f>DATA!M487</f>
        <v>1</v>
      </c>
    </row>
    <row r="481" spans="1:2" x14ac:dyDescent="0.3">
      <c r="A481" s="4">
        <v>144035.23000000001</v>
      </c>
      <c r="B481">
        <f>DATA!M475</f>
        <v>1</v>
      </c>
    </row>
    <row r="482" spans="1:2" x14ac:dyDescent="0.3">
      <c r="A482" s="4">
        <v>144202.79</v>
      </c>
      <c r="B482">
        <f>DATA!M172</f>
        <v>1</v>
      </c>
    </row>
    <row r="483" spans="1:2" x14ac:dyDescent="0.3">
      <c r="A483" s="4">
        <v>144262.57</v>
      </c>
      <c r="B483">
        <f>DATA!M20</f>
        <v>1</v>
      </c>
    </row>
    <row r="484" spans="1:2" x14ac:dyDescent="0.3">
      <c r="A484" s="4">
        <v>144375.79999999999</v>
      </c>
      <c r="B484">
        <f>DATA!M107</f>
        <v>1</v>
      </c>
    </row>
    <row r="485" spans="1:2" x14ac:dyDescent="0.3">
      <c r="A485" s="4">
        <v>144755.60999999999</v>
      </c>
      <c r="B485">
        <f>DATA!M181</f>
        <v>0</v>
      </c>
    </row>
    <row r="486" spans="1:2" x14ac:dyDescent="0.3">
      <c r="A486" s="4">
        <v>145049.72</v>
      </c>
      <c r="B486">
        <f>DATA!M343</f>
        <v>1</v>
      </c>
    </row>
    <row r="487" spans="1:2" x14ac:dyDescent="0.3">
      <c r="A487" s="4">
        <v>145603.81</v>
      </c>
      <c r="B487">
        <f>DATA!M87</f>
        <v>1</v>
      </c>
    </row>
    <row r="488" spans="1:2" x14ac:dyDescent="0.3">
      <c r="A488" s="4">
        <v>145868.74</v>
      </c>
      <c r="B488">
        <f>DATA!M213</f>
        <v>0</v>
      </c>
    </row>
    <row r="489" spans="1:2" x14ac:dyDescent="0.3">
      <c r="A489" s="4">
        <v>145899.54</v>
      </c>
      <c r="B489">
        <f>DATA!M292</f>
        <v>0</v>
      </c>
    </row>
    <row r="490" spans="1:2" x14ac:dyDescent="0.3">
      <c r="A490" s="4">
        <v>146255.76999999999</v>
      </c>
      <c r="B490">
        <f>DATA!M355</f>
        <v>1</v>
      </c>
    </row>
    <row r="491" spans="1:2" x14ac:dyDescent="0.3">
      <c r="A491" s="4">
        <v>146557.31</v>
      </c>
      <c r="B491">
        <f>DATA!M477</f>
        <v>0</v>
      </c>
    </row>
    <row r="492" spans="1:2" x14ac:dyDescent="0.3">
      <c r="A492" s="4">
        <v>146668.19</v>
      </c>
      <c r="B492">
        <f>DATA!M211</f>
        <v>0</v>
      </c>
    </row>
    <row r="493" spans="1:2" x14ac:dyDescent="0.3">
      <c r="A493" s="4">
        <v>146739.54999999999</v>
      </c>
      <c r="B493">
        <f>DATA!M5</f>
        <v>0</v>
      </c>
    </row>
    <row r="494" spans="1:2" x14ac:dyDescent="0.3">
      <c r="A494" s="4">
        <v>147488.24</v>
      </c>
      <c r="B494">
        <f>DATA!M96</f>
        <v>1</v>
      </c>
    </row>
    <row r="495" spans="1:2" x14ac:dyDescent="0.3">
      <c r="A495" s="4">
        <v>148498.85</v>
      </c>
      <c r="B495">
        <f>DATA!M417</f>
        <v>1</v>
      </c>
    </row>
    <row r="496" spans="1:2" x14ac:dyDescent="0.3">
      <c r="A496" s="4">
        <v>148617.01</v>
      </c>
      <c r="B496">
        <f>DATA!M460</f>
        <v>1</v>
      </c>
    </row>
    <row r="497" spans="1:2" x14ac:dyDescent="0.3">
      <c r="A497" s="4">
        <v>148688.76999999999</v>
      </c>
      <c r="B497">
        <f>DATA!M320</f>
        <v>1</v>
      </c>
    </row>
    <row r="498" spans="1:2" x14ac:dyDescent="0.3">
      <c r="A498" s="4">
        <v>148736.87</v>
      </c>
      <c r="B498">
        <f>DATA!M446</f>
        <v>1</v>
      </c>
    </row>
    <row r="499" spans="1:2" x14ac:dyDescent="0.3">
      <c r="A499" s="4">
        <v>148752.49</v>
      </c>
      <c r="B499">
        <f>DATA!M498</f>
        <v>0</v>
      </c>
    </row>
    <row r="500" spans="1:2" x14ac:dyDescent="0.3">
      <c r="A500" s="4">
        <v>149768.04999999999</v>
      </c>
      <c r="B500">
        <f>DATA!M204</f>
        <v>1</v>
      </c>
    </row>
  </sheetData>
  <sortState xmlns:xlrd2="http://schemas.microsoft.com/office/spreadsheetml/2017/richdata2" ref="A2:B500">
    <sortCondition ref="A2:A50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</vt:lpstr>
      <vt:lpstr>Age vs CS</vt:lpstr>
      <vt:lpstr>Gender Geography Age</vt:lpstr>
      <vt:lpstr>Active Cr.Card Products</vt:lpstr>
      <vt:lpstr>Tenure Cr. Score</vt:lpstr>
      <vt:lpstr>RA</vt:lpstr>
      <vt:lpstr>RA2</vt:lpstr>
      <vt:lpstr>RA3</vt:lpstr>
      <vt:lpstr>Final RA</vt:lpstr>
      <vt:lpstr>Test</vt:lpstr>
      <vt:lpstr>Test2</vt:lpstr>
      <vt:lpstr>Test3</vt:lpstr>
      <vt:lpstr>Test4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Keertika Agrawal</cp:lastModifiedBy>
  <dcterms:created xsi:type="dcterms:W3CDTF">2024-03-01T15:46:12Z</dcterms:created>
  <dcterms:modified xsi:type="dcterms:W3CDTF">2025-08-17T06:48:18Z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2024-03-01T15:51:53Z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54ae5a51-1003-4027-8c2c-f56b95709b25</vt:lpwstr>
  </property>
  <property fmtid="{D5CDD505-2E9C-101B-9397-08002B2CF9AE}" pid="8" name="MSIP_Label_defa4170-0d19-0005-0004-bc88714345d2_ContentBits">
    <vt:lpwstr>0</vt:lpwstr>
  </property>
</Properties>
</file>